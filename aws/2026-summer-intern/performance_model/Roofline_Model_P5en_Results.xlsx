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19880" tabRatio="600" firstSheet="3" activeTab="11" autoFilterDateGrouping="1"/>
  </bookViews>
  <sheets>
    <sheet xmlns:r="http://schemas.openxmlformats.org/officeDocument/2006/relationships" name="AR, Ring, 0x7, 4nodes" sheetId="1" state="visible" r:id="rId1"/>
    <sheet xmlns:r="http://schemas.openxmlformats.org/officeDocument/2006/relationships" name="AR, Tree, 0x7, 4nodes" sheetId="2" state="visible" r:id="rId2"/>
    <sheet xmlns:r="http://schemas.openxmlformats.org/officeDocument/2006/relationships" name="AR, Ring, 0x0, 4nodes" sheetId="3" state="visible" r:id="rId3"/>
    <sheet xmlns:r="http://schemas.openxmlformats.org/officeDocument/2006/relationships" name="AR, Tree, 0x0, 4nodes" sheetId="4" state="visible" r:id="rId4"/>
    <sheet xmlns:r="http://schemas.openxmlformats.org/officeDocument/2006/relationships" name="AR, Ring, 0x7, 8nodes" sheetId="5" state="visible" r:id="rId5"/>
    <sheet xmlns:r="http://schemas.openxmlformats.org/officeDocument/2006/relationships" name="AR, Tree, 0x7, 8nodes" sheetId="6" state="visible" r:id="rId6"/>
    <sheet xmlns:r="http://schemas.openxmlformats.org/officeDocument/2006/relationships" name="AR, Ring, 0x7, 16nodes" sheetId="7" state="visible" r:id="rId7"/>
    <sheet xmlns:r="http://schemas.openxmlformats.org/officeDocument/2006/relationships" name="AR, Tree, 0x7, 16nodes" sheetId="8" state="visible" r:id="rId8"/>
    <sheet xmlns:r="http://schemas.openxmlformats.org/officeDocument/2006/relationships" name="AR, Ring, 0x0, 8nodes" sheetId="9" state="visible" r:id="rId9"/>
    <sheet xmlns:r="http://schemas.openxmlformats.org/officeDocument/2006/relationships" name="AR, Tree, 0x0, 8nodes" sheetId="10" state="visible" r:id="rId10"/>
    <sheet xmlns:r="http://schemas.openxmlformats.org/officeDocument/2006/relationships" name="AR, Ring, 0x0, 16nodes" sheetId="11" state="visible" r:id="rId11"/>
    <sheet xmlns:r="http://schemas.openxmlformats.org/officeDocument/2006/relationships" name="AR, Tree, 0x0, 16node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Simple,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4nodes'!$E$11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4nodes'!$A$12:$A$34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4nodes'!$E$12:$E$34</f>
              <numCache>
                <formatCode>General</formatCode>
                <ptCount val="23"/>
                <pt idx="0">
                  <v>0.01</v>
                </pt>
                <pt idx="1">
                  <v>0.02</v>
                </pt>
                <pt idx="2">
                  <v>0.04</v>
                </pt>
                <pt idx="3">
                  <v>0.09</v>
                </pt>
                <pt idx="4">
                  <v>0.17</v>
                </pt>
                <pt idx="5">
                  <v>0.3</v>
                </pt>
                <pt idx="6">
                  <v>0.53</v>
                </pt>
                <pt idx="7">
                  <v>0.96</v>
                </pt>
                <pt idx="8">
                  <v>1.76</v>
                </pt>
                <pt idx="9">
                  <v>3.4</v>
                </pt>
                <pt idx="10">
                  <v>5.73</v>
                </pt>
                <pt idx="11">
                  <v>9.93</v>
                </pt>
                <pt idx="12">
                  <v>14.57</v>
                </pt>
                <pt idx="13">
                  <v>19.23</v>
                </pt>
                <pt idx="14">
                  <v>22.96</v>
                </pt>
                <pt idx="15">
                  <v>23.31</v>
                </pt>
                <pt idx="16">
                  <v>23.39</v>
                </pt>
                <pt idx="17">
                  <v>23.5</v>
                </pt>
                <pt idx="18">
                  <v>23.44</v>
                </pt>
                <pt idx="19">
                  <v>23.53</v>
                </pt>
                <pt idx="20">
                  <v>23.55</v>
                </pt>
                <pt idx="21">
                  <v>23.55</v>
                </pt>
                <pt idx="22">
                  <v>23.55</v>
                </pt>
              </numCache>
            </numRef>
          </val>
          <smooth val="1"/>
        </ser>
        <ser>
          <idx val="1"/>
          <order val="1"/>
          <tx>
            <strRef>
              <f>'AR, Ring, 0x7, 4nodes'!$F$11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4nodes'!$A$12:$A$34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4nodes'!$F$12:$F$34</f>
              <numCache>
                <formatCode>General</formatCode>
                <ptCount val="23"/>
                <pt idx="0">
                  <v>0.01982866594725523</v>
                </pt>
                <pt idx="1">
                  <v>0.03964120815555124</v>
                </pt>
                <pt idx="2">
                  <v>0.07921799995774881</v>
                </pt>
                <pt idx="3">
                  <v>0.1581789615366601</v>
                </pt>
                <pt idx="4">
                  <v>0.3153347574431914</v>
                </pt>
                <pt idx="5">
                  <v>0.6266163066592987</v>
                </pt>
                <pt idx="6">
                  <v>1.237328405005385</v>
                </pt>
                <pt idx="7">
                  <v>2.413402022820347</v>
                </pt>
                <pt idx="8">
                  <v>4.599121401661882</v>
                </pt>
                <pt idx="9">
                  <v>8.405280628446581</v>
                </pt>
                <pt idx="10">
                  <v>14.33839274801257</v>
                </pt>
                <pt idx="11">
                  <v>22.15927894240522</v>
                </pt>
                <pt idx="12">
                  <v>30.46892774977109</v>
                </pt>
                <pt idx="13">
                  <v>37.50013462674349</v>
                </pt>
                <pt idx="14">
                  <v>42.39139036629163</v>
                </pt>
                <pt idx="15">
                  <v>42.39139036629163</v>
                </pt>
                <pt idx="16">
                  <v>42.39139036629163</v>
                </pt>
                <pt idx="17">
                  <v>42.39139036629163</v>
                </pt>
                <pt idx="18">
                  <v>42.39139036629163</v>
                </pt>
                <pt idx="19">
                  <v>42.39139036629163</v>
                </pt>
                <pt idx="20">
                  <v>42.39139036629163</v>
                </pt>
                <pt idx="21">
                  <v>42.39139036629163</v>
                </pt>
                <pt idx="22">
                  <v>42.39139036629163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Simple,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4nodes'!$E$46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4nodes'!$A$47:$A$69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4nodes'!$E$47:$E$69</f>
              <numCache>
                <formatCode>General</formatCode>
                <ptCount val="23"/>
                <pt idx="0">
                  <v>0.01</v>
                </pt>
                <pt idx="1">
                  <v>0.02</v>
                </pt>
                <pt idx="2">
                  <v>0.04</v>
                </pt>
                <pt idx="3">
                  <v>0.09</v>
                </pt>
                <pt idx="4">
                  <v>0.17</v>
                </pt>
                <pt idx="5">
                  <v>0.3</v>
                </pt>
                <pt idx="6">
                  <v>0.59</v>
                </pt>
                <pt idx="7">
                  <v>1.02</v>
                </pt>
                <pt idx="8">
                  <v>1.85</v>
                </pt>
                <pt idx="9">
                  <v>3.37</v>
                </pt>
                <pt idx="10">
                  <v>6.42</v>
                </pt>
                <pt idx="11">
                  <v>10.55</v>
                </pt>
                <pt idx="12">
                  <v>17.92</v>
                </pt>
                <pt idx="13">
                  <v>25.37</v>
                </pt>
                <pt idx="14">
                  <v>32.72</v>
                </pt>
                <pt idx="15">
                  <v>37.82</v>
                </pt>
                <pt idx="16">
                  <v>38.6</v>
                </pt>
                <pt idx="17">
                  <v>39.01</v>
                </pt>
                <pt idx="18">
                  <v>39.28</v>
                </pt>
                <pt idx="19">
                  <v>39.54</v>
                </pt>
                <pt idx="20">
                  <v>39.77</v>
                </pt>
                <pt idx="21">
                  <v>39.92</v>
                </pt>
                <pt idx="22">
                  <v>39.96</v>
                </pt>
              </numCache>
            </numRef>
          </val>
          <smooth val="1"/>
        </ser>
        <ser>
          <idx val="1"/>
          <order val="1"/>
          <tx>
            <strRef>
              <f>'AR, Ring, 0x7, 4nodes'!$F$46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4nodes'!$A$47:$A$69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4nodes'!$F$47:$F$69</f>
              <numCache>
                <formatCode>General</formatCode>
                <ptCount val="23"/>
                <pt idx="0">
                  <v>0.01982866594725523</v>
                </pt>
                <pt idx="1">
                  <v>0.03964120815555124</v>
                </pt>
                <pt idx="2">
                  <v>0.07921799995774881</v>
                </pt>
                <pt idx="3">
                  <v>0.1581789615366601</v>
                </pt>
                <pt idx="4">
                  <v>0.3153347574431914</v>
                </pt>
                <pt idx="5">
                  <v>0.6266163066592987</v>
                </pt>
                <pt idx="6">
                  <v>1.237328405005385</v>
                </pt>
                <pt idx="7">
                  <v>2.413402022820347</v>
                </pt>
                <pt idx="8">
                  <v>4.599121401661882</v>
                </pt>
                <pt idx="9">
                  <v>8.405280628446581</v>
                </pt>
                <pt idx="10">
                  <v>14.33839274801257</v>
                </pt>
                <pt idx="11">
                  <v>22.15927894240522</v>
                </pt>
                <pt idx="12">
                  <v>30.46892774977109</v>
                </pt>
                <pt idx="13">
                  <v>37.50013462674349</v>
                </pt>
                <pt idx="14">
                  <v>42.39139036629163</v>
                </pt>
                <pt idx="15">
                  <v>45.34888642912421</v>
                </pt>
                <pt idx="16">
                  <v>45.34888642912421</v>
                </pt>
                <pt idx="17">
                  <v>45.34888642912421</v>
                </pt>
                <pt idx="18">
                  <v>45.34888642912421</v>
                </pt>
                <pt idx="19">
                  <v>45.34888642912421</v>
                </pt>
                <pt idx="20">
                  <v>45.34888642912421</v>
                </pt>
                <pt idx="21">
                  <v>45.34888642912421</v>
                </pt>
                <pt idx="22">
                  <v>45.34888642912421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Simple,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4nodes'!$E$81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4nodes'!$A$82:$A$104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4nodes'!$E$82:$E$104</f>
              <numCache>
                <formatCode>General</formatCode>
                <ptCount val="23"/>
                <pt idx="0">
                  <v>0.01</v>
                </pt>
                <pt idx="1">
                  <v>0.02</v>
                </pt>
                <pt idx="2">
                  <v>0.04</v>
                </pt>
                <pt idx="3">
                  <v>0.09</v>
                </pt>
                <pt idx="4">
                  <v>0.17</v>
                </pt>
                <pt idx="5">
                  <v>0.3</v>
                </pt>
                <pt idx="6">
                  <v>0.58</v>
                </pt>
                <pt idx="7">
                  <v>1.07</v>
                </pt>
                <pt idx="8">
                  <v>1.87</v>
                </pt>
                <pt idx="9">
                  <v>3.41</v>
                </pt>
                <pt idx="10">
                  <v>6.17</v>
                </pt>
                <pt idx="11">
                  <v>11.66</v>
                </pt>
                <pt idx="12">
                  <v>18.23</v>
                </pt>
                <pt idx="13">
                  <v>29.2</v>
                </pt>
                <pt idx="14">
                  <v>37.09</v>
                </pt>
                <pt idx="15">
                  <v>40.84</v>
                </pt>
                <pt idx="16">
                  <v>42.32</v>
                </pt>
                <pt idx="17">
                  <v>43.72</v>
                </pt>
                <pt idx="18">
                  <v>44.85</v>
                </pt>
                <pt idx="19">
                  <v>45.55</v>
                </pt>
                <pt idx="20">
                  <v>45.93</v>
                </pt>
                <pt idx="21">
                  <v>46.14</v>
                </pt>
                <pt idx="22">
                  <v>46.28</v>
                </pt>
              </numCache>
            </numRef>
          </val>
          <smooth val="1"/>
        </ser>
        <ser>
          <idx val="1"/>
          <order val="1"/>
          <tx>
            <strRef>
              <f>'AR, Ring, 0x7, 4nodes'!$F$81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4nodes'!$A$82:$A$104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4nodes'!$F$82:$F$104</f>
              <numCache>
                <formatCode>General</formatCode>
                <ptCount val="23"/>
                <pt idx="0">
                  <v>0.01982866594725523</v>
                </pt>
                <pt idx="1">
                  <v>0.03964120815555124</v>
                </pt>
                <pt idx="2">
                  <v>0.07921799995774881</v>
                </pt>
                <pt idx="3">
                  <v>0.1581789615366601</v>
                </pt>
                <pt idx="4">
                  <v>0.3153347574431914</v>
                </pt>
                <pt idx="5">
                  <v>0.6266163066592987</v>
                </pt>
                <pt idx="6">
                  <v>1.237328405005385</v>
                </pt>
                <pt idx="7">
                  <v>2.413402022820347</v>
                </pt>
                <pt idx="8">
                  <v>4.599121401661882</v>
                </pt>
                <pt idx="9">
                  <v>8.405280628446581</v>
                </pt>
                <pt idx="10">
                  <v>14.33839274801257</v>
                </pt>
                <pt idx="11">
                  <v>22.15927894240522</v>
                </pt>
                <pt idx="12">
                  <v>30.46892774977109</v>
                </pt>
                <pt idx="13">
                  <v>37.50013462674349</v>
                </pt>
                <pt idx="14">
                  <v>42.39139036629163</v>
                </pt>
                <pt idx="15">
                  <v>45.34888642912421</v>
                </pt>
                <pt idx="16">
                  <v>46.98797822830689</v>
                </pt>
                <pt idx="17">
                  <v>46.98797822830689</v>
                </pt>
                <pt idx="18">
                  <v>46.98797822830689</v>
                </pt>
                <pt idx="19">
                  <v>46.98797822830689</v>
                </pt>
                <pt idx="20">
                  <v>46.98797822830689</v>
                </pt>
                <pt idx="21">
                  <v>46.98797822830689</v>
                </pt>
                <pt idx="22">
                  <v>46.98797822830689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Simple,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4nodes'!$E$116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4nodes'!$A$117:$A$139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4nodes'!$E$117:$E$139</f>
              <numCache>
                <formatCode>General</formatCode>
                <ptCount val="23"/>
                <pt idx="0">
                  <v>0.01</v>
                </pt>
                <pt idx="1">
                  <v>0.02</v>
                </pt>
                <pt idx="2">
                  <v>0.04</v>
                </pt>
                <pt idx="3">
                  <v>0.09</v>
                </pt>
                <pt idx="4">
                  <v>0.17</v>
                </pt>
                <pt idx="5">
                  <v>0.3</v>
                </pt>
                <pt idx="6">
                  <v>0.59</v>
                </pt>
                <pt idx="7">
                  <v>1.06</v>
                </pt>
                <pt idx="8">
                  <v>1.73</v>
                </pt>
                <pt idx="9">
                  <v>3.14</v>
                </pt>
                <pt idx="10">
                  <v>5.8</v>
                </pt>
                <pt idx="11">
                  <v>10.45</v>
                </pt>
                <pt idx="12">
                  <v>19.59</v>
                </pt>
                <pt idx="13">
                  <v>28.7</v>
                </pt>
                <pt idx="14">
                  <v>38.3</v>
                </pt>
                <pt idx="15">
                  <v>41.25</v>
                </pt>
                <pt idx="16">
                  <v>43.01</v>
                </pt>
                <pt idx="17">
                  <v>43.93</v>
                </pt>
                <pt idx="18">
                  <v>45.29</v>
                </pt>
                <pt idx="19">
                  <v>45.9</v>
                </pt>
                <pt idx="20">
                  <v>46.22</v>
                </pt>
                <pt idx="21">
                  <v>46.36</v>
                </pt>
                <pt idx="22">
                  <v>46.45</v>
                </pt>
              </numCache>
            </numRef>
          </val>
          <smooth val="1"/>
        </ser>
        <ser>
          <idx val="1"/>
          <order val="1"/>
          <tx>
            <strRef>
              <f>'AR, Ring, 0x7, 4nodes'!$F$116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4nodes'!$A$117:$A$139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4nodes'!$F$117:$F$139</f>
              <numCache>
                <formatCode>General</formatCode>
                <ptCount val="23"/>
                <pt idx="0">
                  <v>0.01982866594725523</v>
                </pt>
                <pt idx="1">
                  <v>0.03964120815555124</v>
                </pt>
                <pt idx="2">
                  <v>0.07921799995774881</v>
                </pt>
                <pt idx="3">
                  <v>0.1581789615366601</v>
                </pt>
                <pt idx="4">
                  <v>0.3153347574431914</v>
                </pt>
                <pt idx="5">
                  <v>0.6266163066592987</v>
                </pt>
                <pt idx="6">
                  <v>1.237328405005385</v>
                </pt>
                <pt idx="7">
                  <v>2.413402022820347</v>
                </pt>
                <pt idx="8">
                  <v>4.599121401661882</v>
                </pt>
                <pt idx="9">
                  <v>8.405280628446581</v>
                </pt>
                <pt idx="10">
                  <v>14.33839274801257</v>
                </pt>
                <pt idx="11">
                  <v>22.15927894240522</v>
                </pt>
                <pt idx="12">
                  <v>30.46892774977109</v>
                </pt>
                <pt idx="13">
                  <v>37.50013462674349</v>
                </pt>
                <pt idx="14">
                  <v>42.39139036629163</v>
                </pt>
                <pt idx="15">
                  <v>45.34888642912421</v>
                </pt>
                <pt idx="16">
                  <v>46.98797822830689</v>
                </pt>
                <pt idx="17">
                  <v>47.85277443748397</v>
                </pt>
                <pt idx="18">
                  <v>47.85277443748397</v>
                </pt>
                <pt idx="19">
                  <v>47.85277443748397</v>
                </pt>
                <pt idx="20">
                  <v>47.85277443748397</v>
                </pt>
                <pt idx="21">
                  <v>47.85277443748397</v>
                </pt>
                <pt idx="22">
                  <v>47.85277443748397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Simple,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4nodes'!$E$151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4nodes'!$A$152:$A$174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4nodes'!$E$152:$E$174</f>
              <numCache>
                <formatCode>General</formatCode>
                <ptCount val="23"/>
                <pt idx="0">
                  <v>0.01</v>
                </pt>
                <pt idx="1">
                  <v>0.02</v>
                </pt>
                <pt idx="2">
                  <v>0.04</v>
                </pt>
                <pt idx="3">
                  <v>0.09</v>
                </pt>
                <pt idx="4">
                  <v>0.17</v>
                </pt>
                <pt idx="5">
                  <v>0.31</v>
                </pt>
                <pt idx="6">
                  <v>0.58</v>
                </pt>
                <pt idx="7">
                  <v>1.07</v>
                </pt>
                <pt idx="8">
                  <v>1.73</v>
                </pt>
                <pt idx="9">
                  <v>2.22</v>
                </pt>
                <pt idx="10">
                  <v>4.4</v>
                </pt>
                <pt idx="11">
                  <v>8.42</v>
                </pt>
                <pt idx="12">
                  <v>15.36</v>
                </pt>
                <pt idx="13">
                  <v>28.08</v>
                </pt>
                <pt idx="14">
                  <v>36.91</v>
                </pt>
                <pt idx="15">
                  <v>41.18</v>
                </pt>
                <pt idx="16">
                  <v>43.26</v>
                </pt>
                <pt idx="17">
                  <v>44.4</v>
                </pt>
                <pt idx="18">
                  <v>45.2</v>
                </pt>
                <pt idx="19">
                  <v>45.88</v>
                </pt>
                <pt idx="20">
                  <v>46.22</v>
                </pt>
                <pt idx="21">
                  <v>46.4</v>
                </pt>
                <pt idx="22">
                  <v>46.46</v>
                </pt>
              </numCache>
            </numRef>
          </val>
          <smooth val="1"/>
        </ser>
        <ser>
          <idx val="1"/>
          <order val="1"/>
          <tx>
            <strRef>
              <f>'AR, Ring, 0x7, 4nodes'!$F$151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4nodes'!$A$152:$A$174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4nodes'!$F$152:$F$174</f>
              <numCache>
                <formatCode>General</formatCode>
                <ptCount val="23"/>
                <pt idx="0">
                  <v>0.01982866594725523</v>
                </pt>
                <pt idx="1">
                  <v>0.03964120815555124</v>
                </pt>
                <pt idx="2">
                  <v>0.07921799995774881</v>
                </pt>
                <pt idx="3">
                  <v>0.1581789615366601</v>
                </pt>
                <pt idx="4">
                  <v>0.3153347574431914</v>
                </pt>
                <pt idx="5">
                  <v>0.6266163066592987</v>
                </pt>
                <pt idx="6">
                  <v>1.237328405005385</v>
                </pt>
                <pt idx="7">
                  <v>2.413402022820347</v>
                </pt>
                <pt idx="8">
                  <v>4.599121401661882</v>
                </pt>
                <pt idx="9">
                  <v>8.405280628446581</v>
                </pt>
                <pt idx="10">
                  <v>14.33839274801257</v>
                </pt>
                <pt idx="11">
                  <v>22.15927894240522</v>
                </pt>
                <pt idx="12">
                  <v>30.46892774977109</v>
                </pt>
                <pt idx="13">
                  <v>37.50013462674349</v>
                </pt>
                <pt idx="14">
                  <v>42.39139036629163</v>
                </pt>
                <pt idx="15">
                  <v>45.34888642912421</v>
                </pt>
                <pt idx="16">
                  <v>46.98797822830689</v>
                </pt>
                <pt idx="17">
                  <v>47.85277443748397</v>
                </pt>
                <pt idx="18">
                  <v>48.29722060078139</v>
                </pt>
                <pt idx="19">
                  <v>48.29722060078139</v>
                </pt>
                <pt idx="20">
                  <v>48.29722060078139</v>
                </pt>
                <pt idx="21">
                  <v>48.29722060078139</v>
                </pt>
                <pt idx="22">
                  <v>48.29722060078139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LL,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4nodes'!$E$188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4nodes'!$A$189:$A$209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4nodes'!$E$189:$E$209</f>
              <numCache>
                <formatCode>General</formatCode>
                <ptCount val="21"/>
                <pt idx="0">
                  <v>0.02</v>
                </pt>
                <pt idx="1">
                  <v>0.03</v>
                </pt>
                <pt idx="2">
                  <v>0.06</v>
                </pt>
                <pt idx="3">
                  <v>0.12</v>
                </pt>
                <pt idx="4">
                  <v>0.21</v>
                </pt>
                <pt idx="5">
                  <v>0.39</v>
                </pt>
                <pt idx="6">
                  <v>0.72</v>
                </pt>
                <pt idx="7">
                  <v>1.24</v>
                </pt>
                <pt idx="8">
                  <v>1.28</v>
                </pt>
                <pt idx="9">
                  <v>1.29</v>
                </pt>
                <pt idx="10">
                  <v>1.3</v>
                </pt>
                <pt idx="11">
                  <v>1.31</v>
                </pt>
                <pt idx="12">
                  <v>1.31</v>
                </pt>
                <pt idx="13">
                  <v>1.31</v>
                </pt>
                <pt idx="14">
                  <v>1.31</v>
                </pt>
                <pt idx="15">
                  <v>1.31</v>
                </pt>
                <pt idx="16">
                  <v>1.31</v>
                </pt>
                <pt idx="17">
                  <v>1.31</v>
                </pt>
                <pt idx="18">
                  <v>1.31</v>
                </pt>
                <pt idx="19">
                  <v>1.31</v>
                </pt>
                <pt idx="20">
                  <v>1.31</v>
                </pt>
              </numCache>
            </numRef>
          </val>
          <smooth val="1"/>
        </ser>
        <ser>
          <idx val="1"/>
          <order val="1"/>
          <tx>
            <strRef>
              <f>'AR, Ring, 0x7, 4nodes'!$F$188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4nodes'!$A$189:$A$209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4nodes'!$F$189:$F$209</f>
              <numCache>
                <formatCode>General</formatCode>
                <ptCount val="21"/>
                <pt idx="0">
                  <v>0.01982060407777562</v>
                </pt>
                <pt idx="1">
                  <v>0.0396089999788744</v>
                </pt>
                <pt idx="2">
                  <v>0.07908948076833007</v>
                </pt>
                <pt idx="3">
                  <v>0.1576673787215957</v>
                </pt>
                <pt idx="4">
                  <v>0.3133081533296493</v>
                </pt>
                <pt idx="5">
                  <v>0.6186642025026925</v>
                </pt>
                <pt idx="6">
                  <v>1.206701011410173</v>
                </pt>
                <pt idx="7">
                  <v>2.299560700830941</v>
                </pt>
                <pt idx="8">
                  <v>2.299560700830941</v>
                </pt>
                <pt idx="9">
                  <v>2.299560700830941</v>
                </pt>
                <pt idx="10">
                  <v>2.299560700830941</v>
                </pt>
                <pt idx="11">
                  <v>2.299560700830941</v>
                </pt>
                <pt idx="12">
                  <v>2.299560700830941</v>
                </pt>
                <pt idx="13">
                  <v>2.299560700830941</v>
                </pt>
                <pt idx="14">
                  <v>2.299560700830941</v>
                </pt>
                <pt idx="15">
                  <v>2.299560700830941</v>
                </pt>
                <pt idx="16">
                  <v>2.299560700830941</v>
                </pt>
                <pt idx="17">
                  <v>2.299560700830941</v>
                </pt>
                <pt idx="18">
                  <v>2.299560700830941</v>
                </pt>
                <pt idx="19">
                  <v>2.299560700830941</v>
                </pt>
                <pt idx="20">
                  <v>2.299560700830941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LL,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4nodes'!$E$223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4nodes'!$A$224:$A$244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4nodes'!$E$224:$E$244</f>
              <numCache>
                <formatCode>General</formatCode>
                <ptCount val="21"/>
                <pt idx="0">
                  <v>0.02</v>
                </pt>
                <pt idx="1">
                  <v>0.03</v>
                </pt>
                <pt idx="2">
                  <v>0.06</v>
                </pt>
                <pt idx="3">
                  <v>0.12</v>
                </pt>
                <pt idx="4">
                  <v>0.21</v>
                </pt>
                <pt idx="5">
                  <v>0.42</v>
                </pt>
                <pt idx="6">
                  <v>0.77</v>
                </pt>
                <pt idx="7">
                  <v>1.38</v>
                </pt>
                <pt idx="8">
                  <v>2.28</v>
                </pt>
                <pt idx="9">
                  <v>2.36</v>
                </pt>
                <pt idx="10">
                  <v>2.43</v>
                </pt>
                <pt idx="11">
                  <v>2.46</v>
                </pt>
                <pt idx="12">
                  <v>2.48</v>
                </pt>
                <pt idx="13">
                  <v>2.49</v>
                </pt>
                <pt idx="14">
                  <v>2.5</v>
                </pt>
                <pt idx="15">
                  <v>2.5</v>
                </pt>
                <pt idx="16">
                  <v>2.51</v>
                </pt>
                <pt idx="17">
                  <v>2.49</v>
                </pt>
                <pt idx="18">
                  <v>2.5</v>
                </pt>
                <pt idx="19">
                  <v>2.5</v>
                </pt>
                <pt idx="20">
                  <v>2.5</v>
                </pt>
              </numCache>
            </numRef>
          </val>
          <smooth val="1"/>
        </ser>
        <ser>
          <idx val="1"/>
          <order val="1"/>
          <tx>
            <strRef>
              <f>'AR, Ring, 0x7, 4nodes'!$F$223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4nodes'!$A$224:$A$244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4nodes'!$F$224:$F$244</f>
              <numCache>
                <formatCode>General</formatCode>
                <ptCount val="21"/>
                <pt idx="0">
                  <v>0.01982060407777562</v>
                </pt>
                <pt idx="1">
                  <v>0.0396089999788744</v>
                </pt>
                <pt idx="2">
                  <v>0.07908948076833007</v>
                </pt>
                <pt idx="3">
                  <v>0.1576673787215957</v>
                </pt>
                <pt idx="4">
                  <v>0.3133081533296493</v>
                </pt>
                <pt idx="5">
                  <v>0.6186642025026925</v>
                </pt>
                <pt idx="6">
                  <v>1.206701011410173</v>
                </pt>
                <pt idx="7">
                  <v>2.299560700830941</v>
                </pt>
                <pt idx="8">
                  <v>4.202640314223291</v>
                </pt>
                <pt idx="9">
                  <v>4.202640314223291</v>
                </pt>
                <pt idx="10">
                  <v>4.202640314223291</v>
                </pt>
                <pt idx="11">
                  <v>4.202640314223291</v>
                </pt>
                <pt idx="12">
                  <v>4.202640314223291</v>
                </pt>
                <pt idx="13">
                  <v>4.202640314223291</v>
                </pt>
                <pt idx="14">
                  <v>4.202640314223291</v>
                </pt>
                <pt idx="15">
                  <v>4.202640314223291</v>
                </pt>
                <pt idx="16">
                  <v>4.202640314223291</v>
                </pt>
                <pt idx="17">
                  <v>4.202640314223291</v>
                </pt>
                <pt idx="18">
                  <v>4.202640314223291</v>
                </pt>
                <pt idx="19">
                  <v>4.202640314223291</v>
                </pt>
                <pt idx="20">
                  <v>4.202640314223291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LL,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4nodes'!$E$258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4nodes'!$A$259:$A$279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4nodes'!$E$259:$E$279</f>
              <numCache>
                <formatCode>General</formatCode>
                <ptCount val="21"/>
                <pt idx="0">
                  <v>0.02</v>
                </pt>
                <pt idx="1">
                  <v>0.03</v>
                </pt>
                <pt idx="2">
                  <v>0.06</v>
                </pt>
                <pt idx="3">
                  <v>0.12</v>
                </pt>
                <pt idx="4">
                  <v>0.21</v>
                </pt>
                <pt idx="5">
                  <v>0.42</v>
                </pt>
                <pt idx="6">
                  <v>0.79</v>
                </pt>
                <pt idx="7">
                  <v>1.45</v>
                </pt>
                <pt idx="8">
                  <v>2.48</v>
                </pt>
                <pt idx="9">
                  <v>3.68</v>
                </pt>
                <pt idx="10">
                  <v>3.91</v>
                </pt>
                <pt idx="11">
                  <v>4.1</v>
                </pt>
                <pt idx="12">
                  <v>4.19</v>
                </pt>
                <pt idx="13">
                  <v>4.25</v>
                </pt>
                <pt idx="14">
                  <v>4.28</v>
                </pt>
                <pt idx="15">
                  <v>4.28</v>
                </pt>
                <pt idx="16">
                  <v>4.31</v>
                </pt>
                <pt idx="17">
                  <v>4.29</v>
                </pt>
                <pt idx="18">
                  <v>4.32</v>
                </pt>
                <pt idx="19">
                  <v>4.31</v>
                </pt>
                <pt idx="20">
                  <v>4.3</v>
                </pt>
              </numCache>
            </numRef>
          </val>
          <smooth val="1"/>
        </ser>
        <ser>
          <idx val="1"/>
          <order val="1"/>
          <tx>
            <strRef>
              <f>'AR, Ring, 0x7, 4nodes'!$F$258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4nodes'!$A$259:$A$279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4nodes'!$F$259:$F$279</f>
              <numCache>
                <formatCode>General</formatCode>
                <ptCount val="21"/>
                <pt idx="0">
                  <v>0.01982060407777562</v>
                </pt>
                <pt idx="1">
                  <v>0.0396089999788744</v>
                </pt>
                <pt idx="2">
                  <v>0.07908948076833007</v>
                </pt>
                <pt idx="3">
                  <v>0.1576673787215957</v>
                </pt>
                <pt idx="4">
                  <v>0.3133081533296493</v>
                </pt>
                <pt idx="5">
                  <v>0.6186642025026925</v>
                </pt>
                <pt idx="6">
                  <v>1.206701011410173</v>
                </pt>
                <pt idx="7">
                  <v>2.299560700830941</v>
                </pt>
                <pt idx="8">
                  <v>4.202640314223291</v>
                </pt>
                <pt idx="9">
                  <v>7.169196374006283</v>
                </pt>
                <pt idx="10">
                  <v>7.169196374006283</v>
                </pt>
                <pt idx="11">
                  <v>7.169196374006283</v>
                </pt>
                <pt idx="12">
                  <v>7.169196374006283</v>
                </pt>
                <pt idx="13">
                  <v>7.169196374006283</v>
                </pt>
                <pt idx="14">
                  <v>7.169196374006283</v>
                </pt>
                <pt idx="15">
                  <v>7.169196374006283</v>
                </pt>
                <pt idx="16">
                  <v>7.169196374006283</v>
                </pt>
                <pt idx="17">
                  <v>7.169196374006283</v>
                </pt>
                <pt idx="18">
                  <v>7.169196374006283</v>
                </pt>
                <pt idx="19">
                  <v>7.169196374006283</v>
                </pt>
                <pt idx="20">
                  <v>7.169196374006283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LL,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4nodes'!$E$293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4nodes'!$A$294:$A$314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4nodes'!$E$294:$E$314</f>
              <numCache>
                <formatCode>General</formatCode>
                <ptCount val="21"/>
                <pt idx="0">
                  <v>0.02</v>
                </pt>
                <pt idx="1">
                  <v>0.03</v>
                </pt>
                <pt idx="2">
                  <v>0.06</v>
                </pt>
                <pt idx="3">
                  <v>0.12</v>
                </pt>
                <pt idx="4">
                  <v>0.21</v>
                </pt>
                <pt idx="5">
                  <v>0.41</v>
                </pt>
                <pt idx="6">
                  <v>0.79</v>
                </pt>
                <pt idx="7">
                  <v>1.36</v>
                </pt>
                <pt idx="8">
                  <v>2.4</v>
                </pt>
                <pt idx="9">
                  <v>3.73</v>
                </pt>
                <pt idx="10">
                  <v>4.33</v>
                </pt>
                <pt idx="11">
                  <v>4.65</v>
                </pt>
                <pt idx="12">
                  <v>4.81</v>
                </pt>
                <pt idx="13">
                  <v>4.9</v>
                </pt>
                <pt idx="14">
                  <v>4.94</v>
                </pt>
                <pt idx="15">
                  <v>4.97</v>
                </pt>
                <pt idx="16">
                  <v>4.98</v>
                </pt>
                <pt idx="17">
                  <v>4.99</v>
                </pt>
                <pt idx="18">
                  <v>5</v>
                </pt>
                <pt idx="19">
                  <v>5</v>
                </pt>
                <pt idx="20">
                  <v>4.99</v>
                </pt>
              </numCache>
            </numRef>
          </val>
          <smooth val="1"/>
        </ser>
        <ser>
          <idx val="1"/>
          <order val="1"/>
          <tx>
            <strRef>
              <f>'AR, Ring, 0x7, 4nodes'!$F$293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4nodes'!$A$294:$A$314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4nodes'!$F$294:$F$314</f>
              <numCache>
                <formatCode>General</formatCode>
                <ptCount val="21"/>
                <pt idx="0">
                  <v>0.01982060407777562</v>
                </pt>
                <pt idx="1">
                  <v>0.0396089999788744</v>
                </pt>
                <pt idx="2">
                  <v>0.07908948076833007</v>
                </pt>
                <pt idx="3">
                  <v>0.1576673787215957</v>
                </pt>
                <pt idx="4">
                  <v>0.3133081533296493</v>
                </pt>
                <pt idx="5">
                  <v>0.6186642025026925</v>
                </pt>
                <pt idx="6">
                  <v>1.206701011410173</v>
                </pt>
                <pt idx="7">
                  <v>2.299560700830941</v>
                </pt>
                <pt idx="8">
                  <v>4.202640314223291</v>
                </pt>
                <pt idx="9">
                  <v>7.169196374006283</v>
                </pt>
                <pt idx="10">
                  <v>11.07963947120261</v>
                </pt>
                <pt idx="11">
                  <v>11.07963947120261</v>
                </pt>
                <pt idx="12">
                  <v>11.07963947120261</v>
                </pt>
                <pt idx="13">
                  <v>11.07963947120261</v>
                </pt>
                <pt idx="14">
                  <v>11.07963947120261</v>
                </pt>
                <pt idx="15">
                  <v>11.07963947120261</v>
                </pt>
                <pt idx="16">
                  <v>11.07963947120261</v>
                </pt>
                <pt idx="17">
                  <v>11.07963947120261</v>
                </pt>
                <pt idx="18">
                  <v>11.07963947120261</v>
                </pt>
                <pt idx="19">
                  <v>11.07963947120261</v>
                </pt>
                <pt idx="20">
                  <v>11.07963947120261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LL,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4nodes'!$E$328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4nodes'!$A$329:$A$349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4nodes'!$E$329:$E$349</f>
              <numCache>
                <formatCode>General</formatCode>
                <ptCount val="21"/>
                <pt idx="0">
                  <v>0.02</v>
                </pt>
                <pt idx="1">
                  <v>0.03</v>
                </pt>
                <pt idx="2">
                  <v>0.06</v>
                </pt>
                <pt idx="3">
                  <v>0.12</v>
                </pt>
                <pt idx="4">
                  <v>0.21</v>
                </pt>
                <pt idx="5">
                  <v>0.42</v>
                </pt>
                <pt idx="6">
                  <v>0.8</v>
                </pt>
                <pt idx="7">
                  <v>1.36</v>
                </pt>
                <pt idx="8">
                  <v>1.88</v>
                </pt>
                <pt idx="9">
                  <v>3.02</v>
                </pt>
                <pt idx="10">
                  <v>4.05</v>
                </pt>
                <pt idx="11">
                  <v>4.69</v>
                </pt>
                <pt idx="12">
                  <v>4.88</v>
                </pt>
                <pt idx="13">
                  <v>5.01</v>
                </pt>
                <pt idx="14">
                  <v>5.09</v>
                </pt>
                <pt idx="15">
                  <v>5.12</v>
                </pt>
                <pt idx="16">
                  <v>5.16</v>
                </pt>
                <pt idx="17">
                  <v>5.17</v>
                </pt>
                <pt idx="18">
                  <v>5.19</v>
                </pt>
                <pt idx="19">
                  <v>5.19</v>
                </pt>
                <pt idx="20">
                  <v>5.21</v>
                </pt>
              </numCache>
            </numRef>
          </val>
          <smooth val="1"/>
        </ser>
        <ser>
          <idx val="1"/>
          <order val="1"/>
          <tx>
            <strRef>
              <f>'AR, Ring, 0x7, 4nodes'!$F$328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4nodes'!$A$329:$A$349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4nodes'!$F$329:$F$349</f>
              <numCache>
                <formatCode>General</formatCode>
                <ptCount val="21"/>
                <pt idx="0">
                  <v>0.01982060407777562</v>
                </pt>
                <pt idx="1">
                  <v>0.0396089999788744</v>
                </pt>
                <pt idx="2">
                  <v>0.07908948076833007</v>
                </pt>
                <pt idx="3">
                  <v>0.1576673787215957</v>
                </pt>
                <pt idx="4">
                  <v>0.3133081533296493</v>
                </pt>
                <pt idx="5">
                  <v>0.6186642025026925</v>
                </pt>
                <pt idx="6">
                  <v>1.206701011410173</v>
                </pt>
                <pt idx="7">
                  <v>2.299560700830941</v>
                </pt>
                <pt idx="8">
                  <v>4.202640314223291</v>
                </pt>
                <pt idx="9">
                  <v>7.169196374006283</v>
                </pt>
                <pt idx="10">
                  <v>11.07963947120261</v>
                </pt>
                <pt idx="11">
                  <v>15.23446387488555</v>
                </pt>
                <pt idx="12">
                  <v>15.23446387488555</v>
                </pt>
                <pt idx="13">
                  <v>15.23446387488555</v>
                </pt>
                <pt idx="14">
                  <v>15.23446387488555</v>
                </pt>
                <pt idx="15">
                  <v>15.23446387488555</v>
                </pt>
                <pt idx="16">
                  <v>15.23446387488555</v>
                </pt>
                <pt idx="17">
                  <v>15.23446387488555</v>
                </pt>
                <pt idx="18">
                  <v>15.23446387488555</v>
                </pt>
                <pt idx="19">
                  <v>15.23446387488555</v>
                </pt>
                <pt idx="20">
                  <v>15.23446387488555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LL128,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4nodes'!$E$363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4nodes'!$A$364:$A$384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4nodes'!$E$364:$E$384</f>
              <numCache>
                <formatCode>General</formatCode>
                <ptCount val="21"/>
                <pt idx="0">
                  <v>0.01</v>
                </pt>
                <pt idx="1">
                  <v>0.03</v>
                </pt>
                <pt idx="2">
                  <v>0.06</v>
                </pt>
                <pt idx="3">
                  <v>0.11</v>
                </pt>
                <pt idx="4">
                  <v>0.2</v>
                </pt>
                <pt idx="5">
                  <v>0.38</v>
                </pt>
                <pt idx="6">
                  <v>0.73</v>
                </pt>
                <pt idx="7">
                  <v>1.36</v>
                </pt>
                <pt idx="8">
                  <v>2.44</v>
                </pt>
                <pt idx="9">
                  <v>4.45</v>
                </pt>
                <pt idx="10">
                  <v>6.88</v>
                </pt>
                <pt idx="11">
                  <v>9.85</v>
                </pt>
                <pt idx="12">
                  <v>9.970000000000001</v>
                </pt>
                <pt idx="13">
                  <v>10.03</v>
                </pt>
                <pt idx="14">
                  <v>10.07</v>
                </pt>
                <pt idx="15">
                  <v>10.32</v>
                </pt>
                <pt idx="16">
                  <v>10.33</v>
                </pt>
                <pt idx="17">
                  <v>10.41</v>
                </pt>
                <pt idx="18">
                  <v>10.44</v>
                </pt>
                <pt idx="19">
                  <v>10.46</v>
                </pt>
                <pt idx="20">
                  <v>10.44</v>
                </pt>
              </numCache>
            </numRef>
          </val>
          <smooth val="1"/>
        </ser>
        <ser>
          <idx val="1"/>
          <order val="1"/>
          <tx>
            <strRef>
              <f>'AR, Ring, 0x7, 4nodes'!$F$363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4nodes'!$A$364:$A$384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4nodes'!$F$364:$F$384</f>
              <numCache>
                <formatCode>General</formatCode>
                <ptCount val="21"/>
                <pt idx="0">
                  <v>0.01982812828526258</v>
                </pt>
                <pt idx="1">
                  <v>0.03963905931425023</v>
                </pt>
                <pt idx="2">
                  <v>0.07920941901860014</v>
                </pt>
                <pt idx="3">
                  <v>0.1581447527533945</v>
                </pt>
                <pt idx="4">
                  <v>0.315198835189187</v>
                </pt>
                <pt idx="5">
                  <v>0.62607981186356</v>
                </pt>
                <pt idx="6">
                  <v>1.235238291603468</v>
                </pt>
                <pt idx="7">
                  <v>2.405463083372511</v>
                </pt>
                <pt idx="8">
                  <v>4.570376490440225</v>
                </pt>
                <pt idx="9">
                  <v>8.309764860097149</v>
                </pt>
                <pt idx="10">
                  <v>14.06265145617389</v>
                </pt>
                <pt idx="11">
                  <v>21.50753007632196</v>
                </pt>
                <pt idx="12">
                  <v>21.50753007632196</v>
                </pt>
                <pt idx="13">
                  <v>21.50753007632196</v>
                </pt>
                <pt idx="14">
                  <v>21.50753007632196</v>
                </pt>
                <pt idx="15">
                  <v>22.24352363183814</v>
                </pt>
                <pt idx="16">
                  <v>22.24352363183814</v>
                </pt>
                <pt idx="17">
                  <v>22.43546052912339</v>
                </pt>
                <pt idx="18">
                  <v>22.53267651182455</v>
                </pt>
                <pt idx="19">
                  <v>22.53267651182455</v>
                </pt>
                <pt idx="20">
                  <v>22.55711229101689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LL128,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4nodes'!$E$398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4nodes'!$A$399:$A$419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4nodes'!$E$399:$E$419</f>
              <numCache>
                <formatCode>General</formatCode>
                <ptCount val="21"/>
                <pt idx="0">
                  <v>0.01</v>
                </pt>
                <pt idx="1">
                  <v>0.03</v>
                </pt>
                <pt idx="2">
                  <v>0.06</v>
                </pt>
                <pt idx="3">
                  <v>0.11</v>
                </pt>
                <pt idx="4">
                  <v>0.2</v>
                </pt>
                <pt idx="5">
                  <v>0.4</v>
                </pt>
                <pt idx="6">
                  <v>0.74</v>
                </pt>
                <pt idx="7">
                  <v>1.42</v>
                </pt>
                <pt idx="8">
                  <v>2.65</v>
                </pt>
                <pt idx="9">
                  <v>4.74</v>
                </pt>
                <pt idx="10">
                  <v>8.33</v>
                </pt>
                <pt idx="11">
                  <v>12.81</v>
                </pt>
                <pt idx="12">
                  <v>18.09</v>
                </pt>
                <pt idx="13">
                  <v>18.64</v>
                </pt>
                <pt idx="14">
                  <v>18.93</v>
                </pt>
                <pt idx="15">
                  <v>19.25</v>
                </pt>
                <pt idx="16">
                  <v>19.81</v>
                </pt>
                <pt idx="17">
                  <v>19.86</v>
                </pt>
                <pt idx="18">
                  <v>20.03</v>
                </pt>
                <pt idx="19">
                  <v>20.1</v>
                </pt>
                <pt idx="20">
                  <v>20.09</v>
                </pt>
              </numCache>
            </numRef>
          </val>
          <smooth val="1"/>
        </ser>
        <ser>
          <idx val="1"/>
          <order val="1"/>
          <tx>
            <strRef>
              <f>'AR, Ring, 0x7, 4nodes'!$F$398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4nodes'!$A$399:$A$419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4nodes'!$F$399:$F$419</f>
              <numCache>
                <formatCode>General</formatCode>
                <ptCount val="21"/>
                <pt idx="0">
                  <v>0.01982812828526258</v>
                </pt>
                <pt idx="1">
                  <v>0.03963905931425023</v>
                </pt>
                <pt idx="2">
                  <v>0.07920941901860014</v>
                </pt>
                <pt idx="3">
                  <v>0.1581447527533945</v>
                </pt>
                <pt idx="4">
                  <v>0.315198835189187</v>
                </pt>
                <pt idx="5">
                  <v>0.62607981186356</v>
                </pt>
                <pt idx="6">
                  <v>1.235238291603468</v>
                </pt>
                <pt idx="7">
                  <v>2.405463083372511</v>
                </pt>
                <pt idx="8">
                  <v>4.570376490440225</v>
                </pt>
                <pt idx="9">
                  <v>8.309764860097149</v>
                </pt>
                <pt idx="10">
                  <v>14.06265145617389</v>
                </pt>
                <pt idx="11">
                  <v>21.50753007632196</v>
                </pt>
                <pt idx="12">
                  <v>29.25016381415082</v>
                </pt>
                <pt idx="13">
                  <v>29.25016381415082</v>
                </pt>
                <pt idx="14">
                  <v>29.25016381415082</v>
                </pt>
                <pt idx="15">
                  <v>29.25016381415082</v>
                </pt>
                <pt idx="16">
                  <v>29.92343438437079</v>
                </pt>
                <pt idx="17">
                  <v>29.92343438437079</v>
                </pt>
                <pt idx="18">
                  <v>30.09662290558804</v>
                </pt>
                <pt idx="19">
                  <v>30.18397112331202</v>
                </pt>
                <pt idx="20">
                  <v>30.18397112331202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LL128,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4nodes'!$E$433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4nodes'!$A$434:$A$454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4nodes'!$E$434:$E$454</f>
              <numCache>
                <formatCode>General</formatCode>
                <ptCount val="21"/>
                <pt idx="0">
                  <v>0.01</v>
                </pt>
                <pt idx="1">
                  <v>0.03</v>
                </pt>
                <pt idx="2">
                  <v>0.06</v>
                </pt>
                <pt idx="3">
                  <v>0.11</v>
                </pt>
                <pt idx="4">
                  <v>0.2</v>
                </pt>
                <pt idx="5">
                  <v>0.4</v>
                </pt>
                <pt idx="6">
                  <v>0.76</v>
                </pt>
                <pt idx="7">
                  <v>1.43</v>
                </pt>
                <pt idx="8">
                  <v>2.74</v>
                </pt>
                <pt idx="9">
                  <v>5.02</v>
                </pt>
                <pt idx="10">
                  <v>8.92</v>
                </pt>
                <pt idx="11">
                  <v>15.05</v>
                </pt>
                <pt idx="12">
                  <v>22.42</v>
                </pt>
                <pt idx="13">
                  <v>30.02</v>
                </pt>
                <pt idx="14">
                  <v>31.54</v>
                </pt>
                <pt idx="15">
                  <v>32.38</v>
                </pt>
                <pt idx="16">
                  <v>32.9</v>
                </pt>
                <pt idx="17">
                  <v>33.76</v>
                </pt>
                <pt idx="18">
                  <v>33.85</v>
                </pt>
                <pt idx="19">
                  <v>34.04</v>
                </pt>
                <pt idx="20">
                  <v>34.14</v>
                </pt>
              </numCache>
            </numRef>
          </val>
          <smooth val="1"/>
        </ser>
        <ser>
          <idx val="1"/>
          <order val="1"/>
          <tx>
            <strRef>
              <f>'AR, Ring, 0x7, 4nodes'!$F$433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4nodes'!$A$434:$A$454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4nodes'!$F$434:$F$454</f>
              <numCache>
                <formatCode>General</formatCode>
                <ptCount val="21"/>
                <pt idx="0">
                  <v>0.01982812828526258</v>
                </pt>
                <pt idx="1">
                  <v>0.03963905931425023</v>
                </pt>
                <pt idx="2">
                  <v>0.07920941901860014</v>
                </pt>
                <pt idx="3">
                  <v>0.1581447527533945</v>
                </pt>
                <pt idx="4">
                  <v>0.315198835189187</v>
                </pt>
                <pt idx="5">
                  <v>0.62607981186356</v>
                </pt>
                <pt idx="6">
                  <v>1.235238291603468</v>
                </pt>
                <pt idx="7">
                  <v>2.405463083372511</v>
                </pt>
                <pt idx="8">
                  <v>4.570376490440225</v>
                </pt>
                <pt idx="9">
                  <v>8.309764860097149</v>
                </pt>
                <pt idx="10">
                  <v>14.06265145617389</v>
                </pt>
                <pt idx="11">
                  <v>21.50753007632196</v>
                </pt>
                <pt idx="12">
                  <v>29.25016381415082</v>
                </pt>
                <pt idx="13">
                  <v>35.67085352007197</v>
                </pt>
                <pt idx="14">
                  <v>35.67085352007197</v>
                </pt>
                <pt idx="15">
                  <v>35.67085352007197</v>
                </pt>
                <pt idx="16">
                  <v>35.67085352007197</v>
                </pt>
                <pt idx="17">
                  <v>36.16704166448771</v>
                </pt>
                <pt idx="18">
                  <v>36.16704166448771</v>
                </pt>
                <pt idx="19">
                  <v>36.29325312388141</v>
                </pt>
                <pt idx="20">
                  <v>36.35668975931063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LL128,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4nodes'!$E$468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4nodes'!$A$469:$A$489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4nodes'!$E$469:$E$489</f>
              <numCache>
                <formatCode>General</formatCode>
                <ptCount val="21"/>
                <pt idx="0">
                  <v>0.01</v>
                </pt>
                <pt idx="1">
                  <v>0.03</v>
                </pt>
                <pt idx="2">
                  <v>0.06</v>
                </pt>
                <pt idx="3">
                  <v>0.11</v>
                </pt>
                <pt idx="4">
                  <v>0.2</v>
                </pt>
                <pt idx="5">
                  <v>0.4</v>
                </pt>
                <pt idx="6">
                  <v>0.76</v>
                </pt>
                <pt idx="7">
                  <v>1.36</v>
                </pt>
                <pt idx="8">
                  <v>2.54</v>
                </pt>
                <pt idx="9">
                  <v>4.89</v>
                </pt>
                <pt idx="10">
                  <v>8.85</v>
                </pt>
                <pt idx="11">
                  <v>15.52</v>
                </pt>
                <pt idx="12">
                  <v>24.92</v>
                </pt>
                <pt idx="13">
                  <v>32.7</v>
                </pt>
                <pt idx="14">
                  <v>37.08</v>
                </pt>
                <pt idx="15">
                  <v>39.67</v>
                </pt>
                <pt idx="16">
                  <v>40.92</v>
                </pt>
                <pt idx="17">
                  <v>41.41</v>
                </pt>
                <pt idx="18">
                  <v>42.44</v>
                </pt>
                <pt idx="19">
                  <v>42.66</v>
                </pt>
                <pt idx="20">
                  <v>42.97</v>
                </pt>
              </numCache>
            </numRef>
          </val>
          <smooth val="1"/>
        </ser>
        <ser>
          <idx val="1"/>
          <order val="1"/>
          <tx>
            <strRef>
              <f>'AR, Ring, 0x7, 4nodes'!$F$468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4nodes'!$A$469:$A$489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4nodes'!$F$469:$F$489</f>
              <numCache>
                <formatCode>General</formatCode>
                <ptCount val="21"/>
                <pt idx="0">
                  <v>0.01982812828526258</v>
                </pt>
                <pt idx="1">
                  <v>0.03963905931425023</v>
                </pt>
                <pt idx="2">
                  <v>0.07920941901860014</v>
                </pt>
                <pt idx="3">
                  <v>0.1581447527533945</v>
                </pt>
                <pt idx="4">
                  <v>0.315198835189187</v>
                </pt>
                <pt idx="5">
                  <v>0.62607981186356</v>
                </pt>
                <pt idx="6">
                  <v>1.235238291603468</v>
                </pt>
                <pt idx="7">
                  <v>2.405463083372511</v>
                </pt>
                <pt idx="8">
                  <v>4.570376490440225</v>
                </pt>
                <pt idx="9">
                  <v>8.309764860097149</v>
                </pt>
                <pt idx="10">
                  <v>14.06265145617389</v>
                </pt>
                <pt idx="11">
                  <v>21.50753007632196</v>
                </pt>
                <pt idx="12">
                  <v>29.25016381415082</v>
                </pt>
                <pt idx="13">
                  <v>35.67085352007197</v>
                </pt>
                <pt idx="14">
                  <v>40.06857000072601</v>
                </pt>
                <pt idx="15">
                  <v>40.06857000072601</v>
                </pt>
                <pt idx="16">
                  <v>40.06857000072601</v>
                </pt>
                <pt idx="17">
                  <v>40.06857000072601</v>
                </pt>
                <pt idx="18">
                  <v>40.3797107888209</v>
                </pt>
                <pt idx="19">
                  <v>40.3797107888209</v>
                </pt>
                <pt idx="20">
                  <v>40.45825247723455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LL128,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4nodes'!$E$503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4nodes'!$A$504:$A$524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4nodes'!$E$504:$E$524</f>
              <numCache>
                <formatCode>General</formatCode>
                <ptCount val="21"/>
                <pt idx="0">
                  <v>0.01</v>
                </pt>
                <pt idx="1">
                  <v>0.03</v>
                </pt>
                <pt idx="2">
                  <v>0.06</v>
                </pt>
                <pt idx="3">
                  <v>0.11</v>
                </pt>
                <pt idx="4">
                  <v>0.2</v>
                </pt>
                <pt idx="5">
                  <v>0.39</v>
                </pt>
                <pt idx="6">
                  <v>0.76</v>
                </pt>
                <pt idx="7">
                  <v>1.37</v>
                </pt>
                <pt idx="8">
                  <v>2.07</v>
                </pt>
                <pt idx="9">
                  <v>4.01</v>
                </pt>
                <pt idx="10">
                  <v>7.66</v>
                </pt>
                <pt idx="11">
                  <v>14</v>
                </pt>
                <pt idx="12">
                  <v>23.87</v>
                </pt>
                <pt idx="13">
                  <v>32.73</v>
                </pt>
                <pt idx="14">
                  <v>37.21</v>
                </pt>
                <pt idx="15">
                  <v>39.56</v>
                </pt>
                <pt idx="16">
                  <v>41.09</v>
                </pt>
                <pt idx="17">
                  <v>41.9</v>
                </pt>
                <pt idx="18">
                  <v>42.47</v>
                </pt>
                <pt idx="19">
                  <v>42.87</v>
                </pt>
                <pt idx="20">
                  <v>43.01</v>
                </pt>
              </numCache>
            </numRef>
          </val>
          <smooth val="1"/>
        </ser>
        <ser>
          <idx val="1"/>
          <order val="1"/>
          <tx>
            <strRef>
              <f>'AR, Ring, 0x7, 4nodes'!$F$503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4nodes'!$A$504:$A$524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4nodes'!$F$504:$F$524</f>
              <numCache>
                <formatCode>General</formatCode>
                <ptCount val="21"/>
                <pt idx="0">
                  <v>0.01982812828526258</v>
                </pt>
                <pt idx="1">
                  <v>0.03963905931425023</v>
                </pt>
                <pt idx="2">
                  <v>0.07920941901860014</v>
                </pt>
                <pt idx="3">
                  <v>0.1581447527533945</v>
                </pt>
                <pt idx="4">
                  <v>0.315198835189187</v>
                </pt>
                <pt idx="5">
                  <v>0.62607981186356</v>
                </pt>
                <pt idx="6">
                  <v>1.235238291603468</v>
                </pt>
                <pt idx="7">
                  <v>2.405463083372511</v>
                </pt>
                <pt idx="8">
                  <v>4.570376490440225</v>
                </pt>
                <pt idx="9">
                  <v>8.309764860097149</v>
                </pt>
                <pt idx="10">
                  <v>14.06265145617389</v>
                </pt>
                <pt idx="11">
                  <v>21.50753007632196</v>
                </pt>
                <pt idx="12">
                  <v>29.25016381415082</v>
                </pt>
                <pt idx="13">
                  <v>35.67085352007197</v>
                </pt>
                <pt idx="14">
                  <v>40.06857000072601</v>
                </pt>
                <pt idx="15">
                  <v>42.70077356635963</v>
                </pt>
                <pt idx="16">
                  <v>42.70077356635963</v>
                </pt>
                <pt idx="17">
                  <v>42.70077356635963</v>
                </pt>
                <pt idx="18">
                  <v>42.70077356635963</v>
                </pt>
                <pt idx="19">
                  <v>42.87681633009103</v>
                </pt>
                <pt idx="20">
                  <v>42.87681633009103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Simple,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4nodes'!$E$12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4nodes'!$A$13:$A$35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4nodes'!$E$13:$E$35</f>
              <numCache>
                <formatCode>General</formatCode>
                <ptCount val="23"/>
                <pt idx="0">
                  <v>0.02</v>
                </pt>
                <pt idx="1">
                  <v>0.03</v>
                </pt>
                <pt idx="2">
                  <v>0.06</v>
                </pt>
                <pt idx="3">
                  <v>0.11</v>
                </pt>
                <pt idx="4">
                  <v>0.2</v>
                </pt>
                <pt idx="5">
                  <v>0.35</v>
                </pt>
                <pt idx="6">
                  <v>0.64</v>
                </pt>
                <pt idx="7">
                  <v>1.07</v>
                </pt>
                <pt idx="8">
                  <v>1.83</v>
                </pt>
                <pt idx="9">
                  <v>2.64</v>
                </pt>
                <pt idx="10">
                  <v>3.39</v>
                </pt>
                <pt idx="11">
                  <v>5.92</v>
                </pt>
                <pt idx="12">
                  <v>9.390000000000001</v>
                </pt>
                <pt idx="13">
                  <v>11.77</v>
                </pt>
                <pt idx="14">
                  <v>13.78</v>
                </pt>
                <pt idx="15">
                  <v>13.23</v>
                </pt>
                <pt idx="16">
                  <v>14.81</v>
                </pt>
                <pt idx="17">
                  <v>15.96</v>
                </pt>
                <pt idx="18">
                  <v>16.29</v>
                </pt>
                <pt idx="19">
                  <v>16.41</v>
                </pt>
                <pt idx="20">
                  <v>16.49</v>
                </pt>
                <pt idx="21">
                  <v>16.52</v>
                </pt>
                <pt idx="22">
                  <v>16.54</v>
                </pt>
              </numCache>
            </numRef>
          </val>
          <smooth val="1"/>
        </ser>
        <ser>
          <idx val="1"/>
          <order val="1"/>
          <tx>
            <strRef>
              <f>'AR, Tree, 0x7, 4nodes'!$F$12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4nodes'!$A$13:$A$35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4nodes'!$F$13:$F$35</f>
              <numCache>
                <formatCode>General</formatCode>
                <ptCount val="23"/>
                <pt idx="0">
                  <v>0.02378085739828154</v>
                </pt>
                <pt idx="1">
                  <v>0.047515357629629</v>
                </pt>
                <pt idx="2">
                  <v>0.09484582773415168</v>
                </pt>
                <pt idx="3">
                  <v>0.1889564051441365</v>
                </pt>
                <pt idx="4">
                  <v>0.375005744141753</v>
                </pt>
                <pt idx="5">
                  <v>0.7386475064248275</v>
                </pt>
                <pt idx="6">
                  <v>1.433844523341268</v>
                </pt>
                <pt idx="7">
                  <v>2.708370785436365</v>
                </pt>
                <pt idx="8">
                  <v>4.875060672323011</v>
                </pt>
                <pt idx="9">
                  <v>8.125084266940501</v>
                </pt>
                <pt idx="10">
                  <v>12.18759480006226</v>
                </pt>
                <pt idx="11">
                  <v>16.25008426650352</v>
                </pt>
                <pt idx="12">
                  <v>19.50006067175669</v>
                </pt>
                <pt idx="13">
                  <v>21.66670411831654</v>
                </pt>
                <pt idx="14">
                  <v>22.94119746422957</v>
                </pt>
                <pt idx="15">
                  <v>23.63637477898926</v>
                </pt>
                <pt idx="16">
                  <v>24.00000574405514</v>
                </pt>
                <pt idx="17">
                  <v>24.18604942835528</v>
                </pt>
                <pt idx="18">
                  <v>24.28015711175816</v>
                </pt>
                <pt idx="19">
                  <v>24.32748611785212</v>
                </pt>
                <pt idx="20">
                  <v>24.35121988178279</v>
                </pt>
                <pt idx="21">
                  <v>24.36310413812213</v>
                </pt>
                <pt idx="22">
                  <v>24.36905061730651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Simple,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4nodes'!$E$48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4nodes'!$A$49:$A$71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4nodes'!$E$49:$E$71</f>
              <numCache>
                <formatCode>General</formatCode>
                <ptCount val="23"/>
                <pt idx="0">
                  <v>0.02</v>
                </pt>
                <pt idx="1">
                  <v>0.03</v>
                </pt>
                <pt idx="2">
                  <v>0.06</v>
                </pt>
                <pt idx="3">
                  <v>0.12</v>
                </pt>
                <pt idx="4">
                  <v>0.2</v>
                </pt>
                <pt idx="5">
                  <v>0.35</v>
                </pt>
                <pt idx="6">
                  <v>0.68</v>
                </pt>
                <pt idx="7">
                  <v>1.22</v>
                </pt>
                <pt idx="8">
                  <v>2.02</v>
                </pt>
                <pt idx="9">
                  <v>3.26</v>
                </pt>
                <pt idx="10">
                  <v>4.56</v>
                </pt>
                <pt idx="11">
                  <v>5.87</v>
                </pt>
                <pt idx="12">
                  <v>9.67</v>
                </pt>
                <pt idx="13">
                  <v>13</v>
                </pt>
                <pt idx="14">
                  <v>15.62</v>
                </pt>
                <pt idx="15">
                  <v>17.98</v>
                </pt>
                <pt idx="16">
                  <v>19.69</v>
                </pt>
                <pt idx="17">
                  <v>21.49</v>
                </pt>
                <pt idx="18">
                  <v>22.38</v>
                </pt>
                <pt idx="19">
                  <v>22.85</v>
                </pt>
                <pt idx="20">
                  <v>23.09</v>
                </pt>
                <pt idx="21">
                  <v>23.2</v>
                </pt>
                <pt idx="22">
                  <v>23.22</v>
                </pt>
              </numCache>
            </numRef>
          </val>
          <smooth val="1"/>
        </ser>
        <ser>
          <idx val="1"/>
          <order val="1"/>
          <tx>
            <strRef>
              <f>'AR, Tree, 0x7, 4nodes'!$F$48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4nodes'!$A$49:$A$71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4nodes'!$F$49:$F$71</f>
              <numCache>
                <formatCode>General</formatCode>
                <ptCount val="23"/>
                <pt idx="0">
                  <v>0.02378085739828154</v>
                </pt>
                <pt idx="1">
                  <v>0.047515357629629</v>
                </pt>
                <pt idx="2">
                  <v>0.09484582773415168</v>
                </pt>
                <pt idx="3">
                  <v>0.1889564051441365</v>
                </pt>
                <pt idx="4">
                  <v>0.375005744141753</v>
                </pt>
                <pt idx="5">
                  <v>0.7386475064248275</v>
                </pt>
                <pt idx="6">
                  <v>1.433844523341268</v>
                </pt>
                <pt idx="7">
                  <v>2.708370785436365</v>
                </pt>
                <pt idx="8">
                  <v>4.875060672323011</v>
                </pt>
                <pt idx="9">
                  <v>8.125084266940501</v>
                </pt>
                <pt idx="10">
                  <v>12.18759480006226</v>
                </pt>
                <pt idx="11">
                  <v>16.25008426650352</v>
                </pt>
                <pt idx="12">
                  <v>19.50006067175669</v>
                </pt>
                <pt idx="13">
                  <v>21.66670411831654</v>
                </pt>
                <pt idx="14">
                  <v>22.94119746422957</v>
                </pt>
                <pt idx="15">
                  <v>23.63637477898926</v>
                </pt>
                <pt idx="16">
                  <v>24.00000574405514</v>
                </pt>
                <pt idx="17">
                  <v>24.18604942835528</v>
                </pt>
                <pt idx="18">
                  <v>24.28015711175816</v>
                </pt>
                <pt idx="19">
                  <v>24.32748611785212</v>
                </pt>
                <pt idx="20">
                  <v>24.35121988178279</v>
                </pt>
                <pt idx="21">
                  <v>24.36310413812213</v>
                </pt>
                <pt idx="22">
                  <v>24.36905061730651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Simple,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4nodes'!$E$84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4nodes'!$A$85:$A$107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4nodes'!$E$85:$E$107</f>
              <numCache>
                <formatCode>General</formatCode>
                <ptCount val="23"/>
                <pt idx="0">
                  <v>0.02</v>
                </pt>
                <pt idx="1">
                  <v>0.03</v>
                </pt>
                <pt idx="2">
                  <v>0.06</v>
                </pt>
                <pt idx="3">
                  <v>0.12</v>
                </pt>
                <pt idx="4">
                  <v>0.2</v>
                </pt>
                <pt idx="5">
                  <v>0.35</v>
                </pt>
                <pt idx="6">
                  <v>0.68</v>
                </pt>
                <pt idx="7">
                  <v>1.32</v>
                </pt>
                <pt idx="8">
                  <v>2.36</v>
                </pt>
                <pt idx="9">
                  <v>3.91</v>
                </pt>
                <pt idx="10">
                  <v>6.3</v>
                </pt>
                <pt idx="11">
                  <v>8.789999999999999</v>
                </pt>
                <pt idx="12">
                  <v>11.32</v>
                </pt>
                <pt idx="13">
                  <v>18.1</v>
                </pt>
                <pt idx="14">
                  <v>24.75</v>
                </pt>
                <pt idx="15">
                  <v>27.25</v>
                </pt>
                <pt idx="16">
                  <v>27.39</v>
                </pt>
                <pt idx="17">
                  <v>28</v>
                </pt>
                <pt idx="18">
                  <v>29.17</v>
                </pt>
                <pt idx="19">
                  <v>30.12</v>
                </pt>
                <pt idx="20">
                  <v>30.71</v>
                </pt>
                <pt idx="21">
                  <v>31</v>
                </pt>
                <pt idx="22">
                  <v>31.14</v>
                </pt>
              </numCache>
            </numRef>
          </val>
          <smooth val="1"/>
        </ser>
        <ser>
          <idx val="1"/>
          <order val="1"/>
          <tx>
            <strRef>
              <f>'AR, Tree, 0x7, 4nodes'!$F$84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4nodes'!$A$85:$A$107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4nodes'!$F$85:$F$107</f>
              <numCache>
                <formatCode>General</formatCode>
                <ptCount val="23"/>
                <pt idx="0">
                  <v>0.02378859364653062</v>
                </pt>
                <pt idx="1">
                  <v>0.04754625236036199</v>
                </pt>
                <pt idx="2">
                  <v>0.09496900604509095</v>
                </pt>
                <pt idx="3">
                  <v>0.1894459370858926</v>
                </pt>
                <pt idx="4">
                  <v>0.3769387932035128</v>
                </pt>
                <pt idx="5">
                  <v>0.7461848407420391</v>
                </pt>
                <pt idx="6">
                  <v>1.462521842090652</v>
                </pt>
                <pt idx="7">
                  <v>2.812540388458035</v>
                </pt>
                <pt idx="8">
                  <v>5.223283935126597</v>
                </pt>
                <pt idx="9">
                  <v>9.140731650484835</v>
                </pt>
                <pt idx="10">
                  <v>14.62513651230203</v>
                </pt>
                <pt idx="11">
                  <v>20.89299644075303</v>
                </pt>
                <pt idx="12">
                  <v>26.59102191041901</v>
                </pt>
                <pt idx="13">
                  <v>30.78954931377459</v>
                </pt>
                <pt idx="14">
                  <v>33.42861600366036</v>
                </pt>
                <pt idx="15">
                  <v>34.92539746244115</v>
                </pt>
                <pt idx="16">
                  <v>35.72520356725846</v>
                </pt>
                <pt idx="17">
                  <v>36.13900265105422</v>
                </pt>
                <pt idx="18">
                  <v>36.34951785718035</v>
                </pt>
                <pt idx="19">
                  <v>36.45569785920482</v>
                </pt>
                <pt idx="20">
                  <v>36.50902082101022</v>
                </pt>
                <pt idx="21">
                  <v>36.5357408404828</v>
                </pt>
                <pt idx="22">
                  <v>36.54911552236282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Simple,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4nodes'!$E$120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4nodes'!$A$121:$A$143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4nodes'!$E$121:$E$143</f>
              <numCache>
                <formatCode>General</formatCode>
                <ptCount val="23"/>
                <pt idx="0">
                  <v>0.01</v>
                </pt>
                <pt idx="1">
                  <v>0.03</v>
                </pt>
                <pt idx="2">
                  <v>0.06</v>
                </pt>
                <pt idx="3">
                  <v>0.11</v>
                </pt>
                <pt idx="4">
                  <v>0.2</v>
                </pt>
                <pt idx="5">
                  <v>0.35</v>
                </pt>
                <pt idx="6">
                  <v>0.68</v>
                </pt>
                <pt idx="7">
                  <v>1.32</v>
                </pt>
                <pt idx="8">
                  <v>2.41</v>
                </pt>
                <pt idx="9">
                  <v>4.24</v>
                </pt>
                <pt idx="10">
                  <v>6.76</v>
                </pt>
                <pt idx="11">
                  <v>10.45</v>
                </pt>
                <pt idx="12">
                  <v>14.22</v>
                </pt>
                <pt idx="13">
                  <v>17.66</v>
                </pt>
                <pt idx="14">
                  <v>24.95</v>
                </pt>
                <pt idx="15">
                  <v>27.2</v>
                </pt>
                <pt idx="16">
                  <v>26.2</v>
                </pt>
                <pt idx="17">
                  <v>27.57</v>
                </pt>
                <pt idx="18">
                  <v>28.82</v>
                </pt>
                <pt idx="19">
                  <v>30.1</v>
                </pt>
                <pt idx="20">
                  <v>30.72</v>
                </pt>
                <pt idx="21">
                  <v>30.83</v>
                </pt>
                <pt idx="22">
                  <v>30.97</v>
                </pt>
              </numCache>
            </numRef>
          </val>
          <smooth val="1"/>
        </ser>
        <ser>
          <idx val="1"/>
          <order val="1"/>
          <tx>
            <strRef>
              <f>'AR, Tree, 0x7, 4nodes'!$F$120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4nodes'!$A$121:$A$143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4nodes'!$F$121:$F$143</f>
              <numCache>
                <formatCode>General</formatCode>
                <ptCount val="23"/>
                <pt idx="0">
                  <v>0.02378859364653062</v>
                </pt>
                <pt idx="1">
                  <v>0.04754625236036199</v>
                </pt>
                <pt idx="2">
                  <v>0.09496900604509095</v>
                </pt>
                <pt idx="3">
                  <v>0.1894459370858926</v>
                </pt>
                <pt idx="4">
                  <v>0.3769387932035128</v>
                </pt>
                <pt idx="5">
                  <v>0.7461848407420391</v>
                </pt>
                <pt idx="6">
                  <v>1.462521842090652</v>
                </pt>
                <pt idx="7">
                  <v>2.812540388458035</v>
                </pt>
                <pt idx="8">
                  <v>5.223283935126597</v>
                </pt>
                <pt idx="9">
                  <v>9.140731650484835</v>
                </pt>
                <pt idx="10">
                  <v>14.62513651230203</v>
                </pt>
                <pt idx="11">
                  <v>20.89299644075303</v>
                </pt>
                <pt idx="12">
                  <v>26.59102191041901</v>
                </pt>
                <pt idx="13">
                  <v>30.78954931377459</v>
                </pt>
                <pt idx="14">
                  <v>33.42861600366036</v>
                </pt>
                <pt idx="15">
                  <v>34.92539746244115</v>
                </pt>
                <pt idx="16">
                  <v>35.72520356725846</v>
                </pt>
                <pt idx="17">
                  <v>36.13900265105422</v>
                </pt>
                <pt idx="18">
                  <v>36.34951785718035</v>
                </pt>
                <pt idx="19">
                  <v>36.45569785920482</v>
                </pt>
                <pt idx="20">
                  <v>36.50902082101022</v>
                </pt>
                <pt idx="21">
                  <v>36.5357408404828</v>
                </pt>
                <pt idx="22">
                  <v>36.54911552236282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Simple,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4nodes'!$E$156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4nodes'!$A$157:$A$179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4nodes'!$E$157:$E$179</f>
              <numCache>
                <formatCode>General</formatCode>
                <ptCount val="23"/>
                <pt idx="0">
                  <v>0.02</v>
                </pt>
                <pt idx="1">
                  <v>0.03</v>
                </pt>
                <pt idx="2">
                  <v>0.06</v>
                </pt>
                <pt idx="3">
                  <v>0.12</v>
                </pt>
                <pt idx="4">
                  <v>0.2</v>
                </pt>
                <pt idx="5">
                  <v>0.35</v>
                </pt>
                <pt idx="6">
                  <v>0.68</v>
                </pt>
                <pt idx="7">
                  <v>1.32</v>
                </pt>
                <pt idx="8">
                  <v>2.41</v>
                </pt>
                <pt idx="9">
                  <v>4.06</v>
                </pt>
                <pt idx="10">
                  <v>7.08</v>
                </pt>
                <pt idx="11">
                  <v>10.83</v>
                </pt>
                <pt idx="12">
                  <v>16.02</v>
                </pt>
                <pt idx="13">
                  <v>20.89</v>
                </pt>
                <pt idx="14">
                  <v>24.66</v>
                </pt>
                <pt idx="15">
                  <v>27.32</v>
                </pt>
                <pt idx="16">
                  <v>26.12</v>
                </pt>
                <pt idx="17">
                  <v>27.46</v>
                </pt>
                <pt idx="18">
                  <v>28.15</v>
                </pt>
                <pt idx="19">
                  <v>29.59</v>
                </pt>
                <pt idx="20">
                  <v>30.56</v>
                </pt>
                <pt idx="21">
                  <v>30.26</v>
                </pt>
                <pt idx="22">
                  <v>30.3</v>
                </pt>
              </numCache>
            </numRef>
          </val>
          <smooth val="1"/>
        </ser>
        <ser>
          <idx val="1"/>
          <order val="1"/>
          <tx>
            <strRef>
              <f>'AR, Tree, 0x7, 4nodes'!$F$156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4nodes'!$A$157:$A$179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4nodes'!$F$157:$F$179</f>
              <numCache>
                <formatCode>General</formatCode>
                <ptCount val="23"/>
                <pt idx="0">
                  <v>0.02378859364653062</v>
                </pt>
                <pt idx="1">
                  <v>0.04754625236036199</v>
                </pt>
                <pt idx="2">
                  <v>0.09496900604509095</v>
                </pt>
                <pt idx="3">
                  <v>0.1894459370858926</v>
                </pt>
                <pt idx="4">
                  <v>0.3769387932035128</v>
                </pt>
                <pt idx="5">
                  <v>0.7461848407420391</v>
                </pt>
                <pt idx="6">
                  <v>1.462521842090652</v>
                </pt>
                <pt idx="7">
                  <v>2.812540388458035</v>
                </pt>
                <pt idx="8">
                  <v>5.223283935126597</v>
                </pt>
                <pt idx="9">
                  <v>9.140731650484835</v>
                </pt>
                <pt idx="10">
                  <v>14.62513651230203</v>
                </pt>
                <pt idx="11">
                  <v>20.89299644075303</v>
                </pt>
                <pt idx="12">
                  <v>26.59102191041901</v>
                </pt>
                <pt idx="13">
                  <v>30.78954931377459</v>
                </pt>
                <pt idx="14">
                  <v>33.42861600366036</v>
                </pt>
                <pt idx="15">
                  <v>34.92539746244115</v>
                </pt>
                <pt idx="16">
                  <v>35.72520356725846</v>
                </pt>
                <pt idx="17">
                  <v>36.13900265105422</v>
                </pt>
                <pt idx="18">
                  <v>36.34951785718035</v>
                </pt>
                <pt idx="19">
                  <v>36.45569785920482</v>
                </pt>
                <pt idx="20">
                  <v>36.50902082101022</v>
                </pt>
                <pt idx="21">
                  <v>36.5357408404828</v>
                </pt>
                <pt idx="22">
                  <v>36.54911552236282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LL,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4nodes'!$E$192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4nodes'!$A$193:$A$213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4nodes'!$E$193:$E$213</f>
              <numCache>
                <formatCode>General</formatCode>
                <ptCount val="21"/>
                <pt idx="0">
                  <v>0.02</v>
                </pt>
                <pt idx="1">
                  <v>0.05</v>
                </pt>
                <pt idx="2">
                  <v>0.08</v>
                </pt>
                <pt idx="3">
                  <v>0.15</v>
                </pt>
                <pt idx="4">
                  <v>0.27</v>
                </pt>
                <pt idx="5">
                  <v>0.44</v>
                </pt>
                <pt idx="6">
                  <v>0.79</v>
                </pt>
                <pt idx="7">
                  <v>1.33</v>
                </pt>
                <pt idx="8">
                  <v>1.9</v>
                </pt>
                <pt idx="9">
                  <v>2.09</v>
                </pt>
                <pt idx="10">
                  <v>2.2</v>
                </pt>
                <pt idx="11">
                  <v>2.26</v>
                </pt>
                <pt idx="12">
                  <v>2.3</v>
                </pt>
                <pt idx="13">
                  <v>2.31</v>
                </pt>
                <pt idx="14">
                  <v>2.32</v>
                </pt>
                <pt idx="15">
                  <v>2.32</v>
                </pt>
                <pt idx="16">
                  <v>2.32</v>
                </pt>
                <pt idx="17">
                  <v>2.32</v>
                </pt>
                <pt idx="18">
                  <v>2.32</v>
                </pt>
                <pt idx="19">
                  <v>2.32</v>
                </pt>
                <pt idx="20">
                  <v>2.32</v>
                </pt>
              </numCache>
            </numRef>
          </val>
          <smooth val="1"/>
        </ser>
        <ser>
          <idx val="1"/>
          <order val="1"/>
          <tx>
            <strRef>
              <f>'AR, Tree, 0x7, 4nodes'!$F$192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4nodes'!$A$193:$A$213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4nodes'!$F$193:$F$213</f>
              <numCache>
                <formatCode>General</formatCode>
                <ptCount val="21"/>
                <pt idx="0">
                  <v>0.0237576788148145</v>
                </pt>
                <pt idx="1">
                  <v>0.04742291386707584</v>
                </pt>
                <pt idx="2">
                  <v>0.09447820257206826</v>
                </pt>
                <pt idx="3">
                  <v>0.1875028720708765</v>
                </pt>
                <pt idx="4">
                  <v>0.3693237532124137</v>
                </pt>
                <pt idx="5">
                  <v>0.716922261670634</v>
                </pt>
                <pt idx="6">
                  <v>1.354185392718183</v>
                </pt>
                <pt idx="7">
                  <v>2.437530336161505</v>
                </pt>
                <pt idx="8">
                  <v>4.062542133470251</v>
                </pt>
                <pt idx="9">
                  <v>6.093797400031132</v>
                </pt>
                <pt idx="10">
                  <v>8.125042133251762</v>
                </pt>
                <pt idx="11">
                  <v>9.750030335878346</v>
                </pt>
                <pt idx="12">
                  <v>10.83335205915827</v>
                </pt>
                <pt idx="13">
                  <v>11.47059873211478</v>
                </pt>
                <pt idx="14">
                  <v>11.81818738949463</v>
                </pt>
                <pt idx="15">
                  <v>12.00000287202757</v>
                </pt>
                <pt idx="16">
                  <v>12.09302471417764</v>
                </pt>
                <pt idx="17">
                  <v>12.14007855587908</v>
                </pt>
                <pt idx="18">
                  <v>12.16374305892606</v>
                </pt>
                <pt idx="19">
                  <v>12.17560994089139</v>
                </pt>
                <pt idx="20">
                  <v>12.18155206906107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LL,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4nodes'!$E$226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4nodes'!$A$227:$A$247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4nodes'!$E$227:$E$247</f>
              <numCache>
                <formatCode>General</formatCode>
                <ptCount val="21"/>
                <pt idx="0">
                  <v>0.02</v>
                </pt>
                <pt idx="1">
                  <v>0.05</v>
                </pt>
                <pt idx="2">
                  <v>0.08</v>
                </pt>
                <pt idx="3">
                  <v>0.16</v>
                </pt>
                <pt idx="4">
                  <v>0.29</v>
                </pt>
                <pt idx="5">
                  <v>0.5</v>
                </pt>
                <pt idx="6">
                  <v>0.8</v>
                </pt>
                <pt idx="7">
                  <v>1.33</v>
                </pt>
                <pt idx="8">
                  <v>1.91</v>
                </pt>
                <pt idx="9">
                  <v>2.2</v>
                </pt>
                <pt idx="10">
                  <v>2.41</v>
                </pt>
                <pt idx="11">
                  <v>2.54</v>
                </pt>
                <pt idx="12">
                  <v>2.62</v>
                </pt>
                <pt idx="13">
                  <v>2.65</v>
                </pt>
                <pt idx="14">
                  <v>2.68</v>
                </pt>
                <pt idx="15">
                  <v>2.7</v>
                </pt>
                <pt idx="16">
                  <v>2.7</v>
                </pt>
                <pt idx="17">
                  <v>2.71</v>
                </pt>
                <pt idx="18">
                  <v>2.71</v>
                </pt>
                <pt idx="19">
                  <v>2.71</v>
                </pt>
                <pt idx="20">
                  <v>2.71</v>
                </pt>
              </numCache>
            </numRef>
          </val>
          <smooth val="1"/>
        </ser>
        <ser>
          <idx val="1"/>
          <order val="1"/>
          <tx>
            <strRef>
              <f>'AR, Tree, 0x7, 4nodes'!$F$226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4nodes'!$A$227:$A$247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4nodes'!$F$227:$F$247</f>
              <numCache>
                <formatCode>General</formatCode>
                <ptCount val="21"/>
                <pt idx="0">
                  <v>0.0237576788148145</v>
                </pt>
                <pt idx="1">
                  <v>0.04742291386707584</v>
                </pt>
                <pt idx="2">
                  <v>0.09447820257206826</v>
                </pt>
                <pt idx="3">
                  <v>0.1875028720708765</v>
                </pt>
                <pt idx="4">
                  <v>0.3693237532124137</v>
                </pt>
                <pt idx="5">
                  <v>0.716922261670634</v>
                </pt>
                <pt idx="6">
                  <v>1.354185392718183</v>
                </pt>
                <pt idx="7">
                  <v>2.437530336161505</v>
                </pt>
                <pt idx="8">
                  <v>4.062542133470251</v>
                </pt>
                <pt idx="9">
                  <v>6.093797400031132</v>
                </pt>
                <pt idx="10">
                  <v>8.125042133251762</v>
                </pt>
                <pt idx="11">
                  <v>9.750030335878346</v>
                </pt>
                <pt idx="12">
                  <v>10.83335205915827</v>
                </pt>
                <pt idx="13">
                  <v>11.47059873211478</v>
                </pt>
                <pt idx="14">
                  <v>11.81818738949463</v>
                </pt>
                <pt idx="15">
                  <v>12.00000287202757</v>
                </pt>
                <pt idx="16">
                  <v>12.09302471417764</v>
                </pt>
                <pt idx="17">
                  <v>12.14007855587908</v>
                </pt>
                <pt idx="18">
                  <v>12.16374305892606</v>
                </pt>
                <pt idx="19">
                  <v>12.17560994089139</v>
                </pt>
                <pt idx="20">
                  <v>12.18155206906107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LL,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4nodes'!$E$260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4nodes'!$A$261:$A$281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4nodes'!$E$261:$E$281</f>
              <numCache>
                <formatCode>General</formatCode>
                <ptCount val="21"/>
                <pt idx="0">
                  <v>0.02</v>
                </pt>
                <pt idx="1">
                  <v>0.05</v>
                </pt>
                <pt idx="2">
                  <v>0.08</v>
                </pt>
                <pt idx="3">
                  <v>0.16</v>
                </pt>
                <pt idx="4">
                  <v>0.31</v>
                </pt>
                <pt idx="5">
                  <v>0.5600000000000001</v>
                </pt>
                <pt idx="6">
                  <v>0.98</v>
                </pt>
                <pt idx="7">
                  <v>1.53</v>
                </pt>
                <pt idx="8">
                  <v>2.5</v>
                </pt>
                <pt idx="9">
                  <v>3.32</v>
                </pt>
                <pt idx="10">
                  <v>3.55</v>
                </pt>
                <pt idx="11">
                  <v>3.67</v>
                </pt>
                <pt idx="12">
                  <v>3.74</v>
                </pt>
                <pt idx="13">
                  <v>3.81</v>
                </pt>
                <pt idx="14">
                  <v>3.85</v>
                </pt>
                <pt idx="15">
                  <v>3.86</v>
                </pt>
                <pt idx="16">
                  <v>3.89</v>
                </pt>
                <pt idx="17">
                  <v>3.89</v>
                </pt>
                <pt idx="18">
                  <v>3.89</v>
                </pt>
                <pt idx="19">
                  <v>3.89</v>
                </pt>
                <pt idx="20">
                  <v>3.89</v>
                </pt>
              </numCache>
            </numRef>
          </val>
          <smooth val="1"/>
        </ser>
        <ser>
          <idx val="1"/>
          <order val="1"/>
          <tx>
            <strRef>
              <f>'AR, Tree, 0x7, 4nodes'!$F$260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4nodes'!$A$261:$A$281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4nodes'!$F$261:$F$281</f>
              <numCache>
                <formatCode>General</formatCode>
                <ptCount val="21"/>
                <pt idx="0">
                  <v>0.023773126180181</v>
                </pt>
                <pt idx="1">
                  <v>0.04748450302254548</v>
                </pt>
                <pt idx="2">
                  <v>0.09472296854294632</v>
                </pt>
                <pt idx="3">
                  <v>0.1884693966017564</v>
                </pt>
                <pt idx="4">
                  <v>0.3730924203710195</v>
                </pt>
                <pt idx="5">
                  <v>0.7312609210453258</v>
                </pt>
                <pt idx="6">
                  <v>1.406270194229017</v>
                </pt>
                <pt idx="7">
                  <v>2.611641967563298</v>
                </pt>
                <pt idx="8">
                  <v>4.570365825242417</v>
                </pt>
                <pt idx="9">
                  <v>7.312568256151016</v>
                </pt>
                <pt idx="10">
                  <v>10.44649822037652</v>
                </pt>
                <pt idx="11">
                  <v>13.2955109552095</v>
                </pt>
                <pt idx="12">
                  <v>15.39477465688729</v>
                </pt>
                <pt idx="13">
                  <v>16.71430800183018</v>
                </pt>
                <pt idx="14">
                  <v>17.46269873122058</v>
                </pt>
                <pt idx="15">
                  <v>17.86260178362923</v>
                </pt>
                <pt idx="16">
                  <v>18.06950132552711</v>
                </pt>
                <pt idx="17">
                  <v>18.17475892859017</v>
                </pt>
                <pt idx="18">
                  <v>18.22784892960241</v>
                </pt>
                <pt idx="19">
                  <v>18.25451041050511</v>
                </pt>
                <pt idx="20">
                  <v>18.2678704202414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LL,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4nodes'!$E$294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4nodes'!$A$295:$A$315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4nodes'!$E$295:$E$315</f>
              <numCache>
                <formatCode>General</formatCode>
                <ptCount val="21"/>
                <pt idx="0">
                  <v>0.02</v>
                </pt>
                <pt idx="1">
                  <v>0.05</v>
                </pt>
                <pt idx="2">
                  <v>0.08</v>
                </pt>
                <pt idx="3">
                  <v>0.16</v>
                </pt>
                <pt idx="4">
                  <v>0.31</v>
                </pt>
                <pt idx="5">
                  <v>0.5600000000000001</v>
                </pt>
                <pt idx="6">
                  <v>1</v>
                </pt>
                <pt idx="7">
                  <v>1.66</v>
                </pt>
                <pt idx="8">
                  <v>2.4</v>
                </pt>
                <pt idx="9">
                  <v>3.27</v>
                </pt>
                <pt idx="10">
                  <v>3.56</v>
                </pt>
                <pt idx="11">
                  <v>3.59</v>
                </pt>
                <pt idx="12">
                  <v>3.72</v>
                </pt>
                <pt idx="13">
                  <v>3.81</v>
                </pt>
                <pt idx="14">
                  <v>3.89</v>
                </pt>
                <pt idx="15">
                  <v>3.93</v>
                </pt>
                <pt idx="16">
                  <v>3.95</v>
                </pt>
                <pt idx="17">
                  <v>3.96</v>
                </pt>
                <pt idx="18">
                  <v>3.97</v>
                </pt>
                <pt idx="19">
                  <v>3.97</v>
                </pt>
                <pt idx="20">
                  <v>3.97</v>
                </pt>
              </numCache>
            </numRef>
          </val>
          <smooth val="1"/>
        </ser>
        <ser>
          <idx val="1"/>
          <order val="1"/>
          <tx>
            <strRef>
              <f>'AR, Tree, 0x7, 4nodes'!$F$294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4nodes'!$A$295:$A$315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4nodes'!$F$295:$F$315</f>
              <numCache>
                <formatCode>General</formatCode>
                <ptCount val="21"/>
                <pt idx="0">
                  <v>0.023773126180181</v>
                </pt>
                <pt idx="1">
                  <v>0.04748450302254548</v>
                </pt>
                <pt idx="2">
                  <v>0.09472296854294632</v>
                </pt>
                <pt idx="3">
                  <v>0.1884693966017564</v>
                </pt>
                <pt idx="4">
                  <v>0.3730924203710195</v>
                </pt>
                <pt idx="5">
                  <v>0.7312609210453258</v>
                </pt>
                <pt idx="6">
                  <v>1.406270194229017</v>
                </pt>
                <pt idx="7">
                  <v>2.611641967563298</v>
                </pt>
                <pt idx="8">
                  <v>4.570365825242417</v>
                </pt>
                <pt idx="9">
                  <v>7.312568256151016</v>
                </pt>
                <pt idx="10">
                  <v>10.44649822037652</v>
                </pt>
                <pt idx="11">
                  <v>13.2955109552095</v>
                </pt>
                <pt idx="12">
                  <v>15.39477465688729</v>
                </pt>
                <pt idx="13">
                  <v>16.71430800183018</v>
                </pt>
                <pt idx="14">
                  <v>17.46269873122058</v>
                </pt>
                <pt idx="15">
                  <v>17.86260178362923</v>
                </pt>
                <pt idx="16">
                  <v>18.06950132552711</v>
                </pt>
                <pt idx="17">
                  <v>18.17475892859017</v>
                </pt>
                <pt idx="18">
                  <v>18.22784892960241</v>
                </pt>
                <pt idx="19">
                  <v>18.25451041050511</v>
                </pt>
                <pt idx="20">
                  <v>18.2678704202414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LL,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4nodes'!$E$328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4nodes'!$A$329:$A$349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4nodes'!$E$329:$E$349</f>
              <numCache>
                <formatCode>General</formatCode>
                <ptCount val="21"/>
                <pt idx="0">
                  <v>0.02</v>
                </pt>
                <pt idx="1">
                  <v>0.05</v>
                </pt>
                <pt idx="2">
                  <v>0.08</v>
                </pt>
                <pt idx="3">
                  <v>0.15</v>
                </pt>
                <pt idx="4">
                  <v>0.3</v>
                </pt>
                <pt idx="5">
                  <v>0.55</v>
                </pt>
                <pt idx="6">
                  <v>0.87</v>
                </pt>
                <pt idx="7">
                  <v>1.55</v>
                </pt>
                <pt idx="8">
                  <v>2.4</v>
                </pt>
                <pt idx="9">
                  <v>2.97</v>
                </pt>
                <pt idx="10">
                  <v>3.36</v>
                </pt>
                <pt idx="11">
                  <v>3.44</v>
                </pt>
                <pt idx="12">
                  <v>3.6</v>
                </pt>
                <pt idx="13">
                  <v>3.58</v>
                </pt>
                <pt idx="14">
                  <v>3.61</v>
                </pt>
                <pt idx="15">
                  <v>3.63</v>
                </pt>
                <pt idx="16">
                  <v>3.67</v>
                </pt>
                <pt idx="17">
                  <v>3.69</v>
                </pt>
                <pt idx="18">
                  <v>3.72</v>
                </pt>
                <pt idx="19">
                  <v>3.72</v>
                </pt>
                <pt idx="20">
                  <v>3.72</v>
                </pt>
              </numCache>
            </numRef>
          </val>
          <smooth val="1"/>
        </ser>
        <ser>
          <idx val="1"/>
          <order val="1"/>
          <tx>
            <strRef>
              <f>'AR, Tree, 0x7, 4nodes'!$F$328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4nodes'!$A$329:$A$349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4nodes'!$F$329:$F$349</f>
              <numCache>
                <formatCode>General</formatCode>
                <ptCount val="21"/>
                <pt idx="0">
                  <v>0.023773126180181</v>
                </pt>
                <pt idx="1">
                  <v>0.04748450302254548</v>
                </pt>
                <pt idx="2">
                  <v>0.09472296854294632</v>
                </pt>
                <pt idx="3">
                  <v>0.1884693966017564</v>
                </pt>
                <pt idx="4">
                  <v>0.3730924203710195</v>
                </pt>
                <pt idx="5">
                  <v>0.7312609210453258</v>
                </pt>
                <pt idx="6">
                  <v>1.406270194229017</v>
                </pt>
                <pt idx="7">
                  <v>2.611641967563298</v>
                </pt>
                <pt idx="8">
                  <v>4.570365825242417</v>
                </pt>
                <pt idx="9">
                  <v>7.312568256151016</v>
                </pt>
                <pt idx="10">
                  <v>10.44649822037652</v>
                </pt>
                <pt idx="11">
                  <v>13.2955109552095</v>
                </pt>
                <pt idx="12">
                  <v>15.39477465688729</v>
                </pt>
                <pt idx="13">
                  <v>16.71430800183018</v>
                </pt>
                <pt idx="14">
                  <v>17.46269873122058</v>
                </pt>
                <pt idx="15">
                  <v>17.86260178362923</v>
                </pt>
                <pt idx="16">
                  <v>18.06950132552711</v>
                </pt>
                <pt idx="17">
                  <v>18.17475892859017</v>
                </pt>
                <pt idx="18">
                  <v>18.22784892960241</v>
                </pt>
                <pt idx="19">
                  <v>18.25451041050511</v>
                </pt>
                <pt idx="20">
                  <v>18.2678704202414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LL128,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4nodes'!$E$362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4nodes'!$A$363:$A$383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4nodes'!$E$363:$E$383</f>
              <numCache>
                <formatCode>General</formatCode>
                <ptCount val="21"/>
                <pt idx="0">
                  <v>0.02</v>
                </pt>
                <pt idx="1">
                  <v>0.04</v>
                </pt>
                <pt idx="2">
                  <v>0.07000000000000001</v>
                </pt>
                <pt idx="3">
                  <v>0.14</v>
                </pt>
                <pt idx="4">
                  <v>0.26</v>
                </pt>
                <pt idx="5">
                  <v>0.49</v>
                </pt>
                <pt idx="6">
                  <v>0.92</v>
                </pt>
                <pt idx="7">
                  <v>1.6</v>
                </pt>
                <pt idx="8">
                  <v>2.32</v>
                </pt>
                <pt idx="9">
                  <v>2.9</v>
                </pt>
                <pt idx="10">
                  <v>3.41</v>
                </pt>
                <pt idx="11">
                  <v>5.99</v>
                </pt>
                <pt idx="12">
                  <v>7.98</v>
                </pt>
                <pt idx="13">
                  <v>8.529999999999999</v>
                </pt>
                <pt idx="14">
                  <v>8.85</v>
                </pt>
                <pt idx="15">
                  <v>10.43</v>
                </pt>
                <pt idx="16">
                  <v>11.2</v>
                </pt>
                <pt idx="17">
                  <v>11.46</v>
                </pt>
                <pt idx="18">
                  <v>11.51</v>
                </pt>
                <pt idx="19">
                  <v>11.53</v>
                </pt>
                <pt idx="20">
                  <v>11.55</v>
                </pt>
              </numCache>
            </numRef>
          </val>
          <smooth val="1"/>
        </ser>
        <ser>
          <idx val="1"/>
          <order val="1"/>
          <tx>
            <strRef>
              <f>'AR, Tree, 0x7, 4nodes'!$F$362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4nodes'!$A$363:$A$383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4nodes'!$F$363:$F$383</f>
              <numCache>
                <formatCode>General</formatCode>
                <ptCount val="21"/>
                <pt idx="0">
                  <v>0.02377931075240659</v>
                </pt>
                <pt idx="1">
                  <v>0.04750918350082288</v>
                </pt>
                <pt idx="2">
                  <v>0.09482123040605694</v>
                </pt>
                <pt idx="3">
                  <v>0.1888588021893563</v>
                </pt>
                <pt idx="4">
                  <v>0.3746215110654355</v>
                </pt>
                <pt idx="5">
                  <v>0.7371582753221754</v>
                </pt>
                <pt idx="6">
                  <v>1.42824348648358</v>
                </pt>
                <pt idx="7">
                  <v>2.688456021004993</v>
                </pt>
                <pt idx="8">
                  <v>4.810914349335361</v>
                </pt>
                <pt idx="9">
                  <v>7.948450208183385</v>
                </pt>
                <pt idx="10">
                  <v>11.79444362126392</v>
                </pt>
                <pt idx="11">
                  <v>15.55858788575463</v>
                </pt>
                <pt idx="12">
                  <v>18.51271291116449</v>
                </pt>
                <pt idx="13">
                  <v>20.45457883301154</v>
                </pt>
                <pt idx="14">
                  <v>21.58673445502449</v>
                </pt>
                <pt idx="15">
                  <v>22.20114835044869</v>
                </pt>
                <pt idx="16">
                  <v>22.52166049612962</v>
                </pt>
                <pt idx="17">
                  <v>22.68541216368904</v>
                </pt>
                <pt idx="18">
                  <v>22.76818421625043</v>
                </pt>
                <pt idx="19">
                  <v>22.80979716372804</v>
                </pt>
                <pt idx="20">
                  <v>22.83066073099485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LL128,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4nodes'!$E$396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4nodes'!$A$397:$A$417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4nodes'!$E$397:$E$417</f>
              <numCache>
                <formatCode>General</formatCode>
                <ptCount val="21"/>
                <pt idx="0">
                  <v>0.02</v>
                </pt>
                <pt idx="1">
                  <v>0.04</v>
                </pt>
                <pt idx="2">
                  <v>0.07000000000000001</v>
                </pt>
                <pt idx="3">
                  <v>0.14</v>
                </pt>
                <pt idx="4">
                  <v>0.26</v>
                </pt>
                <pt idx="5">
                  <v>0.51</v>
                </pt>
                <pt idx="6">
                  <v>0.96</v>
                </pt>
                <pt idx="7">
                  <v>1.76</v>
                </pt>
                <pt idx="8">
                  <v>3.05</v>
                </pt>
                <pt idx="9">
                  <v>3.81</v>
                </pt>
                <pt idx="10">
                  <v>4.31</v>
                </pt>
                <pt idx="11">
                  <v>4.64</v>
                </pt>
                <pt idx="12">
                  <v>8.69</v>
                </pt>
                <pt idx="13">
                  <v>14.85</v>
                </pt>
                <pt idx="14">
                  <v>16.1</v>
                </pt>
                <pt idx="15">
                  <v>16.78</v>
                </pt>
                <pt idx="16">
                  <v>19.56</v>
                </pt>
                <pt idx="17">
                  <v>20.63</v>
                </pt>
                <pt idx="18">
                  <v>21.18</v>
                </pt>
                <pt idx="19">
                  <v>21.44</v>
                </pt>
                <pt idx="20">
                  <v>21.53</v>
                </pt>
              </numCache>
            </numRef>
          </val>
          <smooth val="1"/>
        </ser>
        <ser>
          <idx val="1"/>
          <order val="1"/>
          <tx>
            <strRef>
              <f>'AR, Tree, 0x7, 4nodes'!$F$396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4nodes'!$A$397:$A$417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4nodes'!$F$397:$F$417</f>
              <numCache>
                <formatCode>General</formatCode>
                <ptCount val="21"/>
                <pt idx="0">
                  <v>0.02377931075240659</v>
                </pt>
                <pt idx="1">
                  <v>0.04750918350082288</v>
                </pt>
                <pt idx="2">
                  <v>0.09482123040605694</v>
                </pt>
                <pt idx="3">
                  <v>0.1888588021893563</v>
                </pt>
                <pt idx="4">
                  <v>0.3746215110654355</v>
                </pt>
                <pt idx="5">
                  <v>0.7371582753221754</v>
                </pt>
                <pt idx="6">
                  <v>1.42824348648358</v>
                </pt>
                <pt idx="7">
                  <v>2.688456021004993</v>
                </pt>
                <pt idx="8">
                  <v>4.810914349335361</v>
                </pt>
                <pt idx="9">
                  <v>7.948450208183385</v>
                </pt>
                <pt idx="10">
                  <v>11.79444362126392</v>
                </pt>
                <pt idx="11">
                  <v>15.55858788575463</v>
                </pt>
                <pt idx="12">
                  <v>18.51271291116449</v>
                </pt>
                <pt idx="13">
                  <v>20.45457883301154</v>
                </pt>
                <pt idx="14">
                  <v>21.58673445502449</v>
                </pt>
                <pt idx="15">
                  <v>22.20114835044869</v>
                </pt>
                <pt idx="16">
                  <v>22.52166049612962</v>
                </pt>
                <pt idx="17">
                  <v>22.68541216368904</v>
                </pt>
                <pt idx="18">
                  <v>22.76818421625043</v>
                </pt>
                <pt idx="19">
                  <v>22.80979716372804</v>
                </pt>
                <pt idx="20">
                  <v>22.83066073099485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LL128,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4nodes'!$E$430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4nodes'!$A$431:$A$451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4nodes'!$E$431:$E$451</f>
              <numCache>
                <formatCode>General</formatCode>
                <ptCount val="21"/>
                <pt idx="0">
                  <v>0.02</v>
                </pt>
                <pt idx="1">
                  <v>0.04</v>
                </pt>
                <pt idx="2">
                  <v>0.07000000000000001</v>
                </pt>
                <pt idx="3">
                  <v>0.14</v>
                </pt>
                <pt idx="4">
                  <v>0.26</v>
                </pt>
                <pt idx="5">
                  <v>0.51</v>
                </pt>
                <pt idx="6">
                  <v>1.01</v>
                </pt>
                <pt idx="7">
                  <v>1.89</v>
                </pt>
                <pt idx="8">
                  <v>3.46</v>
                </pt>
                <pt idx="9">
                  <v>5.84</v>
                </pt>
                <pt idx="10">
                  <v>6.77</v>
                </pt>
                <pt idx="11">
                  <v>7.27</v>
                </pt>
                <pt idx="12">
                  <v>7.67</v>
                </pt>
                <pt idx="13">
                  <v>14.13</v>
                </pt>
                <pt idx="14">
                  <v>24.24</v>
                </pt>
                <pt idx="15">
                  <v>25.45</v>
                </pt>
                <pt idx="16">
                  <v>26.19</v>
                </pt>
                <pt idx="17">
                  <v>29.36</v>
                </pt>
                <pt idx="18">
                  <v>29.98</v>
                </pt>
                <pt idx="19">
                  <v>29.4</v>
                </pt>
                <pt idx="20">
                  <v>29.91</v>
                </pt>
              </numCache>
            </numRef>
          </val>
          <smooth val="1"/>
        </ser>
        <ser>
          <idx val="1"/>
          <order val="1"/>
          <tx>
            <strRef>
              <f>'AR, Tree, 0x7, 4nodes'!$F$430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4nodes'!$A$431:$A$451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4nodes'!$F$431:$F$451</f>
              <numCache>
                <formatCode>General</formatCode>
                <ptCount val="21"/>
                <pt idx="0">
                  <v>0.0237875618559568</v>
                </pt>
                <pt idx="1">
                  <v>0.04754213074186216</v>
                </pt>
                <pt idx="2">
                  <v>0.0949525637875788</v>
                </pt>
                <pt idx="3">
                  <v>0.189380519659089</v>
                </pt>
                <pt idx="4">
                  <v>0.3766799026864662</v>
                </pt>
                <pt idx="5">
                  <v>0.7451709872137526</v>
                </pt>
                <pt idx="6">
                  <v>1.458632098403377</v>
                </pt>
                <pt idx="7">
                  <v>2.798190487583409</v>
                </pt>
                <pt idx="8">
                  <v>5.174007020707915</v>
                </pt>
                <pt idx="9">
                  <v>8.990881870914261</v>
                </pt>
                <pt idx="10">
                  <v>14.24525938295037</v>
                </pt>
                <pt idx="11">
                  <v>20.12627605074711</v>
                </pt>
                <pt idx="12">
                  <v>25.36137430286862</v>
                </pt>
                <pt idx="13">
                  <v>29.15289172316574</v>
                </pt>
                <pt idx="14">
                  <v>31.50811859508958</v>
                </pt>
                <pt idx="15">
                  <v>32.83444619828739</v>
                </pt>
                <pt idx="16">
                  <v>33.54038388923341</v>
                </pt>
                <pt idx="17">
                  <v>33.90485963180854</v>
                </pt>
                <pt idx="18">
                  <v>34.0900842375849</v>
                </pt>
                <pt idx="19">
                  <v>34.18345754034655</v>
                </pt>
                <pt idx="20">
                  <v>34.23033626803923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LL128,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4nodes'!$E$464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4nodes'!$A$465:$A$485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4nodes'!$E$465:$E$485</f>
              <numCache>
                <formatCode>General</formatCode>
                <ptCount val="21"/>
                <pt idx="0">
                  <v>0.02</v>
                </pt>
                <pt idx="1">
                  <v>0.04</v>
                </pt>
                <pt idx="2">
                  <v>0.07000000000000001</v>
                </pt>
                <pt idx="3">
                  <v>0.14</v>
                </pt>
                <pt idx="4">
                  <v>0.26</v>
                </pt>
                <pt idx="5">
                  <v>0.51</v>
                </pt>
                <pt idx="6">
                  <v>1</v>
                </pt>
                <pt idx="7">
                  <v>1.87</v>
                </pt>
                <pt idx="8">
                  <v>3.42</v>
                </pt>
                <pt idx="9">
                  <v>5.71</v>
                </pt>
                <pt idx="10">
                  <v>8.59</v>
                </pt>
                <pt idx="11">
                  <v>8.84</v>
                </pt>
                <pt idx="12">
                  <v>9.039999999999999</v>
                </pt>
                <pt idx="13">
                  <v>9.19</v>
                </pt>
                <pt idx="14">
                  <v>17.25</v>
                </pt>
                <pt idx="15">
                  <v>26.01</v>
                </pt>
                <pt idx="16">
                  <v>26.95</v>
                </pt>
                <pt idx="17">
                  <v>27.51</v>
                </pt>
                <pt idx="18">
                  <v>28.28</v>
                </pt>
                <pt idx="19">
                  <v>29.6</v>
                </pt>
                <pt idx="20">
                  <v>29.34</v>
                </pt>
              </numCache>
            </numRef>
          </val>
          <smooth val="1"/>
        </ser>
        <ser>
          <idx val="1"/>
          <order val="1"/>
          <tx>
            <strRef>
              <f>'AR, Tree, 0x7, 4nodes'!$F$464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4nodes'!$A$465:$A$485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4nodes'!$F$465:$F$485</f>
              <numCache>
                <formatCode>General</formatCode>
                <ptCount val="21"/>
                <pt idx="0">
                  <v>0.0237875618559568</v>
                </pt>
                <pt idx="1">
                  <v>0.04754213074186216</v>
                </pt>
                <pt idx="2">
                  <v>0.0949525637875788</v>
                </pt>
                <pt idx="3">
                  <v>0.189380519659089</v>
                </pt>
                <pt idx="4">
                  <v>0.3766799026864662</v>
                </pt>
                <pt idx="5">
                  <v>0.7451709872137526</v>
                </pt>
                <pt idx="6">
                  <v>1.458632098403377</v>
                </pt>
                <pt idx="7">
                  <v>2.798190487583409</v>
                </pt>
                <pt idx="8">
                  <v>5.174007020707915</v>
                </pt>
                <pt idx="9">
                  <v>8.990881870914261</v>
                </pt>
                <pt idx="10">
                  <v>14.24525938295037</v>
                </pt>
                <pt idx="11">
                  <v>20.12627605074711</v>
                </pt>
                <pt idx="12">
                  <v>25.36137430286862</v>
                </pt>
                <pt idx="13">
                  <v>29.15289172316574</v>
                </pt>
                <pt idx="14">
                  <v>31.50811859508958</v>
                </pt>
                <pt idx="15">
                  <v>32.83444619828739</v>
                </pt>
                <pt idx="16">
                  <v>33.54038388923341</v>
                </pt>
                <pt idx="17">
                  <v>33.90485963180854</v>
                </pt>
                <pt idx="18">
                  <v>34.0900842375849</v>
                </pt>
                <pt idx="19">
                  <v>34.18345754034655</v>
                </pt>
                <pt idx="20">
                  <v>34.23033626803923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LL128,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4nodes'!$E$498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4nodes'!$A$499:$A$519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4nodes'!$E$499:$E$519</f>
              <numCache>
                <formatCode>General</formatCode>
                <ptCount val="21"/>
                <pt idx="0">
                  <v>0.02</v>
                </pt>
                <pt idx="1">
                  <v>0.04</v>
                </pt>
                <pt idx="2">
                  <v>0.07000000000000001</v>
                </pt>
                <pt idx="3">
                  <v>0.14</v>
                </pt>
                <pt idx="4">
                  <v>0.26</v>
                </pt>
                <pt idx="5">
                  <v>0.51</v>
                </pt>
                <pt idx="6">
                  <v>1</v>
                </pt>
                <pt idx="7">
                  <v>1.88</v>
                </pt>
                <pt idx="8">
                  <v>3.21</v>
                </pt>
                <pt idx="9">
                  <v>5.13</v>
                </pt>
                <pt idx="10">
                  <v>8</v>
                </pt>
                <pt idx="11">
                  <v>9.25</v>
                </pt>
                <pt idx="12">
                  <v>8.949999999999999</v>
                </pt>
                <pt idx="13">
                  <v>9.6</v>
                </pt>
                <pt idx="14">
                  <v>9.710000000000001</v>
                </pt>
                <pt idx="15">
                  <v>18.75</v>
                </pt>
                <pt idx="16">
                  <v>26.25</v>
                </pt>
                <pt idx="17">
                  <v>26.89</v>
                </pt>
                <pt idx="18">
                  <v>27.15</v>
                </pt>
                <pt idx="19">
                  <v>28.02</v>
                </pt>
                <pt idx="20">
                  <v>29.9</v>
                </pt>
              </numCache>
            </numRef>
          </val>
          <smooth val="1"/>
        </ser>
        <ser>
          <idx val="1"/>
          <order val="1"/>
          <tx>
            <strRef>
              <f>'AR, Tree, 0x7, 4nodes'!$F$498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4nodes'!$A$499:$A$519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4nodes'!$F$499:$F$519</f>
              <numCache>
                <formatCode>General</formatCode>
                <ptCount val="21"/>
                <pt idx="0">
                  <v>0.0237875618559568</v>
                </pt>
                <pt idx="1">
                  <v>0.04754213074186216</v>
                </pt>
                <pt idx="2">
                  <v>0.0949525637875788</v>
                </pt>
                <pt idx="3">
                  <v>0.189380519659089</v>
                </pt>
                <pt idx="4">
                  <v>0.3766799026864662</v>
                </pt>
                <pt idx="5">
                  <v>0.7451709872137526</v>
                </pt>
                <pt idx="6">
                  <v>1.458632098403377</v>
                </pt>
                <pt idx="7">
                  <v>2.798190487583409</v>
                </pt>
                <pt idx="8">
                  <v>5.174007020707915</v>
                </pt>
                <pt idx="9">
                  <v>8.990881870914261</v>
                </pt>
                <pt idx="10">
                  <v>14.24525938295037</v>
                </pt>
                <pt idx="11">
                  <v>20.12627605074711</v>
                </pt>
                <pt idx="12">
                  <v>25.36137430286862</v>
                </pt>
                <pt idx="13">
                  <v>29.15289172316574</v>
                </pt>
                <pt idx="14">
                  <v>31.50811859508958</v>
                </pt>
                <pt idx="15">
                  <v>32.83444619828739</v>
                </pt>
                <pt idx="16">
                  <v>33.54038388923341</v>
                </pt>
                <pt idx="17">
                  <v>33.90485963180854</v>
                </pt>
                <pt idx="18">
                  <v>34.0900842375849</v>
                </pt>
                <pt idx="19">
                  <v>34.18345754034655</v>
                </pt>
                <pt idx="20">
                  <v>34.23033626803923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Simple,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4nodes'!$E$17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4nodes'!$A$18:$A$40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4nodes'!$E$18:$E$40</f>
              <numCache>
                <formatCode>General</formatCode>
                <ptCount val="23"/>
                <pt idx="0">
                  <v>0</v>
                </pt>
                <pt idx="1">
                  <v>0</v>
                </pt>
                <pt idx="2">
                  <v>0.01</v>
                </pt>
                <pt idx="3">
                  <v>0.02</v>
                </pt>
                <pt idx="4">
                  <v>0.03</v>
                </pt>
                <pt idx="5">
                  <v>0.06</v>
                </pt>
                <pt idx="6">
                  <v>0.13</v>
                </pt>
                <pt idx="7">
                  <v>0.25</v>
                </pt>
                <pt idx="8">
                  <v>0.48</v>
                </pt>
                <pt idx="9">
                  <v>0.8100000000000001</v>
                </pt>
                <pt idx="10">
                  <v>1.5</v>
                </pt>
                <pt idx="11">
                  <v>2.78</v>
                </pt>
                <pt idx="12">
                  <v>5.45</v>
                </pt>
                <pt idx="13">
                  <v>9.4</v>
                </pt>
                <pt idx="14">
                  <v>16.42</v>
                </pt>
                <pt idx="15">
                  <v>22.54</v>
                </pt>
                <pt idx="16">
                  <v>25.71</v>
                </pt>
                <pt idx="17">
                  <v>27.46</v>
                </pt>
                <pt idx="18">
                  <v>27.46</v>
                </pt>
                <pt idx="19">
                  <v>27.5</v>
                </pt>
                <pt idx="20">
                  <v>27.51</v>
                </pt>
                <pt idx="21">
                  <v>27.51</v>
                </pt>
                <pt idx="22">
                  <v>27.5</v>
                </pt>
              </numCache>
            </numRef>
          </val>
          <smooth val="1"/>
        </ser>
        <ser>
          <idx val="1"/>
          <order val="1"/>
          <tx>
            <strRef>
              <f>'AR, Ring, 0x0, 4nodes'!$F$17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4nodes'!$A$18:$A$40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4nodes'!$F$18:$F$40</f>
              <numCache>
                <formatCode>General</formatCode>
                <ptCount val="23"/>
                <pt idx="0">
                  <v>0.002527321899257322</v>
                </pt>
                <pt idx="1">
                  <v>0.005054381766725387</v>
                </pt>
                <pt idx="2">
                  <v>0.010107715569281</v>
                </pt>
                <pt idx="3">
                  <v>0.02021124058530787</v>
                </pt>
                <pt idx="4">
                  <v>0.04040572937743684</v>
                </pt>
                <pt idx="5">
                  <v>0.08074453482005015</v>
                </pt>
                <pt idx="6">
                  <v>0.1612220378770004</v>
                </pt>
                <pt idx="7">
                  <v>0.321381229870613</v>
                </pt>
                <pt idx="8">
                  <v>0.6385528413312892</v>
                </pt>
                <pt idx="9">
                  <v>1.260593770176208</v>
                </pt>
                <pt idx="10">
                  <v>2.457637138983068</v>
                </pt>
                <pt idx="11">
                  <v>4.679372734978877</v>
                </pt>
                <pt idx="12">
                  <v>8.539101589746952</v>
                </pt>
                <pt idx="13">
                  <v>14.5326490012427</v>
                </pt>
                <pt idx="14">
                  <v>22.39054938413432</v>
                </pt>
                <pt idx="15">
                  <v>30.6868387136741</v>
                </pt>
                <pt idx="16">
                  <v>47.20627879124753</v>
                </pt>
                <pt idx="17">
                  <v>47.96572189048302</v>
                </pt>
                <pt idx="18">
                  <v>48.35468104780063</v>
                </pt>
                <pt idx="19">
                  <v>48.55153584037588</v>
                </pt>
                <pt idx="20">
                  <v>48.65056551833315</v>
                </pt>
                <pt idx="21">
                  <v>48.70023200373158</v>
                </pt>
                <pt idx="22">
                  <v>48.72510329356636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Simple,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4nodes'!$E$58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4nodes'!$A$59:$A$81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4nodes'!$E$59:$E$81</f>
              <numCache>
                <formatCode>General</formatCode>
                <ptCount val="23"/>
                <pt idx="0">
                  <v>0</v>
                </pt>
                <pt idx="1">
                  <v>0</v>
                </pt>
                <pt idx="2">
                  <v>0.01</v>
                </pt>
                <pt idx="3">
                  <v>0.02</v>
                </pt>
                <pt idx="4">
                  <v>0.03</v>
                </pt>
                <pt idx="5">
                  <v>0.07000000000000001</v>
                </pt>
                <pt idx="6">
                  <v>0.13</v>
                </pt>
                <pt idx="7">
                  <v>0.25</v>
                </pt>
                <pt idx="8">
                  <v>0.49</v>
                </pt>
                <pt idx="9">
                  <v>0.93</v>
                </pt>
                <pt idx="10">
                  <v>1.59</v>
                </pt>
                <pt idx="11">
                  <v>2.95</v>
                </pt>
                <pt idx="12">
                  <v>5.47</v>
                </pt>
                <pt idx="13">
                  <v>10.73</v>
                </pt>
                <pt idx="14">
                  <v>18.52</v>
                </pt>
                <pt idx="15">
                  <v>32.37</v>
                </pt>
                <pt idx="16">
                  <v>44.81</v>
                </pt>
                <pt idx="17">
                  <v>51.04</v>
                </pt>
                <pt idx="18">
                  <v>54.58</v>
                </pt>
                <pt idx="19">
                  <v>54.72</v>
                </pt>
                <pt idx="20">
                  <v>54.76</v>
                </pt>
                <pt idx="21">
                  <v>54.77</v>
                </pt>
                <pt idx="22">
                  <v>54.79</v>
                </pt>
              </numCache>
            </numRef>
          </val>
          <smooth val="1"/>
        </ser>
        <ser>
          <idx val="1"/>
          <order val="1"/>
          <tx>
            <strRef>
              <f>'AR, Ring, 0x0, 4nodes'!$F$58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4nodes'!$A$59:$A$81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4nodes'!$F$59:$F$81</f>
              <numCache>
                <formatCode>General</formatCode>
                <ptCount val="23"/>
                <pt idx="0">
                  <v>0.002527387412298912</v>
                </pt>
                <pt idx="1">
                  <v>0.005054643798514644</v>
                </pt>
                <pt idx="2">
                  <v>0.01010876353345077</v>
                </pt>
                <pt idx="3">
                  <v>0.020215431138562</v>
                </pt>
                <pt idx="4">
                  <v>0.04042248117061574</v>
                </pt>
                <pt idx="5">
                  <v>0.08081145875487368</v>
                </pt>
                <pt idx="6">
                  <v>0.1614890696401003</v>
                </pt>
                <pt idx="7">
                  <v>0.3224440757540009</v>
                </pt>
                <pt idx="8">
                  <v>0.6427624597412259</v>
                </pt>
                <pt idx="9">
                  <v>1.277105682662578</v>
                </pt>
                <pt idx="10">
                  <v>2.521187540352416</v>
                </pt>
                <pt idx="11">
                  <v>4.915274277966136</v>
                </pt>
                <pt idx="12">
                  <v>9.358745469957753</v>
                </pt>
                <pt idx="13">
                  <v>17.0782031794939</v>
                </pt>
                <pt idx="14">
                  <v>29.0652980024854</v>
                </pt>
                <pt idx="15">
                  <v>44.78109876826865</v>
                </pt>
                <pt idx="16">
                  <v>61.37367742734819</v>
                </pt>
                <pt idx="17">
                  <v>94.41255758249505</v>
                </pt>
                <pt idx="18">
                  <v>95.93144378096605</v>
                </pt>
                <pt idx="19">
                  <v>96.70936209560125</v>
                </pt>
                <pt idx="20">
                  <v>97.10307168075177</v>
                </pt>
                <pt idx="21">
                  <v>97.30113103666629</v>
                </pt>
                <pt idx="22">
                  <v>97.40046400746316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Simple,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4nodes'!$E$99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4nodes'!$A$100:$A$122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4nodes'!$E$100:$E$122</f>
              <numCache>
                <formatCode>General</formatCode>
                <ptCount val="23"/>
                <pt idx="0">
                  <v>0</v>
                </pt>
                <pt idx="1">
                  <v>0</v>
                </pt>
                <pt idx="2">
                  <v>0.01</v>
                </pt>
                <pt idx="3">
                  <v>0.02</v>
                </pt>
                <pt idx="4">
                  <v>0.03</v>
                </pt>
                <pt idx="5">
                  <v>0.07000000000000001</v>
                </pt>
                <pt idx="6">
                  <v>0.13</v>
                </pt>
                <pt idx="7">
                  <v>0.25</v>
                </pt>
                <pt idx="8">
                  <v>0.49</v>
                </pt>
                <pt idx="9">
                  <v>0.9399999999999999</v>
                </pt>
                <pt idx="10">
                  <v>1.83</v>
                </pt>
                <pt idx="11">
                  <v>3.17</v>
                </pt>
                <pt idx="12">
                  <v>5.92</v>
                </pt>
                <pt idx="13">
                  <v>10.94</v>
                </pt>
                <pt idx="14">
                  <v>21.45</v>
                </pt>
                <pt idx="15">
                  <v>36.95</v>
                </pt>
                <pt idx="16">
                  <v>64.56999999999999</v>
                </pt>
                <pt idx="17">
                  <v>88.93000000000001</v>
                </pt>
                <pt idx="18">
                  <v>101.07</v>
                </pt>
                <pt idx="19">
                  <v>108.28</v>
                </pt>
                <pt idx="20">
                  <v>108.44</v>
                </pt>
                <pt idx="21">
                  <v>108.62</v>
                </pt>
                <pt idx="22">
                  <v>108.5</v>
                </pt>
              </numCache>
            </numRef>
          </val>
          <smooth val="1"/>
        </ser>
        <ser>
          <idx val="1"/>
          <order val="1"/>
          <tx>
            <strRef>
              <f>'AR, Ring, 0x0, 4nodes'!$F$99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4nodes'!$A$100:$A$122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4nodes'!$F$100:$F$122</f>
              <numCache>
                <formatCode>General</formatCode>
                <ptCount val="23"/>
                <pt idx="0">
                  <v>0.002527420170093391</v>
                </pt>
                <pt idx="1">
                  <v>0.005054774824597824</v>
                </pt>
                <pt idx="2">
                  <v>0.01010928759702929</v>
                </pt>
                <pt idx="3">
                  <v>0.02021752706690155</v>
                </pt>
                <pt idx="4">
                  <v>0.040430862277124</v>
                </pt>
                <pt idx="5">
                  <v>0.08084496234123148</v>
                </pt>
                <pt idx="6">
                  <v>0.1616229175097474</v>
                </pt>
                <pt idx="7">
                  <v>0.3229781392802006</v>
                </pt>
                <pt idx="8">
                  <v>0.6448881515080017</v>
                </pt>
                <pt idx="9">
                  <v>1.285524919482452</v>
                </pt>
                <pt idx="10">
                  <v>2.554211365325157</v>
                </pt>
                <pt idx="11">
                  <v>5.042375080704833</v>
                </pt>
                <pt idx="12">
                  <v>9.830548555932273</v>
                </pt>
                <pt idx="13">
                  <v>18.71749093991551</v>
                </pt>
                <pt idx="14">
                  <v>34.15640635898781</v>
                </pt>
                <pt idx="15">
                  <v>58.1305960049708</v>
                </pt>
                <pt idx="16">
                  <v>89.5621975365373</v>
                </pt>
                <pt idx="17">
                  <v>122.7473548546964</v>
                </pt>
                <pt idx="18">
                  <v>188.8251151649901</v>
                </pt>
                <pt idx="19">
                  <v>191.8628875619321</v>
                </pt>
                <pt idx="20">
                  <v>193.4187241912025</v>
                </pt>
                <pt idx="21">
                  <v>194.2061433615035</v>
                </pt>
                <pt idx="22">
                  <v>194.6022620733326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4, Protocol: Simple,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4nodes'!$E$140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4nodes'!$A$141:$A$163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4nodes'!$E$141:$E$163</f>
              <numCache>
                <formatCode>General</formatCode>
                <ptCount val="23"/>
                <pt idx="0">
                  <v>0</v>
                </pt>
                <pt idx="1">
                  <v>0</v>
                </pt>
                <pt idx="2">
                  <v>0.01</v>
                </pt>
                <pt idx="3">
                  <v>0.02</v>
                </pt>
                <pt idx="4">
                  <v>0.03</v>
                </pt>
                <pt idx="5">
                  <v>0.07000000000000001</v>
                </pt>
                <pt idx="6">
                  <v>0.13</v>
                </pt>
                <pt idx="7">
                  <v>0.25</v>
                </pt>
                <pt idx="8">
                  <v>0.49</v>
                </pt>
                <pt idx="9">
                  <v>0.96</v>
                </pt>
                <pt idx="10">
                  <v>1.9</v>
                </pt>
                <pt idx="11">
                  <v>3.63</v>
                </pt>
                <pt idx="12">
                  <v>6.34</v>
                </pt>
                <pt idx="13">
                  <v>11.73</v>
                </pt>
                <pt idx="14">
                  <v>21.76</v>
                </pt>
                <pt idx="15">
                  <v>42.52</v>
                </pt>
                <pt idx="16">
                  <v>73.11</v>
                </pt>
                <pt idx="17">
                  <v>125.29</v>
                </pt>
                <pt idx="18">
                  <v>174.95</v>
                </pt>
                <pt idx="19">
                  <v>198.45</v>
                </pt>
                <pt idx="20">
                  <v>212.35</v>
                </pt>
                <pt idx="21">
                  <v>213.1</v>
                </pt>
                <pt idx="22">
                  <v>213.25</v>
                </pt>
              </numCache>
            </numRef>
          </val>
          <smooth val="1"/>
        </ser>
        <ser>
          <idx val="1"/>
          <order val="1"/>
          <tx>
            <strRef>
              <f>'AR, Ring, 0x0, 4nodes'!$F$140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4nodes'!$A$141:$A$163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4nodes'!$F$141:$F$163</f>
              <numCache>
                <formatCode>General</formatCode>
                <ptCount val="23"/>
                <pt idx="0">
                  <v>0.002527436549309067</v>
                </pt>
                <pt idx="1">
                  <v>0.005054840340186783</v>
                </pt>
                <pt idx="2">
                  <v>0.01010954964919565</v>
                </pt>
                <pt idx="3">
                  <v>0.02021857519405858</v>
                </pt>
                <pt idx="4">
                  <v>0.0404350541338031</v>
                </pt>
                <pt idx="5">
                  <v>0.08086172455424799</v>
                </pt>
                <pt idx="6">
                  <v>0.161689924682463</v>
                </pt>
                <pt idx="7">
                  <v>0.3232458350194947</v>
                </pt>
                <pt idx="8">
                  <v>0.6459562785604012</v>
                </pt>
                <pt idx="9">
                  <v>1.289776303016003</v>
                </pt>
                <pt idx="10">
                  <v>2.571049838964904</v>
                </pt>
                <pt idx="11">
                  <v>5.108422730650314</v>
                </pt>
                <pt idx="12">
                  <v>10.08475016140967</v>
                </pt>
                <pt idx="13">
                  <v>19.66109711186455</v>
                </pt>
                <pt idx="14">
                  <v>37.43498187983101</v>
                </pt>
                <pt idx="15">
                  <v>68.31281271797562</v>
                </pt>
                <pt idx="16">
                  <v>116.2611920099416</v>
                </pt>
                <pt idx="17">
                  <v>179.1243950730746</v>
                </pt>
                <pt idx="18">
                  <v>245.4947097093928</v>
                </pt>
                <pt idx="19">
                  <v>377.6502303299802</v>
                </pt>
                <pt idx="20">
                  <v>383.7257751238642</v>
                </pt>
                <pt idx="21">
                  <v>386.837448382405</v>
                </pt>
                <pt idx="22">
                  <v>388.4122867230071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4, Protocol: Simple,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4nodes'!$E$181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4nodes'!$A$182:$A$204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4nodes'!$E$182:$E$204</f>
              <numCache>
                <formatCode>General</formatCode>
                <ptCount val="23"/>
                <pt idx="0">
                  <v>0</v>
                </pt>
                <pt idx="1">
                  <v>0</v>
                </pt>
                <pt idx="2">
                  <v>0.01</v>
                </pt>
                <pt idx="3">
                  <v>0.02</v>
                </pt>
                <pt idx="4">
                  <v>0.03</v>
                </pt>
                <pt idx="5">
                  <v>0.07000000000000001</v>
                </pt>
                <pt idx="6">
                  <v>0.13</v>
                </pt>
                <pt idx="7">
                  <v>0.25</v>
                </pt>
                <pt idx="8">
                  <v>0.49</v>
                </pt>
                <pt idx="9">
                  <v>0.93</v>
                </pt>
                <pt idx="10">
                  <v>1.86</v>
                </pt>
                <pt idx="11">
                  <v>3.63</v>
                </pt>
                <pt idx="12">
                  <v>6.92</v>
                </pt>
                <pt idx="13">
                  <v>12.05</v>
                </pt>
                <pt idx="14">
                  <v>22.43</v>
                </pt>
                <pt idx="15">
                  <v>41.38</v>
                </pt>
                <pt idx="16">
                  <v>79.95</v>
                </pt>
                <pt idx="17">
                  <v>135.28</v>
                </pt>
                <pt idx="18">
                  <v>219.42</v>
                </pt>
                <pt idx="19">
                  <v>298.56</v>
                </pt>
                <pt idx="20">
                  <v>345.47</v>
                </pt>
                <pt idx="21">
                  <v>361.78</v>
                </pt>
                <pt idx="22">
                  <v>366.12</v>
                </pt>
              </numCache>
            </numRef>
          </val>
          <smooth val="1"/>
        </ser>
        <ser>
          <idx val="1"/>
          <order val="1"/>
          <tx>
            <strRef>
              <f>'AR, Ring, 0x0, 4nodes'!$F$181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4nodes'!$A$182:$A$204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4nodes'!$F$182:$F$204</f>
              <numCache>
                <formatCode>General</formatCode>
                <ptCount val="23"/>
                <pt idx="0">
                  <v>0.002527436549309067</v>
                </pt>
                <pt idx="1">
                  <v>0.005054840340186783</v>
                </pt>
                <pt idx="2">
                  <v>0.01010954964919565</v>
                </pt>
                <pt idx="3">
                  <v>0.02021857519405858</v>
                </pt>
                <pt idx="4">
                  <v>0.0404350541338031</v>
                </pt>
                <pt idx="5">
                  <v>0.08086172455424799</v>
                </pt>
                <pt idx="6">
                  <v>0.161689924682463</v>
                </pt>
                <pt idx="7">
                  <v>0.3232458350194947</v>
                </pt>
                <pt idx="8">
                  <v>0.6459562785604012</v>
                </pt>
                <pt idx="9">
                  <v>1.289776303016003</v>
                </pt>
                <pt idx="10">
                  <v>2.571049838964904</v>
                </pt>
                <pt idx="11">
                  <v>5.108422730650314</v>
                </pt>
                <pt idx="12">
                  <v>10.08475016140967</v>
                </pt>
                <pt idx="13">
                  <v>19.66109711186455</v>
                </pt>
                <pt idx="14">
                  <v>37.43498187983101</v>
                </pt>
                <pt idx="15">
                  <v>68.31281271797562</v>
                </pt>
                <pt idx="16">
                  <v>116.2611920099416</v>
                </pt>
                <pt idx="17">
                  <v>179.1243950730746</v>
                </pt>
                <pt idx="18">
                  <v>245.4947097093928</v>
                </pt>
                <pt idx="19">
                  <v>301.3178090198288</v>
                </pt>
                <pt idx="20">
                  <v>383.7257751238642</v>
                </pt>
                <pt idx="21">
                  <v>386.837448382405</v>
                </pt>
                <pt idx="22">
                  <v>388.4122867230071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4, Protocol: LL,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4nodes'!$E$222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4nodes'!$A$223:$A$243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4nodes'!$E$223:$E$243</f>
              <numCache>
                <formatCode>General</formatCode>
                <ptCount val="21"/>
                <pt idx="0">
                  <v>0.01</v>
                </pt>
                <pt idx="1">
                  <v>0.02</v>
                </pt>
                <pt idx="2">
                  <v>0.03</v>
                </pt>
                <pt idx="3">
                  <v>0.07000000000000001</v>
                </pt>
                <pt idx="4">
                  <v>0.13</v>
                </pt>
                <pt idx="5">
                  <v>0.26</v>
                </pt>
                <pt idx="6">
                  <v>0.51</v>
                </pt>
                <pt idx="7">
                  <v>0.95</v>
                </pt>
                <pt idx="8">
                  <v>1.71</v>
                </pt>
                <pt idx="9">
                  <v>2.96</v>
                </pt>
                <pt idx="10">
                  <v>4.73</v>
                </pt>
                <pt idx="11">
                  <v>4.86</v>
                </pt>
                <pt idx="12">
                  <v>4.92</v>
                </pt>
                <pt idx="13">
                  <v>4.94</v>
                </pt>
                <pt idx="14">
                  <v>4.98</v>
                </pt>
                <pt idx="15">
                  <v>4.99</v>
                </pt>
                <pt idx="16">
                  <v>4.99</v>
                </pt>
                <pt idx="17">
                  <v>4.99</v>
                </pt>
                <pt idx="18">
                  <v>4.99</v>
                </pt>
                <pt idx="19">
                  <v>5</v>
                </pt>
                <pt idx="20">
                  <v>4.99</v>
                </pt>
              </numCache>
            </numRef>
          </val>
          <smooth val="1"/>
        </ser>
        <ser>
          <idx val="1"/>
          <order val="1"/>
          <tx>
            <strRef>
              <f>'AR, Ring, 0x0, 4nodes'!$F$222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4nodes'!$A$223:$A$243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4nodes'!$F$223:$F$243</f>
              <numCache>
                <formatCode>General</formatCode>
                <ptCount val="21"/>
                <pt idx="0">
                  <v>0.0135796102545152</v>
                </pt>
                <pt idx="1">
                  <v>0.02714409820034237</v>
                </pt>
                <pt idx="2">
                  <v>0.05422780809512069</v>
                </pt>
                <pt idx="3">
                  <v>0.1082148672649048</v>
                </pt>
                <pt idx="4">
                  <v>0.2154731234343591</v>
                </pt>
                <pt idx="5">
                  <v>0.4271700961058188</v>
                </pt>
                <pt idx="6">
                  <v>0.839625811147401</v>
                </pt>
                <pt idx="7">
                  <v>1.62333395704567</v>
                </pt>
                <pt idx="8">
                  <v>3.043946221197369</v>
                </pt>
                <pt idx="9">
                  <v>5.412037978638684</v>
                </pt>
                <pt idx="10">
                  <v>8.857438314203726</v>
                </pt>
                <pt idx="11">
                  <v>8.857438314203726</v>
                </pt>
                <pt idx="12">
                  <v>8.857438314203726</v>
                </pt>
                <pt idx="13">
                  <v>8.857438314203726</v>
                </pt>
                <pt idx="14">
                  <v>8.857438314203726</v>
                </pt>
                <pt idx="15">
                  <v>8.857438314203726</v>
                </pt>
                <pt idx="16">
                  <v>8.857438314203726</v>
                </pt>
                <pt idx="17">
                  <v>8.857438314203726</v>
                </pt>
                <pt idx="18">
                  <v>8.857438314203726</v>
                </pt>
                <pt idx="19">
                  <v>8.857438314203726</v>
                </pt>
                <pt idx="20">
                  <v>8.857438314203726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4, Protocol: LL,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4nodes'!$E$261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4nodes'!$A$262:$A$282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4nodes'!$E$262:$E$282</f>
              <numCache>
                <formatCode>General</formatCode>
                <ptCount val="21"/>
                <pt idx="0">
                  <v>0.01</v>
                </pt>
                <pt idx="1">
                  <v>0.02</v>
                </pt>
                <pt idx="2">
                  <v>0.03</v>
                </pt>
                <pt idx="3">
                  <v>0.07000000000000001</v>
                </pt>
                <pt idx="4">
                  <v>0.13</v>
                </pt>
                <pt idx="5">
                  <v>0.26</v>
                </pt>
                <pt idx="6">
                  <v>0.51</v>
                </pt>
                <pt idx="7">
                  <v>0.95</v>
                </pt>
                <pt idx="8">
                  <v>1.81</v>
                </pt>
                <pt idx="9">
                  <v>3.05</v>
                </pt>
                <pt idx="10">
                  <v>5.36</v>
                </pt>
                <pt idx="11">
                  <v>8.300000000000001</v>
                </pt>
                <pt idx="12">
                  <v>8.359999999999999</v>
                </pt>
                <pt idx="13">
                  <v>8.27</v>
                </pt>
                <pt idx="14">
                  <v>8.24</v>
                </pt>
                <pt idx="15">
                  <v>8.25</v>
                </pt>
                <pt idx="16">
                  <v>8.24</v>
                </pt>
                <pt idx="17">
                  <v>8.220000000000001</v>
                </pt>
                <pt idx="18">
                  <v>8.210000000000001</v>
                </pt>
                <pt idx="19">
                  <v>8.16</v>
                </pt>
                <pt idx="20">
                  <v>8.140000000000001</v>
                </pt>
              </numCache>
            </numRef>
          </val>
          <smooth val="1"/>
        </ser>
        <ser>
          <idx val="1"/>
          <order val="1"/>
          <tx>
            <strRef>
              <f>'AR, Ring, 0x0, 4nodes'!$F$261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4nodes'!$A$262:$A$282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4nodes'!$F$262:$F$282</f>
              <numCache>
                <formatCode>General</formatCode>
                <ptCount val="21"/>
                <pt idx="0">
                  <v>0.01358339399187609</v>
                </pt>
                <pt idx="1">
                  <v>0.0271592205090304</v>
                </pt>
                <pt idx="2">
                  <v>0.05428819640068473</v>
                </pt>
                <pt idx="3">
                  <v>0.1084556161902414</v>
                </pt>
                <pt idx="4">
                  <v>0.2164297345298095</v>
                </pt>
                <pt idx="5">
                  <v>0.4309462468687182</v>
                </pt>
                <pt idx="6">
                  <v>0.8543401922116376</v>
                </pt>
                <pt idx="7">
                  <v>1.679251622294802</v>
                </pt>
                <pt idx="8">
                  <v>3.24666791409134</v>
                </pt>
                <pt idx="9">
                  <v>6.087892442394739</v>
                </pt>
                <pt idx="10">
                  <v>10.82407595727737</v>
                </pt>
                <pt idx="11">
                  <v>17.71487662840745</v>
                </pt>
                <pt idx="12">
                  <v>17.71487662840745</v>
                </pt>
                <pt idx="13">
                  <v>17.71487662840745</v>
                </pt>
                <pt idx="14">
                  <v>17.71487662840745</v>
                </pt>
                <pt idx="15">
                  <v>17.71487662840745</v>
                </pt>
                <pt idx="16">
                  <v>17.71487662840745</v>
                </pt>
                <pt idx="17">
                  <v>17.71487662840745</v>
                </pt>
                <pt idx="18">
                  <v>17.71487662840745</v>
                </pt>
                <pt idx="19">
                  <v>17.71487662840745</v>
                </pt>
                <pt idx="20">
                  <v>17.71487662840745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4, Protocol: LL,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4nodes'!$E$300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4nodes'!$A$301:$A$321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4nodes'!$E$301:$E$321</f>
              <numCache>
                <formatCode>General</formatCode>
                <ptCount val="21"/>
                <pt idx="0">
                  <v>0.01</v>
                </pt>
                <pt idx="1">
                  <v>0.02</v>
                </pt>
                <pt idx="2">
                  <v>0.03</v>
                </pt>
                <pt idx="3">
                  <v>0.07000000000000001</v>
                </pt>
                <pt idx="4">
                  <v>0.13</v>
                </pt>
                <pt idx="5">
                  <v>0.26</v>
                </pt>
                <pt idx="6">
                  <v>0.51</v>
                </pt>
                <pt idx="7">
                  <v>0.95</v>
                </pt>
                <pt idx="8">
                  <v>1.82</v>
                </pt>
                <pt idx="9">
                  <v>3.57</v>
                </pt>
                <pt idx="10">
                  <v>5.98</v>
                </pt>
                <pt idx="11">
                  <v>10.56</v>
                </pt>
                <pt idx="12">
                  <v>15.72</v>
                </pt>
                <pt idx="13">
                  <v>15.87</v>
                </pt>
                <pt idx="14">
                  <v>16.07</v>
                </pt>
                <pt idx="15">
                  <v>16.11</v>
                </pt>
                <pt idx="16">
                  <v>16.14</v>
                </pt>
                <pt idx="17">
                  <v>16.23</v>
                </pt>
                <pt idx="18">
                  <v>16.23</v>
                </pt>
                <pt idx="19">
                  <v>16.21</v>
                </pt>
                <pt idx="20">
                  <v>16.12</v>
                </pt>
              </numCache>
            </numRef>
          </val>
          <smooth val="1"/>
        </ser>
        <ser>
          <idx val="1"/>
          <order val="1"/>
          <tx>
            <strRef>
              <f>'AR, Ring, 0x0, 4nodes'!$F$300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4nodes'!$A$301:$A$321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4nodes'!$F$301:$F$321</f>
              <numCache>
                <formatCode>General</formatCode>
                <ptCount val="21"/>
                <pt idx="0">
                  <v>0.01358528665137433</v>
                </pt>
                <pt idx="1">
                  <v>0.02716678798375217</v>
                </pt>
                <pt idx="2">
                  <v>0.0543184410180608</v>
                </pt>
                <pt idx="3">
                  <v>0.1085763928013695</v>
                </pt>
                <pt idx="4">
                  <v>0.2169112323804828</v>
                </pt>
                <pt idx="5">
                  <v>0.4328594690596191</v>
                </pt>
                <pt idx="6">
                  <v>0.8618924937374365</v>
                </pt>
                <pt idx="7">
                  <v>1.708680384423275</v>
                </pt>
                <pt idx="8">
                  <v>3.358503244589604</v>
                </pt>
                <pt idx="9">
                  <v>6.493335828182681</v>
                </pt>
                <pt idx="10">
                  <v>12.17578488478948</v>
                </pt>
                <pt idx="11">
                  <v>21.64815191455473</v>
                </pt>
                <pt idx="12">
                  <v>35.42975325681491</v>
                </pt>
                <pt idx="13">
                  <v>35.42975325681491</v>
                </pt>
                <pt idx="14">
                  <v>35.42975325681491</v>
                </pt>
                <pt idx="15">
                  <v>35.42975325681491</v>
                </pt>
                <pt idx="16">
                  <v>35.42975325681491</v>
                </pt>
                <pt idx="17">
                  <v>35.42975325681491</v>
                </pt>
                <pt idx="18">
                  <v>35.42975325681491</v>
                </pt>
                <pt idx="19">
                  <v>35.42975325681491</v>
                </pt>
                <pt idx="20">
                  <v>35.42975325681491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4, Protocol: LL,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4nodes'!$E$339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4nodes'!$A$340:$A$360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4nodes'!$E$340:$E$360</f>
              <numCache>
                <formatCode>General</formatCode>
                <ptCount val="21"/>
                <pt idx="0">
                  <v>0.01</v>
                </pt>
                <pt idx="1">
                  <v>0.02</v>
                </pt>
                <pt idx="2">
                  <v>0.03</v>
                </pt>
                <pt idx="3">
                  <v>0.07000000000000001</v>
                </pt>
                <pt idx="4">
                  <v>0.13</v>
                </pt>
                <pt idx="5">
                  <v>0.26</v>
                </pt>
                <pt idx="6">
                  <v>0.51</v>
                </pt>
                <pt idx="7">
                  <v>0.95</v>
                </pt>
                <pt idx="8">
                  <v>1.8</v>
                </pt>
                <pt idx="9">
                  <v>3.57</v>
                </pt>
                <pt idx="10">
                  <v>7.1</v>
                </pt>
                <pt idx="11">
                  <v>11.38</v>
                </pt>
                <pt idx="12">
                  <v>19.78</v>
                </pt>
                <pt idx="13">
                  <v>30.53</v>
                </pt>
                <pt idx="14">
                  <v>30.5</v>
                </pt>
                <pt idx="15">
                  <v>31.08</v>
                </pt>
                <pt idx="16">
                  <v>31.14</v>
                </pt>
                <pt idx="17">
                  <v>31.74</v>
                </pt>
                <pt idx="18">
                  <v>31.95</v>
                </pt>
                <pt idx="19">
                  <v>32.07</v>
                </pt>
                <pt idx="20">
                  <v>31.98</v>
                </pt>
              </numCache>
            </numRef>
          </val>
          <smooth val="1"/>
        </ser>
        <ser>
          <idx val="1"/>
          <order val="1"/>
          <tx>
            <strRef>
              <f>'AR, Ring, 0x0, 4nodes'!$F$339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4nodes'!$A$340:$A$360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4nodes'!$F$340:$F$360</f>
              <numCache>
                <formatCode>General</formatCode>
                <ptCount val="21"/>
                <pt idx="0">
                  <v>0.01358623317892432</v>
                </pt>
                <pt idx="1">
                  <v>0.02717057330274866</v>
                </pt>
                <pt idx="2">
                  <v>0.05433357596750435</v>
                </pt>
                <pt idx="3">
                  <v>0.1086368820361216</v>
                </pt>
                <pt idx="4">
                  <v>0.2171527856027389</v>
                </pt>
                <pt idx="5">
                  <v>0.4338224647609655</v>
                </pt>
                <pt idx="6">
                  <v>0.8657189381192382</v>
                </pt>
                <pt idx="7">
                  <v>1.723784987474873</v>
                </pt>
                <pt idx="8">
                  <v>3.41736076884655</v>
                </pt>
                <pt idx="9">
                  <v>6.717006489179208</v>
                </pt>
                <pt idx="10">
                  <v>12.98667165636536</v>
                </pt>
                <pt idx="11">
                  <v>24.35156976957895</v>
                </pt>
                <pt idx="12">
                  <v>43.29630382910947</v>
                </pt>
                <pt idx="13">
                  <v>70.85950651362981</v>
                </pt>
                <pt idx="14">
                  <v>70.85950651362981</v>
                </pt>
                <pt idx="15">
                  <v>70.85950651362981</v>
                </pt>
                <pt idx="16">
                  <v>70.85950651362981</v>
                </pt>
                <pt idx="17">
                  <v>70.85950651362981</v>
                </pt>
                <pt idx="18">
                  <v>70.85950651362981</v>
                </pt>
                <pt idx="19">
                  <v>70.85950651362981</v>
                </pt>
                <pt idx="20">
                  <v>70.85950651362981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4, Protocol: LL,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4nodes'!$E$378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4nodes'!$A$379:$A$399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4nodes'!$E$379:$E$399</f>
              <numCache>
                <formatCode>General</formatCode>
                <ptCount val="21"/>
                <pt idx="0">
                  <v>0.01</v>
                </pt>
                <pt idx="1">
                  <v>0.02</v>
                </pt>
                <pt idx="2">
                  <v>0.03</v>
                </pt>
                <pt idx="3">
                  <v>0.07000000000000001</v>
                </pt>
                <pt idx="4">
                  <v>0.13</v>
                </pt>
                <pt idx="5">
                  <v>0.26</v>
                </pt>
                <pt idx="6">
                  <v>0.51</v>
                </pt>
                <pt idx="7">
                  <v>0.95</v>
                </pt>
                <pt idx="8">
                  <v>1.8</v>
                </pt>
                <pt idx="9">
                  <v>3.59</v>
                </pt>
                <pt idx="10">
                  <v>7.13</v>
                </pt>
                <pt idx="11">
                  <v>10.5</v>
                </pt>
                <pt idx="12">
                  <v>16.45</v>
                </pt>
                <pt idx="13">
                  <v>24.67</v>
                </pt>
                <pt idx="14">
                  <v>32.16</v>
                </pt>
                <pt idx="15">
                  <v>32.38</v>
                </pt>
                <pt idx="16">
                  <v>32.27</v>
                </pt>
                <pt idx="17">
                  <v>32.62</v>
                </pt>
                <pt idx="18">
                  <v>32.76</v>
                </pt>
                <pt idx="19">
                  <v>33.03</v>
                </pt>
                <pt idx="20">
                  <v>33.1</v>
                </pt>
              </numCache>
            </numRef>
          </val>
          <smooth val="1"/>
        </ser>
        <ser>
          <idx val="1"/>
          <order val="1"/>
          <tx>
            <strRef>
              <f>'AR, Ring, 0x0, 4nodes'!$F$378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4nodes'!$A$379:$A$399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4nodes'!$F$379:$F$399</f>
              <numCache>
                <formatCode>General</formatCode>
                <ptCount val="21"/>
                <pt idx="0">
                  <v>0.01358623317892432</v>
                </pt>
                <pt idx="1">
                  <v>0.02717057330274866</v>
                </pt>
                <pt idx="2">
                  <v>0.05433357596750435</v>
                </pt>
                <pt idx="3">
                  <v>0.1086368820361216</v>
                </pt>
                <pt idx="4">
                  <v>0.2171527856027389</v>
                </pt>
                <pt idx="5">
                  <v>0.4338224647609655</v>
                </pt>
                <pt idx="6">
                  <v>0.8657189381192382</v>
                </pt>
                <pt idx="7">
                  <v>1.723784987474873</v>
                </pt>
                <pt idx="8">
                  <v>3.41736076884655</v>
                </pt>
                <pt idx="9">
                  <v>6.717006489179208</v>
                </pt>
                <pt idx="10">
                  <v>12.98667165636536</v>
                </pt>
                <pt idx="11">
                  <v>24.35156976957895</v>
                </pt>
                <pt idx="12">
                  <v>43.29630382910947</v>
                </pt>
                <pt idx="13">
                  <v>70.85950651362981</v>
                </pt>
                <pt idx="14">
                  <v>103.9466592814835</v>
                </pt>
                <pt idx="15">
                  <v>103.9466592814835</v>
                </pt>
                <pt idx="16">
                  <v>103.9466592814835</v>
                </pt>
                <pt idx="17">
                  <v>103.9466592814835</v>
                </pt>
                <pt idx="18">
                  <v>103.9466592814835</v>
                </pt>
                <pt idx="19">
                  <v>103.9466592814835</v>
                </pt>
                <pt idx="20">
                  <v>103.9466592814835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4, Protocol: LL128,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4nodes'!$E$417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4nodes'!$A$418:$A$438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4nodes'!$E$418:$E$438</f>
              <numCache>
                <formatCode>General</formatCode>
                <ptCount val="21"/>
                <pt idx="0">
                  <v>0.01</v>
                </pt>
                <pt idx="1">
                  <v>0.02</v>
                </pt>
                <pt idx="2">
                  <v>0.03</v>
                </pt>
                <pt idx="3">
                  <v>0.06</v>
                </pt>
                <pt idx="4">
                  <v>0.12</v>
                </pt>
                <pt idx="5">
                  <v>0.24</v>
                </pt>
                <pt idx="6">
                  <v>0.47</v>
                </pt>
                <pt idx="7">
                  <v>0.92</v>
                </pt>
                <pt idx="8">
                  <v>1.71</v>
                </pt>
                <pt idx="9">
                  <v>3.22</v>
                </pt>
                <pt idx="10">
                  <v>5.68</v>
                </pt>
                <pt idx="11">
                  <v>9.93</v>
                </pt>
                <pt idx="12">
                  <v>13.97</v>
                </pt>
                <pt idx="13">
                  <v>17.79</v>
                </pt>
                <pt idx="14">
                  <v>20.21</v>
                </pt>
                <pt idx="15">
                  <v>20.34</v>
                </pt>
                <pt idx="16">
                  <v>20.46</v>
                </pt>
                <pt idx="17">
                  <v>20.5</v>
                </pt>
                <pt idx="18">
                  <v>20.57</v>
                </pt>
                <pt idx="19">
                  <v>20.72</v>
                </pt>
                <pt idx="20">
                  <v>20.75</v>
                </pt>
              </numCache>
            </numRef>
          </val>
          <smooth val="1"/>
        </ser>
        <ser>
          <idx val="1"/>
          <order val="1"/>
          <tx>
            <strRef>
              <f>'AR, Ring, 0x0, 4nodes'!$F$417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4nodes'!$A$418:$A$438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4nodes'!$F$418:$F$438</f>
              <numCache>
                <formatCode>General</formatCode>
                <ptCount val="21"/>
                <pt idx="0">
                  <v>0.01358314167712047</v>
                </pt>
                <pt idx="1">
                  <v>0.02715821183092614</v>
                </pt>
                <pt idx="2">
                  <v>0.05428416632959666</v>
                </pt>
                <pt idx="3">
                  <v>0.1084395329405123</v>
                </pt>
                <pt idx="4">
                  <v>0.2163656962799535</v>
                </pt>
                <pt idx="5">
                  <v>0.4306924276751984</v>
                </pt>
                <pt idx="6">
                  <v>0.8533432070498823</v>
                </pt>
                <pt idx="7">
                  <v>1.67540420318206</v>
                </pt>
                <pt idx="8">
                  <v>3.232316790383285</v>
                </pt>
                <pt idx="9">
                  <v>6.03762724543409</v>
                </pt>
                <pt idx="10">
                  <v>10.66619330900162</v>
                </pt>
                <pt idx="11">
                  <v>17.29587586648602</v>
                </pt>
                <pt idx="12">
                  <v>25.09486073868858</v>
                </pt>
                <pt idx="13">
                  <v>32.39960982593688</v>
                </pt>
                <pt idx="14">
                  <v>37.91835000723379</v>
                </pt>
                <pt idx="15">
                  <v>37.91835000723379</v>
                </pt>
                <pt idx="16">
                  <v>37.91835000723379</v>
                </pt>
                <pt idx="17">
                  <v>37.91835000723379</v>
                </pt>
                <pt idx="18">
                  <v>38.32636660941439</v>
                </pt>
                <pt idx="19">
                  <v>38.32636660941439</v>
                </pt>
                <pt idx="20">
                  <v>38.42974646753952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4, Protocol: LL128,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4nodes'!$E$456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4nodes'!$A$457:$A$477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4nodes'!$E$457:$E$477</f>
              <numCache>
                <formatCode>General</formatCode>
                <ptCount val="21"/>
                <pt idx="0">
                  <v>0.01</v>
                </pt>
                <pt idx="1">
                  <v>0.02</v>
                </pt>
                <pt idx="2">
                  <v>0.03</v>
                </pt>
                <pt idx="3">
                  <v>0.06</v>
                </pt>
                <pt idx="4">
                  <v>0.12</v>
                </pt>
                <pt idx="5">
                  <v>0.24</v>
                </pt>
                <pt idx="6">
                  <v>0.47</v>
                </pt>
                <pt idx="7">
                  <v>0.92</v>
                </pt>
                <pt idx="8">
                  <v>1.79</v>
                </pt>
                <pt idx="9">
                  <v>3.33</v>
                </pt>
                <pt idx="10">
                  <v>6.31</v>
                </pt>
                <pt idx="11">
                  <v>11.12</v>
                </pt>
                <pt idx="12">
                  <v>19.28</v>
                </pt>
                <pt idx="13">
                  <v>26.86</v>
                </pt>
                <pt idx="14">
                  <v>34.18</v>
                </pt>
                <pt idx="15">
                  <v>39.51</v>
                </pt>
                <pt idx="16">
                  <v>40.04</v>
                </pt>
                <pt idx="17">
                  <v>40.53</v>
                </pt>
                <pt idx="18">
                  <v>40.29</v>
                </pt>
                <pt idx="19">
                  <v>40.73</v>
                </pt>
                <pt idx="20">
                  <v>41.02</v>
                </pt>
              </numCache>
            </numRef>
          </val>
          <smooth val="1"/>
        </ser>
        <ser>
          <idx val="1"/>
          <order val="1"/>
          <tx>
            <strRef>
              <f>'AR, Ring, 0x0, 4nodes'!$F$456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4nodes'!$A$457:$A$477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4nodes'!$F$457:$F$477</f>
              <numCache>
                <formatCode>General</formatCode>
                <ptCount val="21"/>
                <pt idx="0">
                  <v>0.01358516045766559</v>
                </pt>
                <pt idx="1">
                  <v>0.02716628335424093</v>
                </pt>
                <pt idx="2">
                  <v>0.05431642366185228</v>
                </pt>
                <pt idx="3">
                  <v>0.1085683326591933</v>
                </pt>
                <pt idx="4">
                  <v>0.2168790658810245</v>
                </pt>
                <pt idx="5">
                  <v>0.4327313925599069</v>
                </pt>
                <pt idx="6">
                  <v>0.8613848553503969</v>
                </pt>
                <pt idx="7">
                  <v>1.706686414099765</v>
                </pt>
                <pt idx="8">
                  <v>3.350808406364119</v>
                </pt>
                <pt idx="9">
                  <v>6.46463358076657</v>
                </pt>
                <pt idx="10">
                  <v>12.07525449086818</v>
                </pt>
                <pt idx="11">
                  <v>21.33238661800325</v>
                </pt>
                <pt idx="12">
                  <v>34.59175173297204</v>
                </pt>
                <pt idx="13">
                  <v>50.18972147737716</v>
                </pt>
                <pt idx="14">
                  <v>64.79921965187376</v>
                </pt>
                <pt idx="15">
                  <v>75.83670001446758</v>
                </pt>
                <pt idx="16">
                  <v>75.83670001446758</v>
                </pt>
                <pt idx="17">
                  <v>75.83670001446758</v>
                </pt>
                <pt idx="18">
                  <v>75.83670001446758</v>
                </pt>
                <pt idx="19">
                  <v>76.65273321882877</v>
                </pt>
                <pt idx="20">
                  <v>76.65273321882877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4, Protocol: LL128,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4nodes'!$E$495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4nodes'!$A$496:$A$516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4nodes'!$E$496:$E$516</f>
              <numCache>
                <formatCode>General</formatCode>
                <ptCount val="21"/>
                <pt idx="0">
                  <v>0.01</v>
                </pt>
                <pt idx="1">
                  <v>0.02</v>
                </pt>
                <pt idx="2">
                  <v>0.03</v>
                </pt>
                <pt idx="3">
                  <v>0.06</v>
                </pt>
                <pt idx="4">
                  <v>0.1</v>
                </pt>
                <pt idx="5">
                  <v>0.23</v>
                </pt>
                <pt idx="6">
                  <v>0.46</v>
                </pt>
                <pt idx="7">
                  <v>0.93</v>
                </pt>
                <pt idx="8">
                  <v>1.83</v>
                </pt>
                <pt idx="9">
                  <v>3.56</v>
                </pt>
                <pt idx="10">
                  <v>6.66</v>
                </pt>
                <pt idx="11">
                  <v>12.56</v>
                </pt>
                <pt idx="12">
                  <v>22.09</v>
                </pt>
                <pt idx="13">
                  <v>38.04</v>
                </pt>
                <pt idx="14">
                  <v>53.5</v>
                </pt>
                <pt idx="15">
                  <v>68.51000000000001</v>
                </pt>
                <pt idx="16">
                  <v>78.43000000000001</v>
                </pt>
                <pt idx="17">
                  <v>78.16</v>
                </pt>
                <pt idx="18">
                  <v>78.52</v>
                </pt>
                <pt idx="19">
                  <v>79.13</v>
                </pt>
                <pt idx="20">
                  <v>79.03</v>
                </pt>
              </numCache>
            </numRef>
          </val>
          <smooth val="1"/>
        </ser>
        <ser>
          <idx val="1"/>
          <order val="1"/>
          <tx>
            <strRef>
              <f>'AR, Ring, 0x0, 4nodes'!$F$495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4nodes'!$A$496:$A$516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4nodes'!$F$496:$F$516</f>
              <numCache>
                <formatCode>General</formatCode>
                <ptCount val="21"/>
                <pt idx="0">
                  <v>0.01358617007298427</v>
                </pt>
                <pt idx="1">
                  <v>0.02717032091533118</v>
                </pt>
                <pt idx="2">
                  <v>0.05433256670848187</v>
                </pt>
                <pt idx="3">
                  <v>0.1086328473237046</v>
                </pt>
                <pt idx="4">
                  <v>0.2171366653183867</v>
                </pt>
                <pt idx="5">
                  <v>0.433758131762049</v>
                </pt>
                <pt idx="6">
                  <v>0.8654627851198139</v>
                </pt>
                <pt idx="7">
                  <v>1.722769710700794</v>
                </pt>
                <pt idx="8">
                  <v>3.413372828199529</v>
                </pt>
                <pt idx="9">
                  <v>6.701616812728239</v>
                </pt>
                <pt idx="10">
                  <v>12.92926716153314</v>
                </pt>
                <pt idx="11">
                  <v>24.15050898173636</v>
                </pt>
                <pt idx="12">
                  <v>42.6647732360065</v>
                </pt>
                <pt idx="13">
                  <v>69.18350346594407</v>
                </pt>
                <pt idx="14">
                  <v>100.3794429547543</v>
                </pt>
                <pt idx="15">
                  <v>129.5984393037475</v>
                </pt>
                <pt idx="16">
                  <v>151.6734000289352</v>
                </pt>
                <pt idx="17">
                  <v>151.6734000289352</v>
                </pt>
                <pt idx="18">
                  <v>151.6734000289352</v>
                </pt>
                <pt idx="19">
                  <v>151.6734000289352</v>
                </pt>
                <pt idx="20">
                  <v>153.3054664376575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4, Protocol: LL128,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4nodes'!$E$534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4nodes'!$A$535:$A$555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4nodes'!$E$535:$E$555</f>
              <numCache>
                <formatCode>General</formatCode>
                <ptCount val="21"/>
                <pt idx="0">
                  <v>0.01</v>
                </pt>
                <pt idx="1">
                  <v>0.02</v>
                </pt>
                <pt idx="2">
                  <v>0.03</v>
                </pt>
                <pt idx="3">
                  <v>0.06</v>
                </pt>
                <pt idx="4">
                  <v>0.12</v>
                </pt>
                <pt idx="5">
                  <v>0.23</v>
                </pt>
                <pt idx="6">
                  <v>0.47</v>
                </pt>
                <pt idx="7">
                  <v>0.93</v>
                </pt>
                <pt idx="8">
                  <v>1.87</v>
                </pt>
                <pt idx="9">
                  <v>3.61</v>
                </pt>
                <pt idx="10">
                  <v>7</v>
                </pt>
                <pt idx="11">
                  <v>13.2</v>
                </pt>
                <pt idx="12">
                  <v>24.93</v>
                </pt>
                <pt idx="13">
                  <v>43.86</v>
                </pt>
                <pt idx="14">
                  <v>75.43000000000001</v>
                </pt>
                <pt idx="15">
                  <v>104.54</v>
                </pt>
                <pt idx="16">
                  <v>136.3</v>
                </pt>
                <pt idx="17">
                  <v>150.24</v>
                </pt>
                <pt idx="18">
                  <v>149.71</v>
                </pt>
                <pt idx="19">
                  <v>151.36</v>
                </pt>
                <pt idx="20">
                  <v>152.23</v>
                </pt>
              </numCache>
            </numRef>
          </val>
          <smooth val="1"/>
        </ser>
        <ser>
          <idx val="1"/>
          <order val="1"/>
          <tx>
            <strRef>
              <f>'AR, Ring, 0x0, 4nodes'!$F$534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4nodes'!$A$535:$A$555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4nodes'!$F$535:$F$555</f>
              <numCache>
                <formatCode>General</formatCode>
                <ptCount val="21"/>
                <pt idx="0">
                  <v>0.01358667493691978</v>
                </pt>
                <pt idx="1">
                  <v>0.02717234014596855</v>
                </pt>
                <pt idx="2">
                  <v>0.05434064183066237</v>
                </pt>
                <pt idx="3">
                  <v>0.1086651334169637</v>
                </pt>
                <pt idx="4">
                  <v>0.2172656946474091</v>
                </pt>
                <pt idx="5">
                  <v>0.4342733306367733</v>
                </pt>
                <pt idx="6">
                  <v>0.8675162635240981</v>
                </pt>
                <pt idx="7">
                  <v>1.730925570239628</v>
                </pt>
                <pt idx="8">
                  <v>3.445539421401588</v>
                </pt>
                <pt idx="9">
                  <v>6.826745656399059</v>
                </pt>
                <pt idx="10">
                  <v>13.40323362545648</v>
                </pt>
                <pt idx="11">
                  <v>25.85853432306628</v>
                </pt>
                <pt idx="12">
                  <v>48.30101796347272</v>
                </pt>
                <pt idx="13">
                  <v>85.32954647201299</v>
                </pt>
                <pt idx="14">
                  <v>138.3670069318881</v>
                </pt>
                <pt idx="15">
                  <v>200.7588859095086</v>
                </pt>
                <pt idx="16">
                  <v>259.196878607495</v>
                </pt>
                <pt idx="17">
                  <v>303.3468000578703</v>
                </pt>
                <pt idx="18">
                  <v>303.3468000578703</v>
                </pt>
                <pt idx="19">
                  <v>303.3468000578703</v>
                </pt>
                <pt idx="20">
                  <v>303.3468000578703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4, Protocol: LL128,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4nodes'!$E$573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4nodes'!$A$574:$A$594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4nodes'!$E$574:$E$594</f>
              <numCache>
                <formatCode>General</formatCode>
                <ptCount val="21"/>
                <pt idx="0">
                  <v>0.01</v>
                </pt>
                <pt idx="1">
                  <v>0.02</v>
                </pt>
                <pt idx="2">
                  <v>0.03</v>
                </pt>
                <pt idx="3">
                  <v>0.06</v>
                </pt>
                <pt idx="4">
                  <v>0.12</v>
                </pt>
                <pt idx="5">
                  <v>0.24</v>
                </pt>
                <pt idx="6">
                  <v>0.46</v>
                </pt>
                <pt idx="7">
                  <v>0.93</v>
                </pt>
                <pt idx="8">
                  <v>1.32</v>
                </pt>
                <pt idx="9">
                  <v>3.14</v>
                </pt>
                <pt idx="10">
                  <v>6.25</v>
                </pt>
                <pt idx="11">
                  <v>12.51</v>
                </pt>
                <pt idx="12">
                  <v>23.04</v>
                </pt>
                <pt idx="13">
                  <v>44.46</v>
                </pt>
                <pt idx="14">
                  <v>73.88</v>
                </pt>
                <pt idx="15">
                  <v>137.12</v>
                </pt>
                <pt idx="16">
                  <v>202.45</v>
                </pt>
                <pt idx="17">
                  <v>254.15</v>
                </pt>
                <pt idx="18">
                  <v>283.18</v>
                </pt>
                <pt idx="19">
                  <v>283.82</v>
                </pt>
                <pt idx="20">
                  <v>286.75</v>
                </pt>
              </numCache>
            </numRef>
          </val>
          <smooth val="1"/>
        </ser>
        <ser>
          <idx val="1"/>
          <order val="1"/>
          <tx>
            <strRef>
              <f>'AR, Ring, 0x0, 4nodes'!$F$573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4nodes'!$A$574:$A$594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4nodes'!$F$574:$F$594</f>
              <numCache>
                <formatCode>General</formatCode>
                <ptCount val="21"/>
                <pt idx="0">
                  <v>0.01358667493691978</v>
                </pt>
                <pt idx="1">
                  <v>0.02717234014596855</v>
                </pt>
                <pt idx="2">
                  <v>0.05434064183066237</v>
                </pt>
                <pt idx="3">
                  <v>0.1086651334169637</v>
                </pt>
                <pt idx="4">
                  <v>0.2172656946474091</v>
                </pt>
                <pt idx="5">
                  <v>0.4342733306367733</v>
                </pt>
                <pt idx="6">
                  <v>0.8675162635240981</v>
                </pt>
                <pt idx="7">
                  <v>1.730925570239628</v>
                </pt>
                <pt idx="8">
                  <v>3.445539421401588</v>
                </pt>
                <pt idx="9">
                  <v>6.826745656399059</v>
                </pt>
                <pt idx="10">
                  <v>13.40323362545648</v>
                </pt>
                <pt idx="11">
                  <v>25.85853432306628</v>
                </pt>
                <pt idx="12">
                  <v>48.30101796347272</v>
                </pt>
                <pt idx="13">
                  <v>85.32954647201299</v>
                </pt>
                <pt idx="14">
                  <v>138.3670069318881</v>
                </pt>
                <pt idx="15">
                  <v>200.7588859095086</v>
                </pt>
                <pt idx="16">
                  <v>259.196878607495</v>
                </pt>
                <pt idx="17">
                  <v>303.3468000578703</v>
                </pt>
                <pt idx="18">
                  <v>331.5869929392071</v>
                </pt>
                <pt idx="19">
                  <v>331.5869929392071</v>
                </pt>
                <pt idx="20">
                  <v>331.5869929392071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Simple,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4nodes'!$E$16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4nodes'!$A$17:$A$39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4nodes'!$E$17:$E$39</f>
              <numCache>
                <formatCode>General</formatCode>
                <ptCount val="23"/>
                <pt idx="0">
                  <v>0.01</v>
                </pt>
                <pt idx="1">
                  <v>0.03</v>
                </pt>
                <pt idx="2">
                  <v>0.05</v>
                </pt>
                <pt idx="3">
                  <v>0.1</v>
                </pt>
                <pt idx="4">
                  <v>0.18</v>
                </pt>
                <pt idx="5">
                  <v>0.31</v>
                </pt>
                <pt idx="6">
                  <v>0.53</v>
                </pt>
                <pt idx="7">
                  <v>0.83</v>
                </pt>
                <pt idx="8">
                  <v>1.24</v>
                </pt>
                <pt idx="9">
                  <v>1.6</v>
                </pt>
                <pt idx="10">
                  <v>1.87</v>
                </pt>
                <pt idx="11">
                  <v>3.46</v>
                </pt>
                <pt idx="12">
                  <v>6.04</v>
                </pt>
                <pt idx="13">
                  <v>8.69</v>
                </pt>
                <pt idx="14">
                  <v>10.93</v>
                </pt>
                <pt idx="15">
                  <v>12.82</v>
                </pt>
                <pt idx="16">
                  <v>13.98</v>
                </pt>
                <pt idx="17">
                  <v>14.66</v>
                </pt>
                <pt idx="18">
                  <v>15.02</v>
                </pt>
                <pt idx="19">
                  <v>15.22</v>
                </pt>
                <pt idx="20">
                  <v>15.32</v>
                </pt>
                <pt idx="21">
                  <v>15.37</v>
                </pt>
                <pt idx="22">
                  <v>15.4</v>
                </pt>
              </numCache>
            </numRef>
          </val>
          <smooth val="1"/>
        </ser>
        <ser>
          <idx val="1"/>
          <order val="1"/>
          <tx>
            <strRef>
              <f>'AR, Tree, 0x0, 4nodes'!$F$16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4nodes'!$A$17:$A$39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4nodes'!$F$17:$F$39</f>
              <numCache>
                <formatCode>General</formatCode>
                <ptCount val="23"/>
                <pt idx="0">
                  <v>0.02506220853716459</v>
                </pt>
                <pt idx="1">
                  <v>0.05008454874582791</v>
                </pt>
                <pt idx="2">
                  <v>0.1000100041024575</v>
                </pt>
                <pt idx="3">
                  <v>0.1993866572044587</v>
                </pt>
                <pt idx="4">
                  <v>0.3962638245635328</v>
                </pt>
                <pt idx="5">
                  <v>0.7826768415869902</v>
                </pt>
                <pt idx="6">
                  <v>1.527384113387188</v>
                </pt>
                <pt idx="7">
                  <v>2.913430576647061</v>
                </pt>
                <pt idx="8">
                  <v>5.333336779709973</v>
                </pt>
                <pt idx="9">
                  <v>9.121521520857751</v>
                </pt>
                <pt idx="10">
                  <v>14.14500989952231</v>
                </pt>
                <pt idx="11">
                  <v>19.52017530089191</v>
                </pt>
                <pt idx="12">
                  <v>24.09904667773423</v>
                </pt>
                <pt idx="13">
                  <v>27.30106927002043</v>
                </pt>
                <pt idx="14">
                  <v>29.24387536649643</v>
                </pt>
                <pt idx="15">
                  <v>30.32279484211839</v>
                </pt>
                <pt idx="16">
                  <v>30.89266977588566</v>
                </pt>
                <pt idx="17">
                  <v>31.1857159462983</v>
                </pt>
                <pt idx="18">
                  <v>31.33433383200573</v>
                </pt>
                <pt idx="19">
                  <v>31.40917523091206</v>
                </pt>
                <pt idx="20">
                  <v>31.44673015849899</v>
                </pt>
                <pt idx="21">
                  <v>31.46554131984059</v>
                </pt>
                <pt idx="22">
                  <v>31.47495534254159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Simple,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4nodes'!$E$56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4nodes'!$A$57:$A$79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4nodes'!$E$57:$E$79</f>
              <numCache>
                <formatCode>General</formatCode>
                <ptCount val="23"/>
                <pt idx="0">
                  <v>0.01</v>
                </pt>
                <pt idx="1">
                  <v>0.03</v>
                </pt>
                <pt idx="2">
                  <v>0.05</v>
                </pt>
                <pt idx="3">
                  <v>0.1</v>
                </pt>
                <pt idx="4">
                  <v>0.18</v>
                </pt>
                <pt idx="5">
                  <v>0.31</v>
                </pt>
                <pt idx="6">
                  <v>0.62</v>
                </pt>
                <pt idx="7">
                  <v>1.05</v>
                </pt>
                <pt idx="8">
                  <v>1.65</v>
                </pt>
                <pt idx="9">
                  <v>2.45</v>
                </pt>
                <pt idx="10">
                  <v>3.17</v>
                </pt>
                <pt idx="11">
                  <v>3.71</v>
                </pt>
                <pt idx="12">
                  <v>6.86</v>
                </pt>
                <pt idx="13">
                  <v>11.92</v>
                </pt>
                <pt idx="14">
                  <v>16.69</v>
                </pt>
                <pt idx="15">
                  <v>21.5</v>
                </pt>
                <pt idx="16">
                  <v>25.32</v>
                </pt>
                <pt idx="17">
                  <v>27.73</v>
                </pt>
                <pt idx="18">
                  <v>29.14</v>
                </pt>
                <pt idx="19">
                  <v>29.91</v>
                </pt>
                <pt idx="20">
                  <v>30.32</v>
                </pt>
                <pt idx="21">
                  <v>30.53</v>
                </pt>
                <pt idx="22">
                  <v>30.63</v>
                </pt>
              </numCache>
            </numRef>
          </val>
          <smooth val="1"/>
        </ser>
        <ser>
          <idx val="1"/>
          <order val="1"/>
          <tx>
            <strRef>
              <f>'AR, Tree, 0x0, 4nodes'!$F$56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4nodes'!$A$57:$A$79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4nodes'!$F$57:$F$79</f>
              <numCache>
                <formatCode>General</formatCode>
                <ptCount val="23"/>
                <pt idx="0">
                  <v>0.02507218752503136</v>
                </pt>
                <pt idx="1">
                  <v>0.05012441707432919</v>
                </pt>
                <pt idx="2">
                  <v>0.1001690974916558</v>
                </pt>
                <pt idx="3">
                  <v>0.200020008204915</v>
                </pt>
                <pt idx="4">
                  <v>0.3987733144089173</v>
                </pt>
                <pt idx="5">
                  <v>0.7925276491270656</v>
                </pt>
                <pt idx="6">
                  <v>1.56535368317398</v>
                </pt>
                <pt idx="7">
                  <v>3.054768226774376</v>
                </pt>
                <pt idx="8">
                  <v>5.826861153294122</v>
                </pt>
                <pt idx="9">
                  <v>10.66667355941995</v>
                </pt>
                <pt idx="10">
                  <v>18.2430430417155</v>
                </pt>
                <pt idx="11">
                  <v>28.29001979904463</v>
                </pt>
                <pt idx="12">
                  <v>39.04035060178381</v>
                </pt>
                <pt idx="13">
                  <v>48.19809335546845</v>
                </pt>
                <pt idx="14">
                  <v>54.60213854004085</v>
                </pt>
                <pt idx="15">
                  <v>58.48775073299286</v>
                </pt>
                <pt idx="16">
                  <v>60.64558968423677</v>
                </pt>
                <pt idx="17">
                  <v>61.78533955177132</v>
                </pt>
                <pt idx="18">
                  <v>62.3714318925966</v>
                </pt>
                <pt idx="19">
                  <v>62.66866766401147</v>
                </pt>
                <pt idx="20">
                  <v>62.81835046182412</v>
                </pt>
                <pt idx="21">
                  <v>62.89346031699798</v>
                </pt>
                <pt idx="22">
                  <v>62.93108263968118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4, Protocol: Simple,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4nodes'!$E$96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4nodes'!$A$97:$A$119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4nodes'!$E$97:$E$119</f>
              <numCache>
                <formatCode>General</formatCode>
                <ptCount val="23"/>
                <pt idx="0">
                  <v>0.01</v>
                </pt>
                <pt idx="1">
                  <v>0.03</v>
                </pt>
                <pt idx="2">
                  <v>0.05</v>
                </pt>
                <pt idx="3">
                  <v>0.1</v>
                </pt>
                <pt idx="4">
                  <v>0.17</v>
                </pt>
                <pt idx="5">
                  <v>0.31</v>
                </pt>
                <pt idx="6">
                  <v>0.61</v>
                </pt>
                <pt idx="7">
                  <v>1.23</v>
                </pt>
                <pt idx="8">
                  <v>2.08</v>
                </pt>
                <pt idx="9">
                  <v>3.25</v>
                </pt>
                <pt idx="10">
                  <v>4.85</v>
                </pt>
                <pt idx="11">
                  <v>6.3</v>
                </pt>
                <pt idx="12">
                  <v>7.38</v>
                </pt>
                <pt idx="13">
                  <v>13.63</v>
                </pt>
                <pt idx="14">
                  <v>23.67</v>
                </pt>
                <pt idx="15">
                  <v>33.31</v>
                </pt>
                <pt idx="16">
                  <v>42.43</v>
                </pt>
                <pt idx="17">
                  <v>49.67</v>
                </pt>
                <pt idx="18">
                  <v>54.98</v>
                </pt>
                <pt idx="19">
                  <v>57.87</v>
                </pt>
                <pt idx="20">
                  <v>59.41</v>
                </pt>
                <pt idx="21">
                  <v>60.21</v>
                </pt>
                <pt idx="22">
                  <v>60.65</v>
                </pt>
              </numCache>
            </numRef>
          </val>
          <smooth val="1"/>
        </ser>
        <ser>
          <idx val="1"/>
          <order val="1"/>
          <tx>
            <strRef>
              <f>'AR, Tree, 0x0, 4nodes'!$F$96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4nodes'!$A$97:$A$119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4nodes'!$F$97:$F$119</f>
              <numCache>
                <formatCode>General</formatCode>
                <ptCount val="23"/>
                <pt idx="0">
                  <v>0.02507717999954885</v>
                </pt>
                <pt idx="1">
                  <v>0.05014437505006272</v>
                </pt>
                <pt idx="2">
                  <v>0.1002488341486584</v>
                </pt>
                <pt idx="3">
                  <v>0.2003381949833116</v>
                </pt>
                <pt idx="4">
                  <v>0.4000400164098301</v>
                </pt>
                <pt idx="5">
                  <v>0.7975466288178347</v>
                </pt>
                <pt idx="6">
                  <v>1.585055298254131</v>
                </pt>
                <pt idx="7">
                  <v>3.130707366347961</v>
                </pt>
                <pt idx="8">
                  <v>6.109536453548752</v>
                </pt>
                <pt idx="9">
                  <v>11.65372230658824</v>
                </pt>
                <pt idx="10">
                  <v>21.33334711883989</v>
                </pt>
                <pt idx="11">
                  <v>36.486086083431</v>
                </pt>
                <pt idx="12">
                  <v>56.58003959808925</v>
                </pt>
                <pt idx="13">
                  <v>78.08070120356763</v>
                </pt>
                <pt idx="14">
                  <v>96.3961867109369</v>
                </pt>
                <pt idx="15">
                  <v>109.2042770800817</v>
                </pt>
                <pt idx="16">
                  <v>116.9755014659857</v>
                </pt>
                <pt idx="17">
                  <v>121.2911793684735</v>
                </pt>
                <pt idx="18">
                  <v>123.5706791035426</v>
                </pt>
                <pt idx="19">
                  <v>124.7428637851932</v>
                </pt>
                <pt idx="20">
                  <v>125.3373353280229</v>
                </pt>
                <pt idx="21">
                  <v>125.6367009236482</v>
                </pt>
                <pt idx="22">
                  <v>125.786920633996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4, Protocol: Simple,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4nodes'!$E$136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4nodes'!$A$137:$A$159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4nodes'!$E$137:$E$159</f>
              <numCache>
                <formatCode>General</formatCode>
                <ptCount val="23"/>
                <pt idx="0">
                  <v>0.01</v>
                </pt>
                <pt idx="1">
                  <v>0.03</v>
                </pt>
                <pt idx="2">
                  <v>0.05</v>
                </pt>
                <pt idx="3">
                  <v>0.1</v>
                </pt>
                <pt idx="4">
                  <v>0.18</v>
                </pt>
                <pt idx="5">
                  <v>0.31</v>
                </pt>
                <pt idx="6">
                  <v>0.62</v>
                </pt>
                <pt idx="7">
                  <v>1.23</v>
                </pt>
                <pt idx="8">
                  <v>2.42</v>
                </pt>
                <pt idx="9">
                  <v>4.08</v>
                </pt>
                <pt idx="10">
                  <v>6.46</v>
                </pt>
                <pt idx="11">
                  <v>9.65</v>
                </pt>
                <pt idx="12">
                  <v>12.52</v>
                </pt>
                <pt idx="13">
                  <v>14.67</v>
                </pt>
                <pt idx="14">
                  <v>26.97</v>
                </pt>
                <pt idx="15">
                  <v>46.16</v>
                </pt>
                <pt idx="16">
                  <v>66.70999999999999</v>
                </pt>
                <pt idx="17">
                  <v>84.09999999999999</v>
                </pt>
                <pt idx="18">
                  <v>99.36</v>
                </pt>
                <pt idx="19">
                  <v>109.24</v>
                </pt>
                <pt idx="20">
                  <v>114.81</v>
                </pt>
                <pt idx="21">
                  <v>117.85</v>
                </pt>
                <pt idx="22">
                  <v>119.43</v>
                </pt>
              </numCache>
            </numRef>
          </val>
          <smooth val="1"/>
        </ser>
        <ser>
          <idx val="1"/>
          <order val="1"/>
          <tx>
            <strRef>
              <f>'AR, Tree, 0x0, 4nodes'!$F$136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4nodes'!$A$137:$A$159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4nodes'!$F$137:$F$159</f>
              <numCache>
                <formatCode>General</formatCode>
                <ptCount val="23"/>
                <pt idx="0">
                  <v>0.025079676982473</v>
                </pt>
                <pt idx="1">
                  <v>0.05015435999909771</v>
                </pt>
                <pt idx="2">
                  <v>0.1002887501001254</v>
                </pt>
                <pt idx="3">
                  <v>0.2004976682973167</v>
                </pt>
                <pt idx="4">
                  <v>0.4006763899666232</v>
                </pt>
                <pt idx="5">
                  <v>0.8000800328196601</v>
                </pt>
                <pt idx="6">
                  <v>1.595093257635669</v>
                </pt>
                <pt idx="7">
                  <v>3.170110596508263</v>
                </pt>
                <pt idx="8">
                  <v>6.261414732695922</v>
                </pt>
                <pt idx="9">
                  <v>12.2190729070975</v>
                </pt>
                <pt idx="10">
                  <v>23.30744461317649</v>
                </pt>
                <pt idx="11">
                  <v>42.66669423767978</v>
                </pt>
                <pt idx="12">
                  <v>72.97217216686201</v>
                </pt>
                <pt idx="13">
                  <v>113.1600791961785</v>
                </pt>
                <pt idx="14">
                  <v>156.1614024071353</v>
                </pt>
                <pt idx="15">
                  <v>192.7923734218738</v>
                </pt>
                <pt idx="16">
                  <v>218.4085541601634</v>
                </pt>
                <pt idx="17">
                  <v>233.9510029319715</v>
                </pt>
                <pt idx="18">
                  <v>242.5823587369471</v>
                </pt>
                <pt idx="19">
                  <v>247.1413582070853</v>
                </pt>
                <pt idx="20">
                  <v>249.4857275703864</v>
                </pt>
                <pt idx="21">
                  <v>250.6746706560459</v>
                </pt>
                <pt idx="22">
                  <v>251.2734018472965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4, Protocol: Simple,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4nodes'!$E$176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4nodes'!$A$177:$A$199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4nodes'!$E$177:$E$199</f>
              <numCache>
                <formatCode>General</formatCode>
                <ptCount val="23"/>
                <pt idx="0">
                  <v>0.01</v>
                </pt>
                <pt idx="1">
                  <v>0.03</v>
                </pt>
                <pt idx="2">
                  <v>0.05</v>
                </pt>
                <pt idx="3">
                  <v>0.1</v>
                </pt>
                <pt idx="4">
                  <v>0.18</v>
                </pt>
                <pt idx="5">
                  <v>0.31</v>
                </pt>
                <pt idx="6">
                  <v>0.62</v>
                </pt>
                <pt idx="7">
                  <v>1.24</v>
                </pt>
                <pt idx="8">
                  <v>2.42</v>
                </pt>
                <pt idx="9">
                  <v>4.71</v>
                </pt>
                <pt idx="10">
                  <v>8.029999999999999</v>
                </pt>
                <pt idx="11">
                  <v>12.7</v>
                </pt>
                <pt idx="12">
                  <v>19.03</v>
                </pt>
                <pt idx="13">
                  <v>24.62</v>
                </pt>
                <pt idx="14">
                  <v>28.8</v>
                </pt>
                <pt idx="15">
                  <v>53.41</v>
                </pt>
                <pt idx="16">
                  <v>91.56</v>
                </pt>
                <pt idx="17">
                  <v>127.22</v>
                </pt>
                <pt idx="18">
                  <v>165.15</v>
                </pt>
                <pt idx="19">
                  <v>195.01</v>
                </pt>
                <pt idx="20">
                  <v>213.34</v>
                </pt>
                <pt idx="21">
                  <v>224.33</v>
                </pt>
                <pt idx="22">
                  <v>230.51</v>
                </pt>
              </numCache>
            </numRef>
          </val>
          <smooth val="1"/>
        </ser>
        <ser>
          <idx val="1"/>
          <order val="1"/>
          <tx>
            <strRef>
              <f>'AR, Tree, 0x0, 4nodes'!$F$176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4nodes'!$A$177:$A$199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4nodes'!$F$177:$F$199</f>
              <numCache>
                <formatCode>General</formatCode>
                <ptCount val="23"/>
                <pt idx="0">
                  <v>0.025079676982473</v>
                </pt>
                <pt idx="1">
                  <v>0.05015435999909771</v>
                </pt>
                <pt idx="2">
                  <v>0.1002887501001254</v>
                </pt>
                <pt idx="3">
                  <v>0.2004976682973167</v>
                </pt>
                <pt idx="4">
                  <v>0.4006763899666232</v>
                </pt>
                <pt idx="5">
                  <v>0.8000800328196601</v>
                </pt>
                <pt idx="6">
                  <v>1.595093257635669</v>
                </pt>
                <pt idx="7">
                  <v>3.170110596508263</v>
                </pt>
                <pt idx="8">
                  <v>6.261414732695922</v>
                </pt>
                <pt idx="9">
                  <v>12.2190729070975</v>
                </pt>
                <pt idx="10">
                  <v>23.30744461317649</v>
                </pt>
                <pt idx="11">
                  <v>42.66669423767978</v>
                </pt>
                <pt idx="12">
                  <v>72.97217216686201</v>
                </pt>
                <pt idx="13">
                  <v>113.1600791961785</v>
                </pt>
                <pt idx="14">
                  <v>156.1614024071353</v>
                </pt>
                <pt idx="15">
                  <v>192.7923734218738</v>
                </pt>
                <pt idx="16">
                  <v>218.4085541601634</v>
                </pt>
                <pt idx="17">
                  <v>233.9510029319715</v>
                </pt>
                <pt idx="18">
                  <v>242.5823587369471</v>
                </pt>
                <pt idx="19">
                  <v>247.1413582070853</v>
                </pt>
                <pt idx="20">
                  <v>249.4857275703864</v>
                </pt>
                <pt idx="21">
                  <v>250.6746706560459</v>
                </pt>
                <pt idx="22">
                  <v>251.2734018472965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4, Protocol: LL,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4nodes'!$E$216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4nodes'!$A$217:$A$237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4nodes'!$E$217:$E$237</f>
              <numCache>
                <formatCode>General</formatCode>
                <ptCount val="21"/>
                <pt idx="0">
                  <v>0.03</v>
                </pt>
                <pt idx="1">
                  <v>0.05</v>
                </pt>
                <pt idx="2">
                  <v>0.09</v>
                </pt>
                <pt idx="3">
                  <v>0.16</v>
                </pt>
                <pt idx="4">
                  <v>0.29</v>
                </pt>
                <pt idx="5">
                  <v>0.47</v>
                </pt>
                <pt idx="6">
                  <v>0.86</v>
                </pt>
                <pt idx="7">
                  <v>1.5</v>
                </pt>
                <pt idx="8">
                  <v>2.31</v>
                </pt>
                <pt idx="9">
                  <v>2.73</v>
                </pt>
                <pt idx="10">
                  <v>3.08</v>
                </pt>
                <pt idx="11">
                  <v>3.34</v>
                </pt>
                <pt idx="12">
                  <v>3.5</v>
                </pt>
                <pt idx="13">
                  <v>3.6</v>
                </pt>
                <pt idx="14">
                  <v>3.66</v>
                </pt>
                <pt idx="15">
                  <v>3.68</v>
                </pt>
                <pt idx="16">
                  <v>3.7</v>
                </pt>
                <pt idx="17">
                  <v>3.7</v>
                </pt>
                <pt idx="18">
                  <v>3.71</v>
                </pt>
                <pt idx="19">
                  <v>3.71</v>
                </pt>
                <pt idx="20">
                  <v>3.71</v>
                </pt>
              </numCache>
            </numRef>
          </val>
          <smooth val="1"/>
        </ser>
        <ser>
          <idx val="1"/>
          <order val="1"/>
          <tx>
            <strRef>
              <f>'AR, Tree, 0x0, 4nodes'!$F$216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4nodes'!$A$217:$A$237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4nodes'!$F$217:$F$237</f>
              <numCache>
                <formatCode>General</formatCode>
                <ptCount val="21"/>
                <pt idx="0">
                  <v>0.02504227437291395</v>
                </pt>
                <pt idx="1">
                  <v>0.05000500205122876</v>
                </pt>
                <pt idx="2">
                  <v>0.09969332860222933</v>
                </pt>
                <pt idx="3">
                  <v>0.1981319122817664</v>
                </pt>
                <pt idx="4">
                  <v>0.3913384207934951</v>
                </pt>
                <pt idx="5">
                  <v>0.763692056693594</v>
                </pt>
                <pt idx="6">
                  <v>1.456715288323531</v>
                </pt>
                <pt idx="7">
                  <v>2.666668389854987</v>
                </pt>
                <pt idx="8">
                  <v>4.560760760428876</v>
                </pt>
                <pt idx="9">
                  <v>7.072504949761156</v>
                </pt>
                <pt idx="10">
                  <v>9.760087650445953</v>
                </pt>
                <pt idx="11">
                  <v>12.04952333886711</v>
                </pt>
                <pt idx="12">
                  <v>13.65053463501021</v>
                </pt>
                <pt idx="13">
                  <v>14.62193768324822</v>
                </pt>
                <pt idx="14">
                  <v>15.16139742105919</v>
                </pt>
                <pt idx="15">
                  <v>15.44633488794283</v>
                </pt>
                <pt idx="16">
                  <v>15.59285797314915</v>
                </pt>
                <pt idx="17">
                  <v>15.66716691600287</v>
                </pt>
                <pt idx="18">
                  <v>15.70458761545603</v>
                </pt>
                <pt idx="19">
                  <v>15.7233650792495</v>
                </pt>
                <pt idx="20">
                  <v>15.73277065992029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4, Protocol: LL,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4nodes'!$E$254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4nodes'!$A$255:$A$275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4nodes'!$E$255:$E$275</f>
              <numCache>
                <formatCode>General</formatCode>
                <ptCount val="21"/>
                <pt idx="0">
                  <v>0.02</v>
                </pt>
                <pt idx="1">
                  <v>0.05</v>
                </pt>
                <pt idx="2">
                  <v>0.09</v>
                </pt>
                <pt idx="3">
                  <v>0.17</v>
                </pt>
                <pt idx="4">
                  <v>0.32</v>
                </pt>
                <pt idx="5">
                  <v>0.57</v>
                </pt>
                <pt idx="6">
                  <v>0.93</v>
                </pt>
                <pt idx="7">
                  <v>1.67</v>
                </pt>
                <pt idx="8">
                  <v>2.88</v>
                </pt>
                <pt idx="9">
                  <v>4.37</v>
                </pt>
                <pt idx="10">
                  <v>5.12</v>
                </pt>
                <pt idx="11">
                  <v>5.72</v>
                </pt>
                <pt idx="12">
                  <v>6.06</v>
                </pt>
                <pt idx="13">
                  <v>6.34</v>
                </pt>
                <pt idx="14">
                  <v>6.48</v>
                </pt>
                <pt idx="15">
                  <v>6.53</v>
                </pt>
                <pt idx="16">
                  <v>6.56</v>
                </pt>
                <pt idx="17">
                  <v>6.58</v>
                </pt>
                <pt idx="18">
                  <v>6.58</v>
                </pt>
                <pt idx="19">
                  <v>6.58</v>
                </pt>
                <pt idx="20">
                  <v>6.59</v>
                </pt>
              </numCache>
            </numRef>
          </val>
          <smooth val="1"/>
        </ser>
        <ser>
          <idx val="1"/>
          <order val="1"/>
          <tx>
            <strRef>
              <f>'AR, Tree, 0x0, 4nodes'!$F$254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4nodes'!$A$255:$A$275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4nodes'!$F$255:$F$275</f>
              <numCache>
                <formatCode>General</formatCode>
                <ptCount val="21"/>
                <pt idx="0">
                  <v>0.02506220853716459</v>
                </pt>
                <pt idx="1">
                  <v>0.05008454874582791</v>
                </pt>
                <pt idx="2">
                  <v>0.1000100041024575</v>
                </pt>
                <pt idx="3">
                  <v>0.1993866572044587</v>
                </pt>
                <pt idx="4">
                  <v>0.3962638245635328</v>
                </pt>
                <pt idx="5">
                  <v>0.7826768415869902</v>
                </pt>
                <pt idx="6">
                  <v>1.527384113387188</v>
                </pt>
                <pt idx="7">
                  <v>2.913430576647061</v>
                </pt>
                <pt idx="8">
                  <v>5.333336779709973</v>
                </pt>
                <pt idx="9">
                  <v>9.121521520857751</v>
                </pt>
                <pt idx="10">
                  <v>14.14500989952231</v>
                </pt>
                <pt idx="11">
                  <v>19.52017530089191</v>
                </pt>
                <pt idx="12">
                  <v>24.09904667773423</v>
                </pt>
                <pt idx="13">
                  <v>27.30106927002043</v>
                </pt>
                <pt idx="14">
                  <v>29.24387536649643</v>
                </pt>
                <pt idx="15">
                  <v>30.32279484211839</v>
                </pt>
                <pt idx="16">
                  <v>30.89266977588566</v>
                </pt>
                <pt idx="17">
                  <v>31.1857159462983</v>
                </pt>
                <pt idx="18">
                  <v>31.33433383200573</v>
                </pt>
                <pt idx="19">
                  <v>31.40917523091206</v>
                </pt>
                <pt idx="20">
                  <v>31.44673015849899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4, Protocol: LL,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4nodes'!$E$292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4nodes'!$A$293:$A$313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4nodes'!$E$293:$E$313</f>
              <numCache>
                <formatCode>General</formatCode>
                <ptCount val="21"/>
                <pt idx="0">
                  <v>0.03</v>
                </pt>
                <pt idx="1">
                  <v>0.05</v>
                </pt>
                <pt idx="2">
                  <v>0.09</v>
                </pt>
                <pt idx="3">
                  <v>0.18</v>
                </pt>
                <pt idx="4">
                  <v>0.34</v>
                </pt>
                <pt idx="5">
                  <v>0.62</v>
                </pt>
                <pt idx="6">
                  <v>1.1</v>
                </pt>
                <pt idx="7">
                  <v>1.81</v>
                </pt>
                <pt idx="8">
                  <v>3.22</v>
                </pt>
                <pt idx="9">
                  <v>5.5</v>
                </pt>
                <pt idx="10">
                  <v>8.23</v>
                </pt>
                <pt idx="11">
                  <v>9.6</v>
                </pt>
                <pt idx="12">
                  <v>10.48</v>
                </pt>
                <pt idx="13">
                  <v>11.14</v>
                </pt>
                <pt idx="14">
                  <v>11.55</v>
                </pt>
                <pt idx="15">
                  <v>11.76</v>
                </pt>
                <pt idx="16">
                  <v>11.85</v>
                </pt>
                <pt idx="17">
                  <v>11.97</v>
                </pt>
                <pt idx="18">
                  <v>12.03</v>
                </pt>
                <pt idx="19">
                  <v>12.01</v>
                </pt>
                <pt idx="20">
                  <v>12.07</v>
                </pt>
              </numCache>
            </numRef>
          </val>
          <smooth val="1"/>
        </ser>
        <ser>
          <idx val="1"/>
          <order val="1"/>
          <tx>
            <strRef>
              <f>'AR, Tree, 0x0, 4nodes'!$F$292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4nodes'!$A$293:$A$313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4nodes'!$F$293:$F$313</f>
              <numCache>
                <formatCode>General</formatCode>
                <ptCount val="21"/>
                <pt idx="0">
                  <v>0.02507218752503136</v>
                </pt>
                <pt idx="1">
                  <v>0.05012441707432919</v>
                </pt>
                <pt idx="2">
                  <v>0.1001690974916558</v>
                </pt>
                <pt idx="3">
                  <v>0.200020008204915</v>
                </pt>
                <pt idx="4">
                  <v>0.3987733144089173</v>
                </pt>
                <pt idx="5">
                  <v>0.7925276491270656</v>
                </pt>
                <pt idx="6">
                  <v>1.56535368317398</v>
                </pt>
                <pt idx="7">
                  <v>3.054768226774376</v>
                </pt>
                <pt idx="8">
                  <v>5.826861153294122</v>
                </pt>
                <pt idx="9">
                  <v>10.66667355941995</v>
                </pt>
                <pt idx="10">
                  <v>18.2430430417155</v>
                </pt>
                <pt idx="11">
                  <v>28.29001979904463</v>
                </pt>
                <pt idx="12">
                  <v>39.04035060178381</v>
                </pt>
                <pt idx="13">
                  <v>48.19809335546845</v>
                </pt>
                <pt idx="14">
                  <v>54.60213854004085</v>
                </pt>
                <pt idx="15">
                  <v>58.48775073299286</v>
                </pt>
                <pt idx="16">
                  <v>60.64558968423677</v>
                </pt>
                <pt idx="17">
                  <v>61.78533955177132</v>
                </pt>
                <pt idx="18">
                  <v>62.3714318925966</v>
                </pt>
                <pt idx="19">
                  <v>62.66866766401147</v>
                </pt>
                <pt idx="20">
                  <v>62.81835046182412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4, Protocol: LL,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4nodes'!$E$330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4nodes'!$A$331:$A$351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4nodes'!$E$331:$E$351</f>
              <numCache>
                <formatCode>General</formatCode>
                <ptCount val="21"/>
                <pt idx="0">
                  <v>0.03</v>
                </pt>
                <pt idx="1">
                  <v>0.05</v>
                </pt>
                <pt idx="2">
                  <v>0.09</v>
                </pt>
                <pt idx="3">
                  <v>0.18</v>
                </pt>
                <pt idx="4">
                  <v>0.35</v>
                </pt>
                <pt idx="5">
                  <v>0.7</v>
                </pt>
                <pt idx="6">
                  <v>1.26</v>
                </pt>
                <pt idx="7">
                  <v>2.21</v>
                </pt>
                <pt idx="8">
                  <v>3.47</v>
                </pt>
                <pt idx="9">
                  <v>6.2</v>
                </pt>
                <pt idx="10">
                  <v>10.74</v>
                </pt>
                <pt idx="11">
                  <v>15.69</v>
                </pt>
                <pt idx="12">
                  <v>18.12</v>
                </pt>
                <pt idx="13">
                  <v>20.06</v>
                </pt>
                <pt idx="14">
                  <v>21.26</v>
                </pt>
                <pt idx="15">
                  <v>21.76</v>
                </pt>
                <pt idx="16">
                  <v>22.29</v>
                </pt>
                <pt idx="17">
                  <v>22.61</v>
                </pt>
                <pt idx="18">
                  <v>22.75</v>
                </pt>
                <pt idx="19">
                  <v>22.9</v>
                </pt>
                <pt idx="20">
                  <v>22.93</v>
                </pt>
              </numCache>
            </numRef>
          </val>
          <smooth val="1"/>
        </ser>
        <ser>
          <idx val="1"/>
          <order val="1"/>
          <tx>
            <strRef>
              <f>'AR, Tree, 0x0, 4nodes'!$F$330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4nodes'!$A$331:$A$351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4nodes'!$F$331:$F$351</f>
              <numCache>
                <formatCode>General</formatCode>
                <ptCount val="21"/>
                <pt idx="0">
                  <v>0.02507717999954885</v>
                </pt>
                <pt idx="1">
                  <v>0.05014437505006272</v>
                </pt>
                <pt idx="2">
                  <v>0.1002488341486584</v>
                </pt>
                <pt idx="3">
                  <v>0.2003381949833116</v>
                </pt>
                <pt idx="4">
                  <v>0.4000400164098301</v>
                </pt>
                <pt idx="5">
                  <v>0.7975466288178347</v>
                </pt>
                <pt idx="6">
                  <v>1.585055298254131</v>
                </pt>
                <pt idx="7">
                  <v>3.130707366347961</v>
                </pt>
                <pt idx="8">
                  <v>6.109536453548752</v>
                </pt>
                <pt idx="9">
                  <v>11.65372230658824</v>
                </pt>
                <pt idx="10">
                  <v>21.33334711883989</v>
                </pt>
                <pt idx="11">
                  <v>36.486086083431</v>
                </pt>
                <pt idx="12">
                  <v>56.58003959808925</v>
                </pt>
                <pt idx="13">
                  <v>78.08070120356763</v>
                </pt>
                <pt idx="14">
                  <v>96.3961867109369</v>
                </pt>
                <pt idx="15">
                  <v>109.2042770800817</v>
                </pt>
                <pt idx="16">
                  <v>116.9755014659857</v>
                </pt>
                <pt idx="17">
                  <v>121.2911793684735</v>
                </pt>
                <pt idx="18">
                  <v>123.5706791035426</v>
                </pt>
                <pt idx="19">
                  <v>124.7428637851932</v>
                </pt>
                <pt idx="20">
                  <v>125.3373353280229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4, Protocol: LL,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4nodes'!$E$368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4nodes'!$A$369:$A$389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4nodes'!$E$369:$E$389</f>
              <numCache>
                <formatCode>General</formatCode>
                <ptCount val="21"/>
                <pt idx="0">
                  <v>0.03</v>
                </pt>
                <pt idx="1">
                  <v>0.05</v>
                </pt>
                <pt idx="2">
                  <v>0.09</v>
                </pt>
                <pt idx="3">
                  <v>0.18</v>
                </pt>
                <pt idx="4">
                  <v>0.35</v>
                </pt>
                <pt idx="5">
                  <v>0.6899999999999999</v>
                </pt>
                <pt idx="6">
                  <v>1.38</v>
                </pt>
                <pt idx="7">
                  <v>2.5</v>
                </pt>
                <pt idx="8">
                  <v>3.8</v>
                </pt>
                <pt idx="9">
                  <v>6.75</v>
                </pt>
                <pt idx="10">
                  <v>12.22</v>
                </pt>
                <pt idx="11">
                  <v>21.27</v>
                </pt>
                <pt idx="12">
                  <v>29.88</v>
                </pt>
                <pt idx="13">
                  <v>31.89</v>
                </pt>
                <pt idx="14">
                  <v>33.45</v>
                </pt>
                <pt idx="15">
                  <v>34.28</v>
                </pt>
                <pt idx="16">
                  <v>34.58</v>
                </pt>
                <pt idx="17">
                  <v>35.1</v>
                </pt>
                <pt idx="18">
                  <v>35.42</v>
                </pt>
                <pt idx="19">
                  <v>35.59</v>
                </pt>
                <pt idx="20">
                  <v>35.72</v>
                </pt>
              </numCache>
            </numRef>
          </val>
          <smooth val="1"/>
        </ser>
        <ser>
          <idx val="1"/>
          <order val="1"/>
          <tx>
            <strRef>
              <f>'AR, Tree, 0x0, 4nodes'!$F$368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4nodes'!$A$369:$A$389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4nodes'!$F$369:$F$389</f>
              <numCache>
                <formatCode>General</formatCode>
                <ptCount val="21"/>
                <pt idx="0">
                  <v>0.02507717999954885</v>
                </pt>
                <pt idx="1">
                  <v>0.05014437505006272</v>
                </pt>
                <pt idx="2">
                  <v>0.1002488341486584</v>
                </pt>
                <pt idx="3">
                  <v>0.2003381949833116</v>
                </pt>
                <pt idx="4">
                  <v>0.4000400164098301</v>
                </pt>
                <pt idx="5">
                  <v>0.7975466288178347</v>
                </pt>
                <pt idx="6">
                  <v>1.585055298254131</v>
                </pt>
                <pt idx="7">
                  <v>3.130707366347961</v>
                </pt>
                <pt idx="8">
                  <v>6.109536453548752</v>
                </pt>
                <pt idx="9">
                  <v>11.65372230658824</v>
                </pt>
                <pt idx="10">
                  <v>21.33334711883989</v>
                </pt>
                <pt idx="11">
                  <v>36.486086083431</v>
                </pt>
                <pt idx="12">
                  <v>56.58003959808925</v>
                </pt>
                <pt idx="13">
                  <v>78.08070120356763</v>
                </pt>
                <pt idx="14">
                  <v>96.3961867109369</v>
                </pt>
                <pt idx="15">
                  <v>109.2042770800817</v>
                </pt>
                <pt idx="16">
                  <v>116.9755014659857</v>
                </pt>
                <pt idx="17">
                  <v>121.2911793684735</v>
                </pt>
                <pt idx="18">
                  <v>123.5706791035426</v>
                </pt>
                <pt idx="19">
                  <v>124.7428637851932</v>
                </pt>
                <pt idx="20">
                  <v>125.3373353280229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4, Protocol: LL128,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4nodes'!$E$406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4nodes'!$A$407:$A$427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4nodes'!$E$407:$E$427</f>
              <numCache>
                <formatCode>General</formatCode>
                <ptCount val="21"/>
                <pt idx="0">
                  <v>0.02</v>
                </pt>
                <pt idx="1">
                  <v>0.04</v>
                </pt>
                <pt idx="2">
                  <v>0.08</v>
                </pt>
                <pt idx="3">
                  <v>0.15</v>
                </pt>
                <pt idx="4">
                  <v>0.29</v>
                </pt>
                <pt idx="5">
                  <v>0.55</v>
                </pt>
                <pt idx="6">
                  <v>1.02</v>
                </pt>
                <pt idx="7">
                  <v>1.78</v>
                </pt>
                <pt idx="8">
                  <v>2.71</v>
                </pt>
                <pt idx="9">
                  <v>4.39</v>
                </pt>
                <pt idx="10">
                  <v>6.41</v>
                </pt>
                <pt idx="11">
                  <v>7.83</v>
                </pt>
                <pt idx="12">
                  <v>8.800000000000001</v>
                </pt>
                <pt idx="13">
                  <v>10.56</v>
                </pt>
                <pt idx="14">
                  <v>11.52</v>
                </pt>
                <pt idx="15">
                  <v>12.04</v>
                </pt>
                <pt idx="16">
                  <v>12.28</v>
                </pt>
                <pt idx="17">
                  <v>12.36</v>
                </pt>
                <pt idx="18">
                  <v>12.41</v>
                </pt>
                <pt idx="19">
                  <v>12.42</v>
                </pt>
                <pt idx="20">
                  <v>12.43</v>
                </pt>
              </numCache>
            </numRef>
          </val>
          <smooth val="1"/>
        </ser>
        <ser>
          <idx val="1"/>
          <order val="1"/>
          <tx>
            <strRef>
              <f>'AR, Tree, 0x0, 4nodes'!$F$406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4nodes'!$A$407:$A$427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4nodes'!$F$407:$F$427</f>
              <numCache>
                <formatCode>General</formatCode>
                <ptCount val="21"/>
                <pt idx="0">
                  <v>0.02506087860559116</v>
                </pt>
                <pt idx="1">
                  <v>0.05007923776003522</v>
                </pt>
                <pt idx="2">
                  <v>0.09998882982520409</v>
                </pt>
                <pt idx="3">
                  <v>0.1993025133248268</v>
                </pt>
                <pt idx="4">
                  <v>0.3959316103055816</v>
                </pt>
                <pt idx="5">
                  <v>0.7813818722657353</v>
                </pt>
                <pt idx="6">
                  <v>1.522460228515621</v>
                </pt>
                <pt idx="7">
                  <v>2.895567672915663</v>
                </pt>
                <pt idx="8">
                  <v>5.273779528790055</v>
                </pt>
                <pt idx="9">
                  <v>8.948683181785343</v>
                </pt>
                <pt idx="10">
                  <v>13.73366752601743</v>
                </pt>
                <pt idx="11">
                  <v>18.74537203584355</v>
                </pt>
                <pt idx="12">
                  <v>22.92901165325796</v>
                </pt>
                <pt idx="13">
                  <v>25.80907952803897</v>
                </pt>
                <pt idx="14">
                  <v>27.53861505572224</v>
                </pt>
                <pt idx="15">
                  <v>28.49332195588268</v>
                </pt>
                <pt idx="16">
                  <v>28.99593656927717</v>
                </pt>
                <pt idx="17">
                  <v>29.25395253644188</v>
                </pt>
                <pt idx="18">
                  <v>29.38469015258059</v>
                </pt>
                <pt idx="19">
                  <v>29.45049814753632</v>
                </pt>
                <pt idx="20">
                  <v>29.48351280332755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4, Protocol: LL128,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4nodes'!$E$444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4nodes'!$A$445:$A$465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4nodes'!$E$445:$E$465</f>
              <numCache>
                <formatCode>General</formatCode>
                <ptCount val="21"/>
                <pt idx="0">
                  <v>0.02</v>
                </pt>
                <pt idx="1">
                  <v>0.04</v>
                </pt>
                <pt idx="2">
                  <v>0.08</v>
                </pt>
                <pt idx="3">
                  <v>0.15</v>
                </pt>
                <pt idx="4">
                  <v>0.29</v>
                </pt>
                <pt idx="5">
                  <v>0.57</v>
                </pt>
                <pt idx="6">
                  <v>1.09</v>
                </pt>
                <pt idx="7">
                  <v>2.01</v>
                </pt>
                <pt idx="8">
                  <v>3.5</v>
                </pt>
                <pt idx="9">
                  <v>5.27</v>
                </pt>
                <pt idx="10">
                  <v>8.699999999999999</v>
                </pt>
                <pt idx="11">
                  <v>12.71</v>
                </pt>
                <pt idx="12">
                  <v>15.58</v>
                </pt>
                <pt idx="13">
                  <v>17.48</v>
                </pt>
                <pt idx="14">
                  <v>21.04</v>
                </pt>
                <pt idx="15">
                  <v>22.94</v>
                </pt>
                <pt idx="16">
                  <v>23.85</v>
                </pt>
                <pt idx="17">
                  <v>24.23</v>
                </pt>
                <pt idx="18">
                  <v>24.49</v>
                </pt>
                <pt idx="19">
                  <v>24.57</v>
                </pt>
                <pt idx="20">
                  <v>24.67</v>
                </pt>
              </numCache>
            </numRef>
          </val>
          <smooth val="1"/>
        </ser>
        <ser>
          <idx val="1"/>
          <order val="1"/>
          <tx>
            <strRef>
              <f>'AR, Tree, 0x0, 4nodes'!$F$444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4nodes'!$A$445:$A$465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4nodes'!$F$445:$F$465</f>
              <numCache>
                <formatCode>General</formatCode>
                <ptCount val="21"/>
                <pt idx="0">
                  <v>0.02507152201195128</v>
                </pt>
                <pt idx="1">
                  <v>0.05012175721118231</v>
                </pt>
                <pt idx="2">
                  <v>0.1001584755200704</v>
                </pt>
                <pt idx="3">
                  <v>0.1999776596504082</v>
                </pt>
                <pt idx="4">
                  <v>0.3986050266496535</v>
                </pt>
                <pt idx="5">
                  <v>0.7918632206111632</v>
                </pt>
                <pt idx="6">
                  <v>1.562763744531471</v>
                </pt>
                <pt idx="7">
                  <v>3.044920457031242</v>
                </pt>
                <pt idx="8">
                  <v>5.791135345831327</v>
                </pt>
                <pt idx="9">
                  <v>10.54755905758011</v>
                </pt>
                <pt idx="10">
                  <v>17.89736636357069</v>
                </pt>
                <pt idx="11">
                  <v>27.46733505203487</v>
                </pt>
                <pt idx="12">
                  <v>37.4907440716871</v>
                </pt>
                <pt idx="13">
                  <v>45.85802330651591</v>
                </pt>
                <pt idx="14">
                  <v>51.61815905607795</v>
                </pt>
                <pt idx="15">
                  <v>55.07723011144449</v>
                </pt>
                <pt idx="16">
                  <v>56.98664391176537</v>
                </pt>
                <pt idx="17">
                  <v>57.99187313855435</v>
                </pt>
                <pt idx="18">
                  <v>58.50790507288376</v>
                </pt>
                <pt idx="19">
                  <v>58.76938030516119</v>
                </pt>
                <pt idx="20">
                  <v>58.90099629507264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4, Protocol: LL128,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4nodes'!$E$482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4nodes'!$A$483:$A$503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4nodes'!$E$483:$E$503</f>
              <numCache>
                <formatCode>General</formatCode>
                <ptCount val="21"/>
                <pt idx="0">
                  <v>0.02</v>
                </pt>
                <pt idx="1">
                  <v>0.04</v>
                </pt>
                <pt idx="2">
                  <v>0.08</v>
                </pt>
                <pt idx="3">
                  <v>0.15</v>
                </pt>
                <pt idx="4">
                  <v>0.29</v>
                </pt>
                <pt idx="5">
                  <v>0.57</v>
                </pt>
                <pt idx="6">
                  <v>1.12</v>
                </pt>
                <pt idx="7">
                  <v>2.15</v>
                </pt>
                <pt idx="8">
                  <v>3.87</v>
                </pt>
                <pt idx="9">
                  <v>6.87</v>
                </pt>
                <pt idx="10">
                  <v>10.36</v>
                </pt>
                <pt idx="11">
                  <v>17.19</v>
                </pt>
                <pt idx="12">
                  <v>25.2</v>
                </pt>
                <pt idx="13">
                  <v>30.89</v>
                </pt>
                <pt idx="14">
                  <v>34.72</v>
                </pt>
                <pt idx="15">
                  <v>41.52</v>
                </pt>
                <pt idx="16">
                  <v>44.71</v>
                </pt>
                <pt idx="17">
                  <v>46.66</v>
                </pt>
                <pt idx="18">
                  <v>47.75</v>
                </pt>
                <pt idx="19">
                  <v>48.31</v>
                </pt>
                <pt idx="20">
                  <v>48.51</v>
                </pt>
              </numCache>
            </numRef>
          </val>
          <smooth val="1"/>
        </ser>
        <ser>
          <idx val="1"/>
          <order val="1"/>
          <tx>
            <strRef>
              <f>'AR, Tree, 0x0, 4nodes'!$F$482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4nodes'!$A$483:$A$503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4nodes'!$F$483:$F$503</f>
              <numCache>
                <formatCode>General</formatCode>
                <ptCount val="21"/>
                <pt idx="0">
                  <v>0.02507684710605873</v>
                </pt>
                <pt idx="1">
                  <v>0.05014304402390255</v>
                </pt>
                <pt idx="2">
                  <v>0.1002435144223646</v>
                </pt>
                <pt idx="3">
                  <v>0.2003169510401409</v>
                </pt>
                <pt idx="4">
                  <v>0.3999553193008163</v>
                </pt>
                <pt idx="5">
                  <v>0.7972100532993071</v>
                </pt>
                <pt idx="6">
                  <v>1.583726441222326</v>
                </pt>
                <pt idx="7">
                  <v>3.125527489062941</v>
                </pt>
                <pt idx="8">
                  <v>6.089840914062485</v>
                </pt>
                <pt idx="9">
                  <v>11.58227069166265</v>
                </pt>
                <pt idx="10">
                  <v>21.09511811516022</v>
                </pt>
                <pt idx="11">
                  <v>35.79473272714137</v>
                </pt>
                <pt idx="12">
                  <v>54.93467010406974</v>
                </pt>
                <pt idx="13">
                  <v>74.98148814337419</v>
                </pt>
                <pt idx="14">
                  <v>91.71604661303182</v>
                </pt>
                <pt idx="15">
                  <v>103.2363181121559</v>
                </pt>
                <pt idx="16">
                  <v>110.154460222889</v>
                </pt>
                <pt idx="17">
                  <v>113.9732878235307</v>
                </pt>
                <pt idx="18">
                  <v>115.9837462771087</v>
                </pt>
                <pt idx="19">
                  <v>117.0158101457675</v>
                </pt>
                <pt idx="20">
                  <v>117.5387606103224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4, Protocol: LL128,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4nodes'!$E$520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4nodes'!$A$521:$A$541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4nodes'!$E$521:$E$541</f>
              <numCache>
                <formatCode>General</formatCode>
                <ptCount val="21"/>
                <pt idx="0">
                  <v>0.02</v>
                </pt>
                <pt idx="1">
                  <v>0.04</v>
                </pt>
                <pt idx="2">
                  <v>0.08</v>
                </pt>
                <pt idx="3">
                  <v>0.15</v>
                </pt>
                <pt idx="4">
                  <v>0.29</v>
                </pt>
                <pt idx="5">
                  <v>0.57</v>
                </pt>
                <pt idx="6">
                  <v>1.13</v>
                </pt>
                <pt idx="7">
                  <v>2.25</v>
                </pt>
                <pt idx="8">
                  <v>4.26</v>
                </pt>
                <pt idx="9">
                  <v>7.51</v>
                </pt>
                <pt idx="10">
                  <v>13.73</v>
                </pt>
                <pt idx="11">
                  <v>20.07</v>
                </pt>
                <pt idx="12">
                  <v>34.13</v>
                </pt>
                <pt idx="13">
                  <v>50.04</v>
                </pt>
                <pt idx="14">
                  <v>61.27</v>
                </pt>
                <pt idx="15">
                  <v>68.48</v>
                </pt>
                <pt idx="16">
                  <v>80.48</v>
                </pt>
                <pt idx="17">
                  <v>87.61</v>
                </pt>
                <pt idx="18">
                  <v>92.17</v>
                </pt>
                <pt idx="19">
                  <v>94.70999999999999</v>
                </pt>
                <pt idx="20">
                  <v>95.79000000000001</v>
                </pt>
              </numCache>
            </numRef>
          </val>
          <smooth val="1"/>
        </ser>
        <ser>
          <idx val="1"/>
          <order val="1"/>
          <tx>
            <strRef>
              <f>'AR, Tree, 0x0, 4nodes'!$F$520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4nodes'!$A$521:$A$541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4nodes'!$F$521:$F$541</f>
              <numCache>
                <formatCode>General</formatCode>
                <ptCount val="21"/>
                <pt idx="0">
                  <v>0.02507951050147456</v>
                </pt>
                <pt idx="1">
                  <v>0.05015369421211746</v>
                </pt>
                <pt idx="2">
                  <v>0.1002860880478051</v>
                </pt>
                <pt idx="3">
                  <v>0.2004870288447292</v>
                </pt>
                <pt idx="4">
                  <v>0.4006339020802818</v>
                </pt>
                <pt idx="5">
                  <v>0.7999106386016327</v>
                </pt>
                <pt idx="6">
                  <v>1.594420106598614</v>
                </pt>
                <pt idx="7">
                  <v>3.167452882444653</v>
                </pt>
                <pt idx="8">
                  <v>6.251054978125882</v>
                </pt>
                <pt idx="9">
                  <v>12.17968182812497</v>
                </pt>
                <pt idx="10">
                  <v>23.16454138332531</v>
                </pt>
                <pt idx="11">
                  <v>42.19023623032044</v>
                </pt>
                <pt idx="12">
                  <v>71.58946545428275</v>
                </pt>
                <pt idx="13">
                  <v>109.8693402081395</v>
                </pt>
                <pt idx="14">
                  <v>149.9629762867484</v>
                </pt>
                <pt idx="15">
                  <v>183.4320932260636</v>
                </pt>
                <pt idx="16">
                  <v>206.4726362243118</v>
                </pt>
                <pt idx="17">
                  <v>220.3089204457779</v>
                </pt>
                <pt idx="18">
                  <v>227.9465756470615</v>
                </pt>
                <pt idx="19">
                  <v>231.9674925542174</v>
                </pt>
                <pt idx="20">
                  <v>234.031620291535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4, Protocol: LL128,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4nodes'!$E$558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4nodes'!$A$559:$A$579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4nodes'!$E$559:$E$579</f>
              <numCache>
                <formatCode>General</formatCode>
                <ptCount val="21"/>
                <pt idx="0">
                  <v>0.02</v>
                </pt>
                <pt idx="1">
                  <v>0.04</v>
                </pt>
                <pt idx="2">
                  <v>0.08</v>
                </pt>
                <pt idx="3">
                  <v>0.15</v>
                </pt>
                <pt idx="4">
                  <v>0.29</v>
                </pt>
                <pt idx="5">
                  <v>0.57</v>
                </pt>
                <pt idx="6">
                  <v>1.13</v>
                </pt>
                <pt idx="7">
                  <v>2.25</v>
                </pt>
                <pt idx="8">
                  <v>4.39</v>
                </pt>
                <pt idx="9">
                  <v>8.550000000000001</v>
                </pt>
                <pt idx="10">
                  <v>15.63</v>
                </pt>
                <pt idx="11">
                  <v>24.75</v>
                </pt>
                <pt idx="12">
                  <v>39.67</v>
                </pt>
                <pt idx="13">
                  <v>66.70999999999999</v>
                </pt>
                <pt idx="14">
                  <v>96.37</v>
                </pt>
                <pt idx="15">
                  <v>118.58</v>
                </pt>
                <pt idx="16">
                  <v>132.12</v>
                </pt>
                <pt idx="17">
                  <v>157.02</v>
                </pt>
                <pt idx="18">
                  <v>172.4</v>
                </pt>
                <pt idx="19">
                  <v>181.84</v>
                </pt>
                <pt idx="20">
                  <v>186.76</v>
                </pt>
              </numCache>
            </numRef>
          </val>
          <smooth val="1"/>
        </ser>
        <ser>
          <idx val="1"/>
          <order val="1"/>
          <tx>
            <strRef>
              <f>'AR, Tree, 0x0, 4nodes'!$F$558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4nodes'!$A$559:$A$579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4nodes'!$F$559:$F$579</f>
              <numCache>
                <formatCode>General</formatCode>
                <ptCount val="21"/>
                <pt idx="0">
                  <v>0.02507951050147456</v>
                </pt>
                <pt idx="1">
                  <v>0.05015369421211746</v>
                </pt>
                <pt idx="2">
                  <v>0.1002860880478051</v>
                </pt>
                <pt idx="3">
                  <v>0.2004870288447292</v>
                </pt>
                <pt idx="4">
                  <v>0.4006339020802818</v>
                </pt>
                <pt idx="5">
                  <v>0.7999106386016327</v>
                </pt>
                <pt idx="6">
                  <v>1.594420106598614</v>
                </pt>
                <pt idx="7">
                  <v>3.167452882444653</v>
                </pt>
                <pt idx="8">
                  <v>6.251054978125882</v>
                </pt>
                <pt idx="9">
                  <v>12.17968182812497</v>
                </pt>
                <pt idx="10">
                  <v>23.16454138332531</v>
                </pt>
                <pt idx="11">
                  <v>42.19023623032044</v>
                </pt>
                <pt idx="12">
                  <v>71.58946545428275</v>
                </pt>
                <pt idx="13">
                  <v>109.8693402081395</v>
                </pt>
                <pt idx="14">
                  <v>149.9629762867484</v>
                </pt>
                <pt idx="15">
                  <v>183.4320932260636</v>
                </pt>
                <pt idx="16">
                  <v>206.4726362243118</v>
                </pt>
                <pt idx="17">
                  <v>220.3089204457779</v>
                </pt>
                <pt idx="18">
                  <v>227.9465756470615</v>
                </pt>
                <pt idx="19">
                  <v>231.9674925542174</v>
                </pt>
                <pt idx="20">
                  <v>234.031620291535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8, Protocol: Simple,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8nodes'!$E$11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8nodes'!$A$12:$A$34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8nodes'!$E$12:$E$34</f>
              <numCache>
                <formatCode>General</formatCode>
                <ptCount val="23"/>
                <pt idx="0">
                  <v>0.01</v>
                </pt>
                <pt idx="1">
                  <v>0.01</v>
                </pt>
                <pt idx="2">
                  <v>0.02</v>
                </pt>
                <pt idx="3">
                  <v>0.05</v>
                </pt>
                <pt idx="4">
                  <v>0.09</v>
                </pt>
                <pt idx="5">
                  <v>0.18</v>
                </pt>
                <pt idx="6">
                  <v>0.33</v>
                </pt>
                <pt idx="7">
                  <v>0.57</v>
                </pt>
                <pt idx="8">
                  <v>1.03</v>
                </pt>
                <pt idx="9">
                  <v>1.88</v>
                </pt>
                <pt idx="10">
                  <v>3.67</v>
                </pt>
                <pt idx="11">
                  <v>6.15</v>
                </pt>
                <pt idx="12">
                  <v>10.69</v>
                </pt>
                <pt idx="13">
                  <v>15.6</v>
                </pt>
                <pt idx="14">
                  <v>20.75</v>
                </pt>
                <pt idx="15">
                  <v>24.93</v>
                </pt>
                <pt idx="16">
                  <v>25.19</v>
                </pt>
                <pt idx="17">
                  <v>25.23</v>
                </pt>
                <pt idx="18">
                  <v>25.3</v>
                </pt>
                <pt idx="19">
                  <v>25.2</v>
                </pt>
                <pt idx="20">
                  <v>25.35</v>
                </pt>
                <pt idx="21">
                  <v>25.38</v>
                </pt>
                <pt idx="22">
                  <v>25.36</v>
                </pt>
              </numCache>
            </numRef>
          </val>
          <smooth val="1"/>
        </ser>
        <ser>
          <idx val="1"/>
          <order val="1"/>
          <tx>
            <strRef>
              <f>'AR, Ring, 0x7, 8nodes'!$F$11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8nodes'!$A$12:$A$34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8nodes'!$F$12:$F$34</f>
              <numCache>
                <formatCode>General</formatCode>
                <ptCount val="23"/>
                <pt idx="0">
                  <v>0.009916349670910084</v>
                </pt>
                <pt idx="1">
                  <v>0.01982866594725523</v>
                </pt>
                <pt idx="2">
                  <v>0.03964120815555124</v>
                </pt>
                <pt idx="3">
                  <v>0.07921799995774881</v>
                </pt>
                <pt idx="4">
                  <v>0.1581789615366601</v>
                </pt>
                <pt idx="5">
                  <v>0.3153347574431914</v>
                </pt>
                <pt idx="6">
                  <v>0.6266163066592987</v>
                </pt>
                <pt idx="7">
                  <v>1.237328405005385</v>
                </pt>
                <pt idx="8">
                  <v>2.413402022820347</v>
                </pt>
                <pt idx="9">
                  <v>4.599121401661883</v>
                </pt>
                <pt idx="10">
                  <v>8.40528062844658</v>
                </pt>
                <pt idx="11">
                  <v>14.33839274801256</v>
                </pt>
                <pt idx="12">
                  <v>22.15927894240522</v>
                </pt>
                <pt idx="13">
                  <v>30.46892774977109</v>
                </pt>
                <pt idx="14">
                  <v>37.5001346267435</v>
                </pt>
                <pt idx="15">
                  <v>42.39139036629163</v>
                </pt>
                <pt idx="16">
                  <v>42.39139036629163</v>
                </pt>
                <pt idx="17">
                  <v>42.39139036629163</v>
                </pt>
                <pt idx="18">
                  <v>42.39139036629163</v>
                </pt>
                <pt idx="19">
                  <v>42.39139036629163</v>
                </pt>
                <pt idx="20">
                  <v>42.39139036629163</v>
                </pt>
                <pt idx="21">
                  <v>42.39139036629163</v>
                </pt>
                <pt idx="22">
                  <v>42.39139036629163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8, Protocol: Simple,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8nodes'!$E$46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8nodes'!$A$47:$A$69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8nodes'!$E$47:$E$69</f>
              <numCache>
                <formatCode>General</formatCode>
                <ptCount val="23"/>
                <pt idx="0">
                  <v>0.01</v>
                </pt>
                <pt idx="1">
                  <v>0.01</v>
                </pt>
                <pt idx="2">
                  <v>0.02</v>
                </pt>
                <pt idx="3">
                  <v>0.05</v>
                </pt>
                <pt idx="4">
                  <v>0.09</v>
                </pt>
                <pt idx="5">
                  <v>0.18</v>
                </pt>
                <pt idx="6">
                  <v>0.35</v>
                </pt>
                <pt idx="7">
                  <v>0.64</v>
                </pt>
                <pt idx="8">
                  <v>1.1</v>
                </pt>
                <pt idx="9">
                  <v>1.99</v>
                </pt>
                <pt idx="10">
                  <v>3.61</v>
                </pt>
                <pt idx="11">
                  <v>6.93</v>
                </pt>
                <pt idx="12">
                  <v>11.37</v>
                </pt>
                <pt idx="13">
                  <v>19.39</v>
                </pt>
                <pt idx="14">
                  <v>27.55</v>
                </pt>
                <pt idx="15">
                  <v>35.32</v>
                </pt>
                <pt idx="16">
                  <v>40.87</v>
                </pt>
                <pt idx="17">
                  <v>41.2</v>
                </pt>
                <pt idx="18">
                  <v>41.37</v>
                </pt>
                <pt idx="19">
                  <v>41.44</v>
                </pt>
                <pt idx="20">
                  <v>41.52</v>
                </pt>
                <pt idx="21">
                  <v>41.61</v>
                </pt>
                <pt idx="22">
                  <v>41.61</v>
                </pt>
              </numCache>
            </numRef>
          </val>
          <smooth val="1"/>
        </ser>
        <ser>
          <idx val="1"/>
          <order val="1"/>
          <tx>
            <strRef>
              <f>'AR, Ring, 0x7, 8nodes'!$F$46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8nodes'!$A$47:$A$69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8nodes'!$F$47:$F$69</f>
              <numCache>
                <formatCode>General</formatCode>
                <ptCount val="23"/>
                <pt idx="0">
                  <v>0.009916349670910084</v>
                </pt>
                <pt idx="1">
                  <v>0.01982866594725523</v>
                </pt>
                <pt idx="2">
                  <v>0.03964120815555124</v>
                </pt>
                <pt idx="3">
                  <v>0.07921799995774881</v>
                </pt>
                <pt idx="4">
                  <v>0.1581789615366601</v>
                </pt>
                <pt idx="5">
                  <v>0.3153347574431914</v>
                </pt>
                <pt idx="6">
                  <v>0.6266163066592987</v>
                </pt>
                <pt idx="7">
                  <v>1.237328405005385</v>
                </pt>
                <pt idx="8">
                  <v>2.413402022820347</v>
                </pt>
                <pt idx="9">
                  <v>4.599121401661883</v>
                </pt>
                <pt idx="10">
                  <v>8.40528062844658</v>
                </pt>
                <pt idx="11">
                  <v>14.33839274801256</v>
                </pt>
                <pt idx="12">
                  <v>22.15927894240522</v>
                </pt>
                <pt idx="13">
                  <v>30.46892774977109</v>
                </pt>
                <pt idx="14">
                  <v>37.5001346267435</v>
                </pt>
                <pt idx="15">
                  <v>42.39139036629163</v>
                </pt>
                <pt idx="16">
                  <v>45.34888642912421</v>
                </pt>
                <pt idx="17">
                  <v>45.34888642912421</v>
                </pt>
                <pt idx="18">
                  <v>45.34888642912421</v>
                </pt>
                <pt idx="19">
                  <v>45.34888642912421</v>
                </pt>
                <pt idx="20">
                  <v>45.34888642912421</v>
                </pt>
                <pt idx="21">
                  <v>45.34888642912421</v>
                </pt>
                <pt idx="22">
                  <v>45.34888642912421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8, Protocol: Simple,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8nodes'!$E$81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8nodes'!$A$82:$A$104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8nodes'!$E$82:$E$104</f>
              <numCache>
                <formatCode>General</formatCode>
                <ptCount val="23"/>
                <pt idx="0">
                  <v>0.01</v>
                </pt>
                <pt idx="1">
                  <v>0.01</v>
                </pt>
                <pt idx="2">
                  <v>0.02</v>
                </pt>
                <pt idx="3">
                  <v>0.05</v>
                </pt>
                <pt idx="4">
                  <v>0.09</v>
                </pt>
                <pt idx="5">
                  <v>0.18</v>
                </pt>
                <pt idx="6">
                  <v>0.34</v>
                </pt>
                <pt idx="7">
                  <v>0.62</v>
                </pt>
                <pt idx="8">
                  <v>1.17</v>
                </pt>
                <pt idx="9">
                  <v>2.02</v>
                </pt>
                <pt idx="10">
                  <v>3.67</v>
                </pt>
                <pt idx="11">
                  <v>6.62</v>
                </pt>
                <pt idx="12">
                  <v>12.63</v>
                </pt>
                <pt idx="13">
                  <v>19.46</v>
                </pt>
                <pt idx="14">
                  <v>31.4</v>
                </pt>
                <pt idx="15">
                  <v>40.24</v>
                </pt>
                <pt idx="16">
                  <v>43.48</v>
                </pt>
                <pt idx="17">
                  <v>44.3</v>
                </pt>
                <pt idx="18">
                  <v>44.95</v>
                </pt>
                <pt idx="19">
                  <v>45.44</v>
                </pt>
                <pt idx="20">
                  <v>45.78</v>
                </pt>
                <pt idx="21">
                  <v>45.99</v>
                </pt>
                <pt idx="22">
                  <v>46.12</v>
                </pt>
              </numCache>
            </numRef>
          </val>
          <smooth val="1"/>
        </ser>
        <ser>
          <idx val="1"/>
          <order val="1"/>
          <tx>
            <strRef>
              <f>'AR, Ring, 0x7, 8nodes'!$F$81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8nodes'!$A$82:$A$104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8nodes'!$F$82:$F$104</f>
              <numCache>
                <formatCode>General</formatCode>
                <ptCount val="23"/>
                <pt idx="0">
                  <v>0.009916349670910084</v>
                </pt>
                <pt idx="1">
                  <v>0.01982866594725523</v>
                </pt>
                <pt idx="2">
                  <v>0.03964120815555124</v>
                </pt>
                <pt idx="3">
                  <v>0.07921799995774881</v>
                </pt>
                <pt idx="4">
                  <v>0.1581789615366601</v>
                </pt>
                <pt idx="5">
                  <v>0.3153347574431914</v>
                </pt>
                <pt idx="6">
                  <v>0.6266163066592987</v>
                </pt>
                <pt idx="7">
                  <v>1.237328405005385</v>
                </pt>
                <pt idx="8">
                  <v>2.413402022820347</v>
                </pt>
                <pt idx="9">
                  <v>4.599121401661883</v>
                </pt>
                <pt idx="10">
                  <v>8.40528062844658</v>
                </pt>
                <pt idx="11">
                  <v>14.33839274801256</v>
                </pt>
                <pt idx="12">
                  <v>22.15927894240522</v>
                </pt>
                <pt idx="13">
                  <v>30.46892774977109</v>
                </pt>
                <pt idx="14">
                  <v>37.5001346267435</v>
                </pt>
                <pt idx="15">
                  <v>42.39139036629163</v>
                </pt>
                <pt idx="16">
                  <v>45.34888642912421</v>
                </pt>
                <pt idx="17">
                  <v>46.98797822830689</v>
                </pt>
                <pt idx="18">
                  <v>46.98797822830689</v>
                </pt>
                <pt idx="19">
                  <v>46.98797822830689</v>
                </pt>
                <pt idx="20">
                  <v>46.98797822830689</v>
                </pt>
                <pt idx="21">
                  <v>46.98797822830689</v>
                </pt>
                <pt idx="22">
                  <v>46.98797822830689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Simple,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8nodes'!$E$116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8nodes'!$A$117:$A$139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8nodes'!$E$117:$E$139</f>
              <numCache>
                <formatCode>General</formatCode>
                <ptCount val="23"/>
                <pt idx="0">
                  <v>0.01</v>
                </pt>
                <pt idx="1">
                  <v>0.01</v>
                </pt>
                <pt idx="2">
                  <v>0.02</v>
                </pt>
                <pt idx="3">
                  <v>0.05</v>
                </pt>
                <pt idx="4">
                  <v>0.09</v>
                </pt>
                <pt idx="5">
                  <v>0.18</v>
                </pt>
                <pt idx="6">
                  <v>0.35</v>
                </pt>
                <pt idx="7">
                  <v>0.62</v>
                </pt>
                <pt idx="8">
                  <v>0.96</v>
                </pt>
                <pt idx="9">
                  <v>1.85</v>
                </pt>
                <pt idx="10">
                  <v>3.34</v>
                </pt>
                <pt idx="11">
                  <v>6.2</v>
                </pt>
                <pt idx="12">
                  <v>11.25</v>
                </pt>
                <pt idx="13">
                  <v>21.1</v>
                </pt>
                <pt idx="14">
                  <v>30.57</v>
                </pt>
                <pt idx="15">
                  <v>41.42</v>
                </pt>
                <pt idx="16">
                  <v>43.44</v>
                </pt>
                <pt idx="17">
                  <v>44.58</v>
                </pt>
                <pt idx="18">
                  <v>45.33</v>
                </pt>
                <pt idx="19">
                  <v>45.93</v>
                </pt>
                <pt idx="20">
                  <v>46.22</v>
                </pt>
                <pt idx="21">
                  <v>46.32</v>
                </pt>
                <pt idx="22">
                  <v>46.46</v>
                </pt>
              </numCache>
            </numRef>
          </val>
          <smooth val="1"/>
        </ser>
        <ser>
          <idx val="1"/>
          <order val="1"/>
          <tx>
            <strRef>
              <f>'AR, Ring, 0x7, 8nodes'!$F$116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8nodes'!$A$117:$A$139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8nodes'!$F$117:$F$139</f>
              <numCache>
                <formatCode>General</formatCode>
                <ptCount val="23"/>
                <pt idx="0">
                  <v>0.009916349670910084</v>
                </pt>
                <pt idx="1">
                  <v>0.01982866594725523</v>
                </pt>
                <pt idx="2">
                  <v>0.03964120815555124</v>
                </pt>
                <pt idx="3">
                  <v>0.07921799995774881</v>
                </pt>
                <pt idx="4">
                  <v>0.1581789615366601</v>
                </pt>
                <pt idx="5">
                  <v>0.3153347574431914</v>
                </pt>
                <pt idx="6">
                  <v>0.6266163066592987</v>
                </pt>
                <pt idx="7">
                  <v>1.237328405005385</v>
                </pt>
                <pt idx="8">
                  <v>2.413402022820347</v>
                </pt>
                <pt idx="9">
                  <v>4.599121401661883</v>
                </pt>
                <pt idx="10">
                  <v>8.40528062844658</v>
                </pt>
                <pt idx="11">
                  <v>14.33839274801256</v>
                </pt>
                <pt idx="12">
                  <v>22.15927894240522</v>
                </pt>
                <pt idx="13">
                  <v>30.46892774977109</v>
                </pt>
                <pt idx="14">
                  <v>37.5001346267435</v>
                </pt>
                <pt idx="15">
                  <v>42.39139036629163</v>
                </pt>
                <pt idx="16">
                  <v>45.34888642912421</v>
                </pt>
                <pt idx="17">
                  <v>46.98797822830689</v>
                </pt>
                <pt idx="18">
                  <v>47.85277443748398</v>
                </pt>
                <pt idx="19">
                  <v>47.85277443748398</v>
                </pt>
                <pt idx="20">
                  <v>47.85277443748398</v>
                </pt>
                <pt idx="21">
                  <v>47.85277443748398</v>
                </pt>
                <pt idx="22">
                  <v>47.85277443748398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Simple,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8nodes'!$E$151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8nodes'!$A$152:$A$174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8nodes'!$E$152:$E$174</f>
              <numCache>
                <formatCode>General</formatCode>
                <ptCount val="23"/>
                <pt idx="0">
                  <v>0.01</v>
                </pt>
                <pt idx="1">
                  <v>0.01</v>
                </pt>
                <pt idx="2">
                  <v>0.02</v>
                </pt>
                <pt idx="3">
                  <v>0.05</v>
                </pt>
                <pt idx="4">
                  <v>0.09</v>
                </pt>
                <pt idx="5">
                  <v>0.18</v>
                </pt>
                <pt idx="6">
                  <v>0.35</v>
                </pt>
                <pt idx="7">
                  <v>0.62</v>
                </pt>
                <pt idx="8">
                  <v>0.96</v>
                </pt>
                <pt idx="9">
                  <v>1.14</v>
                </pt>
                <pt idx="10">
                  <v>2.27</v>
                </pt>
                <pt idx="11">
                  <v>4.58</v>
                </pt>
                <pt idx="12">
                  <v>8.73</v>
                </pt>
                <pt idx="13">
                  <v>16.04</v>
                </pt>
                <pt idx="14">
                  <v>29.88</v>
                </pt>
                <pt idx="15">
                  <v>39.53</v>
                </pt>
                <pt idx="16">
                  <v>43.29</v>
                </pt>
                <pt idx="17">
                  <v>44.7</v>
                </pt>
                <pt idx="18">
                  <v>45.47</v>
                </pt>
                <pt idx="19">
                  <v>45.89</v>
                </pt>
                <pt idx="20">
                  <v>46.23</v>
                </pt>
                <pt idx="21">
                  <v>46.38</v>
                </pt>
                <pt idx="22">
                  <v>46.47</v>
                </pt>
              </numCache>
            </numRef>
          </val>
          <smooth val="1"/>
        </ser>
        <ser>
          <idx val="1"/>
          <order val="1"/>
          <tx>
            <strRef>
              <f>'AR, Ring, 0x7, 8nodes'!$F$151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8nodes'!$A$152:$A$174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8nodes'!$F$152:$F$174</f>
              <numCache>
                <formatCode>General</formatCode>
                <ptCount val="23"/>
                <pt idx="0">
                  <v>0.009916349670910084</v>
                </pt>
                <pt idx="1">
                  <v>0.01982866594725523</v>
                </pt>
                <pt idx="2">
                  <v>0.03964120815555124</v>
                </pt>
                <pt idx="3">
                  <v>0.07921799995774881</v>
                </pt>
                <pt idx="4">
                  <v>0.1581789615366601</v>
                </pt>
                <pt idx="5">
                  <v>0.3153347574431914</v>
                </pt>
                <pt idx="6">
                  <v>0.6266163066592987</v>
                </pt>
                <pt idx="7">
                  <v>1.237328405005385</v>
                </pt>
                <pt idx="8">
                  <v>2.413402022820347</v>
                </pt>
                <pt idx="9">
                  <v>4.599121401661883</v>
                </pt>
                <pt idx="10">
                  <v>8.40528062844658</v>
                </pt>
                <pt idx="11">
                  <v>14.33839274801256</v>
                </pt>
                <pt idx="12">
                  <v>22.15927894240522</v>
                </pt>
                <pt idx="13">
                  <v>30.46892774977109</v>
                </pt>
                <pt idx="14">
                  <v>37.5001346267435</v>
                </pt>
                <pt idx="15">
                  <v>42.39139036629163</v>
                </pt>
                <pt idx="16">
                  <v>45.34888642912421</v>
                </pt>
                <pt idx="17">
                  <v>46.98797822830689</v>
                </pt>
                <pt idx="18">
                  <v>47.85277443748398</v>
                </pt>
                <pt idx="19">
                  <v>48.29722060078137</v>
                </pt>
                <pt idx="20">
                  <v>48.29722060078137</v>
                </pt>
                <pt idx="21">
                  <v>48.29722060078137</v>
                </pt>
                <pt idx="22">
                  <v>48.29722060078137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8nodes'!$E$188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8nodes'!$A$189:$A$209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8nodes'!$E$189:$E$209</f>
              <numCache>
                <formatCode>General</formatCode>
                <ptCount val="21"/>
                <pt idx="0">
                  <v>0.01</v>
                </pt>
                <pt idx="1">
                  <v>0.02</v>
                </pt>
                <pt idx="2">
                  <v>0.04</v>
                </pt>
                <pt idx="3">
                  <v>0.07000000000000001</v>
                </pt>
                <pt idx="4">
                  <v>0.13</v>
                </pt>
                <pt idx="5">
                  <v>0.24</v>
                </pt>
                <pt idx="6">
                  <v>0.44</v>
                </pt>
                <pt idx="7">
                  <v>0.8</v>
                </pt>
                <pt idx="8">
                  <v>1.33</v>
                </pt>
                <pt idx="9">
                  <v>1.34</v>
                </pt>
                <pt idx="10">
                  <v>1.35</v>
                </pt>
                <pt idx="11">
                  <v>1.36</v>
                </pt>
                <pt idx="12">
                  <v>1.36</v>
                </pt>
                <pt idx="13">
                  <v>1.36</v>
                </pt>
                <pt idx="14">
                  <v>1.36</v>
                </pt>
                <pt idx="15">
                  <v>1.36</v>
                </pt>
                <pt idx="16">
                  <v>1.37</v>
                </pt>
                <pt idx="17">
                  <v>1.36</v>
                </pt>
                <pt idx="18">
                  <v>1.36</v>
                </pt>
                <pt idx="19">
                  <v>1.37</v>
                </pt>
                <pt idx="20">
                  <v>1.36</v>
                </pt>
              </numCache>
            </numRef>
          </val>
          <smooth val="1"/>
        </ser>
        <ser>
          <idx val="1"/>
          <order val="1"/>
          <tx>
            <strRef>
              <f>'AR, Ring, 0x7, 8nodes'!$F$188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8nodes'!$A$189:$A$209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8nodes'!$F$189:$F$209</f>
              <numCache>
                <formatCode>General</formatCode>
                <ptCount val="21"/>
                <pt idx="0">
                  <v>0.009914332973627617</v>
                </pt>
                <pt idx="1">
                  <v>0.01982060407777562</v>
                </pt>
                <pt idx="2">
                  <v>0.0396089999788744</v>
                </pt>
                <pt idx="3">
                  <v>0.07908948076833006</v>
                </pt>
                <pt idx="4">
                  <v>0.1576673787215957</v>
                </pt>
                <pt idx="5">
                  <v>0.3133081533296493</v>
                </pt>
                <pt idx="6">
                  <v>0.6186642025026924</v>
                </pt>
                <pt idx="7">
                  <v>1.206701011410174</v>
                </pt>
                <pt idx="8">
                  <v>2.299560700830941</v>
                </pt>
                <pt idx="9">
                  <v>2.299560700830941</v>
                </pt>
                <pt idx="10">
                  <v>2.299560700830941</v>
                </pt>
                <pt idx="11">
                  <v>2.299560700830941</v>
                </pt>
                <pt idx="12">
                  <v>2.299560700830941</v>
                </pt>
                <pt idx="13">
                  <v>2.299560700830941</v>
                </pt>
                <pt idx="14">
                  <v>2.299560700830941</v>
                </pt>
                <pt idx="15">
                  <v>2.299560700830941</v>
                </pt>
                <pt idx="16">
                  <v>2.299560700830941</v>
                </pt>
                <pt idx="17">
                  <v>2.299560700830941</v>
                </pt>
                <pt idx="18">
                  <v>2.299560700830941</v>
                </pt>
                <pt idx="19">
                  <v>2.299560700830941</v>
                </pt>
                <pt idx="20">
                  <v>2.299560700830941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8nodes'!$E$223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8nodes'!$A$224:$A$244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8nodes'!$E$224:$E$244</f>
              <numCache>
                <formatCode>General</formatCode>
                <ptCount val="21"/>
                <pt idx="0">
                  <v>0.01</v>
                </pt>
                <pt idx="1">
                  <v>0.02</v>
                </pt>
                <pt idx="2">
                  <v>0.04</v>
                </pt>
                <pt idx="3">
                  <v>0.07000000000000001</v>
                </pt>
                <pt idx="4">
                  <v>0.13</v>
                </pt>
                <pt idx="5">
                  <v>0.24</v>
                </pt>
                <pt idx="6">
                  <v>0.47</v>
                </pt>
                <pt idx="7">
                  <v>0.87</v>
                </pt>
                <pt idx="8">
                  <v>1.53</v>
                </pt>
                <pt idx="9">
                  <v>2.45</v>
                </pt>
                <pt idx="10">
                  <v>2.52</v>
                </pt>
                <pt idx="11">
                  <v>2.55</v>
                </pt>
                <pt idx="12">
                  <v>2.58</v>
                </pt>
                <pt idx="13">
                  <v>2.59</v>
                </pt>
                <pt idx="14">
                  <v>2.59</v>
                </pt>
                <pt idx="15">
                  <v>2.59</v>
                </pt>
                <pt idx="16">
                  <v>2.59</v>
                </pt>
                <pt idx="17">
                  <v>2.6</v>
                </pt>
                <pt idx="18">
                  <v>2.59</v>
                </pt>
                <pt idx="19">
                  <v>2.59</v>
                </pt>
                <pt idx="20">
                  <v>2.59</v>
                </pt>
              </numCache>
            </numRef>
          </val>
          <smooth val="1"/>
        </ser>
        <ser>
          <idx val="1"/>
          <order val="1"/>
          <tx>
            <strRef>
              <f>'AR, Ring, 0x7, 8nodes'!$F$223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8nodes'!$A$224:$A$244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8nodes'!$F$224:$F$244</f>
              <numCache>
                <formatCode>General</formatCode>
                <ptCount val="21"/>
                <pt idx="0">
                  <v>0.009914332973627617</v>
                </pt>
                <pt idx="1">
                  <v>0.01982060407777562</v>
                </pt>
                <pt idx="2">
                  <v>0.0396089999788744</v>
                </pt>
                <pt idx="3">
                  <v>0.07908948076833006</v>
                </pt>
                <pt idx="4">
                  <v>0.1576673787215957</v>
                </pt>
                <pt idx="5">
                  <v>0.3133081533296493</v>
                </pt>
                <pt idx="6">
                  <v>0.6186642025026924</v>
                </pt>
                <pt idx="7">
                  <v>1.206701011410174</v>
                </pt>
                <pt idx="8">
                  <v>2.299560700830941</v>
                </pt>
                <pt idx="9">
                  <v>4.20264031422329</v>
                </pt>
                <pt idx="10">
                  <v>4.20264031422329</v>
                </pt>
                <pt idx="11">
                  <v>4.20264031422329</v>
                </pt>
                <pt idx="12">
                  <v>4.20264031422329</v>
                </pt>
                <pt idx="13">
                  <v>4.20264031422329</v>
                </pt>
                <pt idx="14">
                  <v>4.20264031422329</v>
                </pt>
                <pt idx="15">
                  <v>4.20264031422329</v>
                </pt>
                <pt idx="16">
                  <v>4.20264031422329</v>
                </pt>
                <pt idx="17">
                  <v>4.20264031422329</v>
                </pt>
                <pt idx="18">
                  <v>4.20264031422329</v>
                </pt>
                <pt idx="19">
                  <v>4.20264031422329</v>
                </pt>
                <pt idx="20">
                  <v>4.20264031422329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8nodes'!$E$258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8nodes'!$A$259:$A$279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8nodes'!$E$259:$E$279</f>
              <numCache>
                <formatCode>General</formatCode>
                <ptCount val="21"/>
                <pt idx="0">
                  <v>0.01</v>
                </pt>
                <pt idx="1">
                  <v>0.02</v>
                </pt>
                <pt idx="2">
                  <v>0.04</v>
                </pt>
                <pt idx="3">
                  <v>0.07000000000000001</v>
                </pt>
                <pt idx="4">
                  <v>0.13</v>
                </pt>
                <pt idx="5">
                  <v>0.24</v>
                </pt>
                <pt idx="6">
                  <v>0.47</v>
                </pt>
                <pt idx="7">
                  <v>0.89</v>
                </pt>
                <pt idx="8">
                  <v>1.63</v>
                </pt>
                <pt idx="9">
                  <v>2.74</v>
                </pt>
                <pt idx="10">
                  <v>3.96</v>
                </pt>
                <pt idx="11">
                  <v>4.16</v>
                </pt>
                <pt idx="12">
                  <v>4.25</v>
                </pt>
                <pt idx="13">
                  <v>4.29</v>
                </pt>
                <pt idx="14">
                  <v>4.31</v>
                </pt>
                <pt idx="15">
                  <v>4.33</v>
                </pt>
                <pt idx="16">
                  <v>4.33</v>
                </pt>
                <pt idx="17">
                  <v>4.34</v>
                </pt>
                <pt idx="18">
                  <v>4.34</v>
                </pt>
                <pt idx="19">
                  <v>4.35</v>
                </pt>
                <pt idx="20">
                  <v>4.35</v>
                </pt>
              </numCache>
            </numRef>
          </val>
          <smooth val="1"/>
        </ser>
        <ser>
          <idx val="1"/>
          <order val="1"/>
          <tx>
            <strRef>
              <f>'AR, Ring, 0x7, 8nodes'!$F$258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8nodes'!$A$259:$A$279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8nodes'!$F$259:$F$279</f>
              <numCache>
                <formatCode>General</formatCode>
                <ptCount val="21"/>
                <pt idx="0">
                  <v>0.009914332973627617</v>
                </pt>
                <pt idx="1">
                  <v>0.01982060407777562</v>
                </pt>
                <pt idx="2">
                  <v>0.0396089999788744</v>
                </pt>
                <pt idx="3">
                  <v>0.07908948076833006</v>
                </pt>
                <pt idx="4">
                  <v>0.1576673787215957</v>
                </pt>
                <pt idx="5">
                  <v>0.3133081533296493</v>
                </pt>
                <pt idx="6">
                  <v>0.6186642025026924</v>
                </pt>
                <pt idx="7">
                  <v>1.206701011410174</v>
                </pt>
                <pt idx="8">
                  <v>2.299560700830941</v>
                </pt>
                <pt idx="9">
                  <v>4.20264031422329</v>
                </pt>
                <pt idx="10">
                  <v>7.169196374006282</v>
                </pt>
                <pt idx="11">
                  <v>7.169196374006282</v>
                </pt>
                <pt idx="12">
                  <v>7.169196374006282</v>
                </pt>
                <pt idx="13">
                  <v>7.169196374006282</v>
                </pt>
                <pt idx="14">
                  <v>7.169196374006282</v>
                </pt>
                <pt idx="15">
                  <v>7.169196374006282</v>
                </pt>
                <pt idx="16">
                  <v>7.169196374006282</v>
                </pt>
                <pt idx="17">
                  <v>7.169196374006282</v>
                </pt>
                <pt idx="18">
                  <v>7.169196374006282</v>
                </pt>
                <pt idx="19">
                  <v>7.169196374006282</v>
                </pt>
                <pt idx="20">
                  <v>7.169196374006282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8nodes'!$E$293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8nodes'!$A$294:$A$314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8nodes'!$E$294:$E$314</f>
              <numCache>
                <formatCode>General</formatCode>
                <ptCount val="21"/>
                <pt idx="0">
                  <v>0.01</v>
                </pt>
                <pt idx="1">
                  <v>0.02</v>
                </pt>
                <pt idx="2">
                  <v>0.04</v>
                </pt>
                <pt idx="3">
                  <v>0.07000000000000001</v>
                </pt>
                <pt idx="4">
                  <v>0.13</v>
                </pt>
                <pt idx="5">
                  <v>0.24</v>
                </pt>
                <pt idx="6">
                  <v>0.47</v>
                </pt>
                <pt idx="7">
                  <v>0.9</v>
                </pt>
                <pt idx="8">
                  <v>1.55</v>
                </pt>
                <pt idx="9">
                  <v>2.73</v>
                </pt>
                <pt idx="10">
                  <v>4.11</v>
                </pt>
                <pt idx="11">
                  <v>4.69</v>
                </pt>
                <pt idx="12">
                  <v>4.88</v>
                </pt>
                <pt idx="13">
                  <v>4.98</v>
                </pt>
                <pt idx="14">
                  <v>5.02</v>
                </pt>
                <pt idx="15">
                  <v>5.05</v>
                </pt>
                <pt idx="16">
                  <v>5.06</v>
                </pt>
                <pt idx="17">
                  <v>5.07</v>
                </pt>
                <pt idx="18">
                  <v>5.07</v>
                </pt>
                <pt idx="19">
                  <v>5.08</v>
                </pt>
                <pt idx="20">
                  <v>5.08</v>
                </pt>
              </numCache>
            </numRef>
          </val>
          <smooth val="1"/>
        </ser>
        <ser>
          <idx val="1"/>
          <order val="1"/>
          <tx>
            <strRef>
              <f>'AR, Ring, 0x7, 8nodes'!$F$293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8nodes'!$A$294:$A$314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8nodes'!$F$294:$F$314</f>
              <numCache>
                <formatCode>General</formatCode>
                <ptCount val="21"/>
                <pt idx="0">
                  <v>0.009914332973627617</v>
                </pt>
                <pt idx="1">
                  <v>0.01982060407777562</v>
                </pt>
                <pt idx="2">
                  <v>0.0396089999788744</v>
                </pt>
                <pt idx="3">
                  <v>0.07908948076833006</v>
                </pt>
                <pt idx="4">
                  <v>0.1576673787215957</v>
                </pt>
                <pt idx="5">
                  <v>0.3133081533296493</v>
                </pt>
                <pt idx="6">
                  <v>0.6186642025026924</v>
                </pt>
                <pt idx="7">
                  <v>1.206701011410174</v>
                </pt>
                <pt idx="8">
                  <v>2.299560700830941</v>
                </pt>
                <pt idx="9">
                  <v>4.20264031422329</v>
                </pt>
                <pt idx="10">
                  <v>7.169196374006282</v>
                </pt>
                <pt idx="11">
                  <v>11.07963947120261</v>
                </pt>
                <pt idx="12">
                  <v>11.07963947120261</v>
                </pt>
                <pt idx="13">
                  <v>11.07963947120261</v>
                </pt>
                <pt idx="14">
                  <v>11.07963947120261</v>
                </pt>
                <pt idx="15">
                  <v>11.07963947120261</v>
                </pt>
                <pt idx="16">
                  <v>11.07963947120261</v>
                </pt>
                <pt idx="17">
                  <v>11.07963947120261</v>
                </pt>
                <pt idx="18">
                  <v>11.07963947120261</v>
                </pt>
                <pt idx="19">
                  <v>11.07963947120261</v>
                </pt>
                <pt idx="20">
                  <v>11.07963947120261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8nodes'!$E$328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8nodes'!$A$329:$A$349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8nodes'!$E$329:$E$349</f>
              <numCache>
                <formatCode>General</formatCode>
                <ptCount val="21"/>
                <pt idx="0">
                  <v>0.01</v>
                </pt>
                <pt idx="1">
                  <v>0.02</v>
                </pt>
                <pt idx="2">
                  <v>0.04</v>
                </pt>
                <pt idx="3">
                  <v>0.07000000000000001</v>
                </pt>
                <pt idx="4">
                  <v>0.13</v>
                </pt>
                <pt idx="5">
                  <v>0.24</v>
                </pt>
                <pt idx="6">
                  <v>0.47</v>
                </pt>
                <pt idx="7">
                  <v>0.9</v>
                </pt>
                <pt idx="8">
                  <v>1.55</v>
                </pt>
                <pt idx="9">
                  <v>2</v>
                </pt>
                <pt idx="10">
                  <v>3.31</v>
                </pt>
                <pt idx="11">
                  <v>4.49</v>
                </pt>
                <pt idx="12">
                  <v>4.95</v>
                </pt>
                <pt idx="13">
                  <v>5.05</v>
                </pt>
                <pt idx="14">
                  <v>5.13</v>
                </pt>
                <pt idx="15">
                  <v>5.17</v>
                </pt>
                <pt idx="16">
                  <v>5.2</v>
                </pt>
                <pt idx="17">
                  <v>5.22</v>
                </pt>
                <pt idx="18">
                  <v>5.23</v>
                </pt>
                <pt idx="19">
                  <v>5.23</v>
                </pt>
                <pt idx="20">
                  <v>5.25</v>
                </pt>
              </numCache>
            </numRef>
          </val>
          <smooth val="1"/>
        </ser>
        <ser>
          <idx val="1"/>
          <order val="1"/>
          <tx>
            <strRef>
              <f>'AR, Ring, 0x7, 8nodes'!$F$328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8nodes'!$A$329:$A$349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8nodes'!$F$329:$F$349</f>
              <numCache>
                <formatCode>General</formatCode>
                <ptCount val="21"/>
                <pt idx="0">
                  <v>0.009914332973627617</v>
                </pt>
                <pt idx="1">
                  <v>0.01982060407777562</v>
                </pt>
                <pt idx="2">
                  <v>0.0396089999788744</v>
                </pt>
                <pt idx="3">
                  <v>0.07908948076833006</v>
                </pt>
                <pt idx="4">
                  <v>0.1576673787215957</v>
                </pt>
                <pt idx="5">
                  <v>0.3133081533296493</v>
                </pt>
                <pt idx="6">
                  <v>0.6186642025026924</v>
                </pt>
                <pt idx="7">
                  <v>1.206701011410174</v>
                </pt>
                <pt idx="8">
                  <v>2.299560700830941</v>
                </pt>
                <pt idx="9">
                  <v>4.20264031422329</v>
                </pt>
                <pt idx="10">
                  <v>7.169196374006282</v>
                </pt>
                <pt idx="11">
                  <v>11.07963947120261</v>
                </pt>
                <pt idx="12">
                  <v>15.23446387488554</v>
                </pt>
                <pt idx="13">
                  <v>15.23446387488554</v>
                </pt>
                <pt idx="14">
                  <v>15.23446387488554</v>
                </pt>
                <pt idx="15">
                  <v>15.23446387488554</v>
                </pt>
                <pt idx="16">
                  <v>15.23446387488554</v>
                </pt>
                <pt idx="17">
                  <v>15.23446387488554</v>
                </pt>
                <pt idx="18">
                  <v>15.23446387488554</v>
                </pt>
                <pt idx="19">
                  <v>15.23446387488554</v>
                </pt>
                <pt idx="20">
                  <v>15.23446387488554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LL128,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8nodes'!$E$363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8nodes'!$A$364:$A$384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8nodes'!$E$364:$E$384</f>
              <numCache>
                <formatCode>General</formatCode>
                <ptCount val="21"/>
                <pt idx="0">
                  <v>0.01</v>
                </pt>
                <pt idx="1">
                  <v>0.02</v>
                </pt>
                <pt idx="2">
                  <v>0.03</v>
                </pt>
                <pt idx="3">
                  <v>0.06</v>
                </pt>
                <pt idx="4">
                  <v>0.12</v>
                </pt>
                <pt idx="5">
                  <v>0.23</v>
                </pt>
                <pt idx="6">
                  <v>0.42</v>
                </pt>
                <pt idx="7">
                  <v>0.8100000000000001</v>
                </pt>
                <pt idx="8">
                  <v>1.5</v>
                </pt>
                <pt idx="9">
                  <v>2.67</v>
                </pt>
                <pt idx="10">
                  <v>4.79</v>
                </pt>
                <pt idx="11">
                  <v>7.31</v>
                </pt>
                <pt idx="12">
                  <v>10.34</v>
                </pt>
                <pt idx="13">
                  <v>10.38</v>
                </pt>
                <pt idx="14">
                  <v>10.39</v>
                </pt>
                <pt idx="15">
                  <v>10.43</v>
                </pt>
                <pt idx="16">
                  <v>10.68</v>
                </pt>
                <pt idx="17">
                  <v>10.69</v>
                </pt>
                <pt idx="18">
                  <v>10.77</v>
                </pt>
                <pt idx="19">
                  <v>10.8</v>
                </pt>
                <pt idx="20">
                  <v>10.8</v>
                </pt>
              </numCache>
            </numRef>
          </val>
          <smooth val="1"/>
        </ser>
        <ser>
          <idx val="1"/>
          <order val="1"/>
          <tx>
            <strRef>
              <f>'AR, Ring, 0x7, 8nodes'!$F$363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8nodes'!$A$364:$A$384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8nodes'!$F$364:$F$384</f>
              <numCache>
                <formatCode>General</formatCode>
                <ptCount val="21"/>
                <pt idx="0">
                  <v>0.009916215198900069</v>
                </pt>
                <pt idx="1">
                  <v>0.01982812828526258</v>
                </pt>
                <pt idx="2">
                  <v>0.03963905931425023</v>
                </pt>
                <pt idx="3">
                  <v>0.07920941901860015</v>
                </pt>
                <pt idx="4">
                  <v>0.1581447527533945</v>
                </pt>
                <pt idx="5">
                  <v>0.315198835189187</v>
                </pt>
                <pt idx="6">
                  <v>0.62607981186356</v>
                </pt>
                <pt idx="7">
                  <v>1.235238291603469</v>
                </pt>
                <pt idx="8">
                  <v>2.40546308337251</v>
                </pt>
                <pt idx="9">
                  <v>4.570376490440226</v>
                </pt>
                <pt idx="10">
                  <v>8.30976486009715</v>
                </pt>
                <pt idx="11">
                  <v>14.06265145617389</v>
                </pt>
                <pt idx="12">
                  <v>21.50753007632196</v>
                </pt>
                <pt idx="13">
                  <v>21.50753007632196</v>
                </pt>
                <pt idx="14">
                  <v>21.50753007632196</v>
                </pt>
                <pt idx="15">
                  <v>21.50753007632196</v>
                </pt>
                <pt idx="16">
                  <v>22.24352363183815</v>
                </pt>
                <pt idx="17">
                  <v>22.24352363183815</v>
                </pt>
                <pt idx="18">
                  <v>22.43546052912339</v>
                </pt>
                <pt idx="19">
                  <v>22.53267651182456</v>
                </pt>
                <pt idx="20">
                  <v>22.53267651182456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LL128,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8nodes'!$E$398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8nodes'!$A$399:$A$419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8nodes'!$E$399:$E$419</f>
              <numCache>
                <formatCode>General</formatCode>
                <ptCount val="21"/>
                <pt idx="0">
                  <v>0.01</v>
                </pt>
                <pt idx="1">
                  <v>0.02</v>
                </pt>
                <pt idx="2">
                  <v>0.03</v>
                </pt>
                <pt idx="3">
                  <v>0.06</v>
                </pt>
                <pt idx="4">
                  <v>0.12</v>
                </pt>
                <pt idx="5">
                  <v>0.23</v>
                </pt>
                <pt idx="6">
                  <v>0.44</v>
                </pt>
                <pt idx="7">
                  <v>0.83</v>
                </pt>
                <pt idx="8">
                  <v>1.58</v>
                </pt>
                <pt idx="9">
                  <v>2.91</v>
                </pt>
                <pt idx="10">
                  <v>5.17</v>
                </pt>
                <pt idx="11">
                  <v>8.94</v>
                </pt>
                <pt idx="12">
                  <v>13.85</v>
                </pt>
                <pt idx="13">
                  <v>19.15</v>
                </pt>
                <pt idx="14">
                  <v>19.66</v>
                </pt>
                <pt idx="15">
                  <v>19.86</v>
                </pt>
                <pt idx="16">
                  <v>19.98</v>
                </pt>
                <pt idx="17">
                  <v>20.52</v>
                </pt>
                <pt idx="18">
                  <v>20.56</v>
                </pt>
                <pt idx="19">
                  <v>20.7</v>
                </pt>
                <pt idx="20">
                  <v>20.75</v>
                </pt>
              </numCache>
            </numRef>
          </val>
          <smooth val="1"/>
        </ser>
        <ser>
          <idx val="1"/>
          <order val="1"/>
          <tx>
            <strRef>
              <f>'AR, Ring, 0x7, 8nodes'!$F$398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8nodes'!$A$399:$A$419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8nodes'!$F$399:$F$419</f>
              <numCache>
                <formatCode>General</formatCode>
                <ptCount val="21"/>
                <pt idx="0">
                  <v>0.009916215198900069</v>
                </pt>
                <pt idx="1">
                  <v>0.01982812828526258</v>
                </pt>
                <pt idx="2">
                  <v>0.03963905931425023</v>
                </pt>
                <pt idx="3">
                  <v>0.07920941901860015</v>
                </pt>
                <pt idx="4">
                  <v>0.1581447527533945</v>
                </pt>
                <pt idx="5">
                  <v>0.315198835189187</v>
                </pt>
                <pt idx="6">
                  <v>0.62607981186356</v>
                </pt>
                <pt idx="7">
                  <v>1.235238291603469</v>
                </pt>
                <pt idx="8">
                  <v>2.40546308337251</v>
                </pt>
                <pt idx="9">
                  <v>4.570376490440226</v>
                </pt>
                <pt idx="10">
                  <v>8.30976486009715</v>
                </pt>
                <pt idx="11">
                  <v>14.06265145617389</v>
                </pt>
                <pt idx="12">
                  <v>21.50753007632196</v>
                </pt>
                <pt idx="13">
                  <v>29.25016381415081</v>
                </pt>
                <pt idx="14">
                  <v>29.25016381415081</v>
                </pt>
                <pt idx="15">
                  <v>29.25016381415081</v>
                </pt>
                <pt idx="16">
                  <v>29.25016381415081</v>
                </pt>
                <pt idx="17">
                  <v>29.92343438437079</v>
                </pt>
                <pt idx="18">
                  <v>29.92343438437079</v>
                </pt>
                <pt idx="19">
                  <v>30.09662290558804</v>
                </pt>
                <pt idx="20">
                  <v>30.18397112331202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LL128,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8nodes'!$E$433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8nodes'!$A$434:$A$454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8nodes'!$E$434:$E$454</f>
              <numCache>
                <formatCode>General</formatCode>
                <ptCount val="21"/>
                <pt idx="0">
                  <v>0.01</v>
                </pt>
                <pt idx="1">
                  <v>0.02</v>
                </pt>
                <pt idx="2">
                  <v>0.03</v>
                </pt>
                <pt idx="3">
                  <v>0.06</v>
                </pt>
                <pt idx="4">
                  <v>0.12</v>
                </pt>
                <pt idx="5">
                  <v>0.23</v>
                </pt>
                <pt idx="6">
                  <v>0.45</v>
                </pt>
                <pt idx="7">
                  <v>0.86</v>
                </pt>
                <pt idx="8">
                  <v>1.61</v>
                </pt>
                <pt idx="9">
                  <v>3.05</v>
                </pt>
                <pt idx="10">
                  <v>5.54</v>
                </pt>
                <pt idx="11">
                  <v>9.76</v>
                </pt>
                <pt idx="12">
                  <v>16.5</v>
                </pt>
                <pt idx="13">
                  <v>24.61</v>
                </pt>
                <pt idx="14">
                  <v>32.33</v>
                </pt>
                <pt idx="15">
                  <v>33.05</v>
                </pt>
                <pt idx="16">
                  <v>33.55</v>
                </pt>
                <pt idx="17">
                  <v>33.81</v>
                </pt>
                <pt idx="18">
                  <v>34.54</v>
                </pt>
                <pt idx="19">
                  <v>34.56</v>
                </pt>
                <pt idx="20">
                  <v>34.72</v>
                </pt>
              </numCache>
            </numRef>
          </val>
          <smooth val="1"/>
        </ser>
        <ser>
          <idx val="1"/>
          <order val="1"/>
          <tx>
            <strRef>
              <f>'AR, Ring, 0x7, 8nodes'!$F$433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8nodes'!$A$434:$A$454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8nodes'!$F$434:$F$454</f>
              <numCache>
                <formatCode>General</formatCode>
                <ptCount val="21"/>
                <pt idx="0">
                  <v>0.009916215198900069</v>
                </pt>
                <pt idx="1">
                  <v>0.01982812828526258</v>
                </pt>
                <pt idx="2">
                  <v>0.03963905931425023</v>
                </pt>
                <pt idx="3">
                  <v>0.07920941901860015</v>
                </pt>
                <pt idx="4">
                  <v>0.1581447527533945</v>
                </pt>
                <pt idx="5">
                  <v>0.315198835189187</v>
                </pt>
                <pt idx="6">
                  <v>0.62607981186356</v>
                </pt>
                <pt idx="7">
                  <v>1.235238291603469</v>
                </pt>
                <pt idx="8">
                  <v>2.40546308337251</v>
                </pt>
                <pt idx="9">
                  <v>4.570376490440226</v>
                </pt>
                <pt idx="10">
                  <v>8.30976486009715</v>
                </pt>
                <pt idx="11">
                  <v>14.06265145617389</v>
                </pt>
                <pt idx="12">
                  <v>21.50753007632196</v>
                </pt>
                <pt idx="13">
                  <v>29.25016381415081</v>
                </pt>
                <pt idx="14">
                  <v>35.67085352007197</v>
                </pt>
                <pt idx="15">
                  <v>35.67085352007197</v>
                </pt>
                <pt idx="16">
                  <v>35.67085352007197</v>
                </pt>
                <pt idx="17">
                  <v>35.67085352007197</v>
                </pt>
                <pt idx="18">
                  <v>36.16704166448771</v>
                </pt>
                <pt idx="19">
                  <v>36.16704166448771</v>
                </pt>
                <pt idx="20">
                  <v>36.29325312388141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LL128,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8nodes'!$E$468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8nodes'!$A$469:$A$489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8nodes'!$E$469:$E$489</f>
              <numCache>
                <formatCode>General</formatCode>
                <ptCount val="21"/>
                <pt idx="0">
                  <v>0.01</v>
                </pt>
                <pt idx="1">
                  <v>0.02</v>
                </pt>
                <pt idx="2">
                  <v>0.03</v>
                </pt>
                <pt idx="3">
                  <v>0.06</v>
                </pt>
                <pt idx="4">
                  <v>0.12</v>
                </pt>
                <pt idx="5">
                  <v>0.23</v>
                </pt>
                <pt idx="6">
                  <v>0.44</v>
                </pt>
                <pt idx="7">
                  <v>0.78</v>
                </pt>
                <pt idx="8">
                  <v>1.53</v>
                </pt>
                <pt idx="9">
                  <v>2.9</v>
                </pt>
                <pt idx="10">
                  <v>5.5</v>
                </pt>
                <pt idx="11">
                  <v>9.98</v>
                </pt>
                <pt idx="12">
                  <v>17.23</v>
                </pt>
                <pt idx="13">
                  <v>26.98</v>
                </pt>
                <pt idx="14">
                  <v>35.38</v>
                </pt>
                <pt idx="15">
                  <v>39.92</v>
                </pt>
                <pt idx="16">
                  <v>41.19</v>
                </pt>
                <pt idx="17">
                  <v>41.61</v>
                </pt>
                <pt idx="18">
                  <v>41.84</v>
                </pt>
                <pt idx="19">
                  <v>42.66</v>
                </pt>
                <pt idx="20">
                  <v>42.75</v>
                </pt>
              </numCache>
            </numRef>
          </val>
          <smooth val="1"/>
        </ser>
        <ser>
          <idx val="1"/>
          <order val="1"/>
          <tx>
            <strRef>
              <f>'AR, Ring, 0x7, 8nodes'!$F$468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8nodes'!$A$469:$A$489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8nodes'!$F$469:$F$489</f>
              <numCache>
                <formatCode>General</formatCode>
                <ptCount val="21"/>
                <pt idx="0">
                  <v>0.009916215198900069</v>
                </pt>
                <pt idx="1">
                  <v>0.01982812828526258</v>
                </pt>
                <pt idx="2">
                  <v>0.03963905931425023</v>
                </pt>
                <pt idx="3">
                  <v>0.07920941901860015</v>
                </pt>
                <pt idx="4">
                  <v>0.1581447527533945</v>
                </pt>
                <pt idx="5">
                  <v>0.315198835189187</v>
                </pt>
                <pt idx="6">
                  <v>0.62607981186356</v>
                </pt>
                <pt idx="7">
                  <v>1.235238291603469</v>
                </pt>
                <pt idx="8">
                  <v>2.40546308337251</v>
                </pt>
                <pt idx="9">
                  <v>4.570376490440226</v>
                </pt>
                <pt idx="10">
                  <v>8.30976486009715</v>
                </pt>
                <pt idx="11">
                  <v>14.06265145617389</v>
                </pt>
                <pt idx="12">
                  <v>21.50753007632196</v>
                </pt>
                <pt idx="13">
                  <v>29.25016381415081</v>
                </pt>
                <pt idx="14">
                  <v>35.67085352007197</v>
                </pt>
                <pt idx="15">
                  <v>40.06857000072601</v>
                </pt>
                <pt idx="16">
                  <v>40.06857000072601</v>
                </pt>
                <pt idx="17">
                  <v>40.06857000072601</v>
                </pt>
                <pt idx="18">
                  <v>40.06857000072601</v>
                </pt>
                <pt idx="19">
                  <v>40.37971078882089</v>
                </pt>
                <pt idx="20">
                  <v>40.37971078882089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LL128,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8nodes'!$E$503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8nodes'!$A$504:$A$524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8nodes'!$E$504:$E$524</f>
              <numCache>
                <formatCode>General</formatCode>
                <ptCount val="21"/>
                <pt idx="0">
                  <v>0.01</v>
                </pt>
                <pt idx="1">
                  <v>0.02</v>
                </pt>
                <pt idx="2">
                  <v>0.03</v>
                </pt>
                <pt idx="3">
                  <v>0.06</v>
                </pt>
                <pt idx="4">
                  <v>0.12</v>
                </pt>
                <pt idx="5">
                  <v>0.23</v>
                </pt>
                <pt idx="6">
                  <v>0.45</v>
                </pt>
                <pt idx="7">
                  <v>0.8</v>
                </pt>
                <pt idx="8">
                  <v>1.15</v>
                </pt>
                <pt idx="9">
                  <v>2.34</v>
                </pt>
                <pt idx="10">
                  <v>4.51</v>
                </pt>
                <pt idx="11">
                  <v>8.630000000000001</v>
                </pt>
                <pt idx="12">
                  <v>15.76</v>
                </pt>
                <pt idx="13">
                  <v>26.06</v>
                </pt>
                <pt idx="14">
                  <v>35.77</v>
                </pt>
                <pt idx="15">
                  <v>39.43</v>
                </pt>
                <pt idx="16">
                  <v>40.96</v>
                </pt>
                <pt idx="17">
                  <v>42.08</v>
                </pt>
                <pt idx="18">
                  <v>42.46</v>
                </pt>
                <pt idx="19">
                  <v>42.63</v>
                </pt>
                <pt idx="20">
                  <v>42.94</v>
                </pt>
              </numCache>
            </numRef>
          </val>
          <smooth val="1"/>
        </ser>
        <ser>
          <idx val="1"/>
          <order val="1"/>
          <tx>
            <strRef>
              <f>'AR, Ring, 0x7, 8nodes'!$F$503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8nodes'!$A$504:$A$524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8nodes'!$F$504:$F$524</f>
              <numCache>
                <formatCode>General</formatCode>
                <ptCount val="21"/>
                <pt idx="0">
                  <v>0.009916215198900069</v>
                </pt>
                <pt idx="1">
                  <v>0.01982812828526258</v>
                </pt>
                <pt idx="2">
                  <v>0.03963905931425023</v>
                </pt>
                <pt idx="3">
                  <v>0.07920941901860015</v>
                </pt>
                <pt idx="4">
                  <v>0.1581447527533945</v>
                </pt>
                <pt idx="5">
                  <v>0.315198835189187</v>
                </pt>
                <pt idx="6">
                  <v>0.62607981186356</v>
                </pt>
                <pt idx="7">
                  <v>1.235238291603469</v>
                </pt>
                <pt idx="8">
                  <v>2.40546308337251</v>
                </pt>
                <pt idx="9">
                  <v>4.570376490440226</v>
                </pt>
                <pt idx="10">
                  <v>8.30976486009715</v>
                </pt>
                <pt idx="11">
                  <v>14.06265145617389</v>
                </pt>
                <pt idx="12">
                  <v>21.50753007632196</v>
                </pt>
                <pt idx="13">
                  <v>29.25016381415081</v>
                </pt>
                <pt idx="14">
                  <v>35.67085352007197</v>
                </pt>
                <pt idx="15">
                  <v>40.06857000072601</v>
                </pt>
                <pt idx="16">
                  <v>42.70077356635964</v>
                </pt>
                <pt idx="17">
                  <v>42.70077356635964</v>
                </pt>
                <pt idx="18">
                  <v>42.70077356635964</v>
                </pt>
                <pt idx="19">
                  <v>42.70077356635964</v>
                </pt>
                <pt idx="20">
                  <v>42.87681633009103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8, Protocol: Simple,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8nodes'!$E$12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8nodes'!$A$13:$A$35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8nodes'!$E$13:$E$35</f>
              <numCache>
                <formatCode>General</formatCode>
                <ptCount val="23"/>
                <pt idx="0">
                  <v>0.01</v>
                </pt>
                <pt idx="1">
                  <v>0.03</v>
                </pt>
                <pt idx="2">
                  <v>0.05</v>
                </pt>
                <pt idx="3">
                  <v>0.09</v>
                </pt>
                <pt idx="4">
                  <v>0.16</v>
                </pt>
                <pt idx="5">
                  <v>0.28</v>
                </pt>
                <pt idx="6">
                  <v>0.5</v>
                </pt>
                <pt idx="7">
                  <v>0.84</v>
                </pt>
                <pt idx="8">
                  <v>1.42</v>
                </pt>
                <pt idx="9">
                  <v>2.05</v>
                </pt>
                <pt idx="10">
                  <v>2.6</v>
                </pt>
                <pt idx="11">
                  <v>4.67</v>
                </pt>
                <pt idx="12">
                  <v>7.87</v>
                </pt>
                <pt idx="13">
                  <v>10.98</v>
                </pt>
                <pt idx="14">
                  <v>13.79</v>
                </pt>
                <pt idx="15">
                  <v>15.43</v>
                </pt>
                <pt idx="16">
                  <v>17.14</v>
                </pt>
                <pt idx="17">
                  <v>18.14</v>
                </pt>
                <pt idx="18">
                  <v>18.82</v>
                </pt>
                <pt idx="19">
                  <v>19.07</v>
                </pt>
                <pt idx="20">
                  <v>19.22</v>
                </pt>
                <pt idx="21">
                  <v>19.28</v>
                </pt>
                <pt idx="22">
                  <v>19.3</v>
                </pt>
              </numCache>
            </numRef>
          </val>
          <smooth val="1"/>
        </ser>
        <ser>
          <idx val="1"/>
          <order val="1"/>
          <tx>
            <strRef>
              <f>'AR, Tree, 0x7, 8nodes'!$F$12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8nodes'!$A$13:$A$35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8nodes'!$F$13:$F$35</f>
              <numCache>
                <formatCode>General</formatCode>
                <ptCount val="23"/>
                <pt idx="0">
                  <v>0.01982290680004583</v>
                </pt>
                <pt idx="1">
                  <v>0.03961819697323676</v>
                </pt>
                <pt idx="2">
                  <v>0.07912615796539191</v>
                </pt>
                <pt idx="3">
                  <v>0.1578132072620597</v>
                </pt>
                <pt idx="4">
                  <v>0.3138845200950691</v>
                </pt>
                <pt idx="5">
                  <v>0.6209155620985736</v>
                </pt>
                <pt idx="6">
                  <v>1.215295875953327</v>
                </pt>
                <pt idx="7">
                  <v>2.330975913164994</v>
                </pt>
                <pt idx="8">
                  <v>4.308768995754323</v>
                </pt>
                <pt idx="9">
                  <v>7.483638415884882</v>
                </pt>
                <pt idx="10">
                  <v>11.84906586132113</v>
                </pt>
                <pt idx="11">
                  <v>16.72804833210322</v>
                </pt>
                <pt idx="12">
                  <v>21.06489977477191</v>
                </pt>
                <pt idx="13">
                  <v>24.20218373535755</v>
                </pt>
                <pt idx="14">
                  <v>26.14945801856861</v>
                </pt>
                <pt idx="15">
                  <v>27.2455267483522</v>
                </pt>
                <pt idx="16">
                  <v>27.8287554449146</v>
                </pt>
                <pt idx="17">
                  <v>28.12983471912505</v>
                </pt>
                <pt idx="18">
                  <v>28.28283067594003</v>
                </pt>
                <pt idx="19">
                  <v>28.35995445591485</v>
                </pt>
                <pt idx="20">
                  <v>28.39867429150573</v>
                </pt>
                <pt idx="21">
                  <v>28.41807388451864</v>
                </pt>
                <pt idx="22">
                  <v>28.42778362355249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8, Protocol: Simple,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8nodes'!$E$48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8nodes'!$A$49:$A$71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8nodes'!$E$49:$E$71</f>
              <numCache>
                <formatCode>General</formatCode>
                <ptCount val="23"/>
                <pt idx="0">
                  <v>0.01</v>
                </pt>
                <pt idx="1">
                  <v>0.03</v>
                </pt>
                <pt idx="2">
                  <v>0.05</v>
                </pt>
                <pt idx="3">
                  <v>0.09</v>
                </pt>
                <pt idx="4">
                  <v>0.16</v>
                </pt>
                <pt idx="5">
                  <v>0.28</v>
                </pt>
                <pt idx="6">
                  <v>0.54</v>
                </pt>
                <pt idx="7">
                  <v>0.96</v>
                </pt>
                <pt idx="8">
                  <v>1.6</v>
                </pt>
                <pt idx="9">
                  <v>2.57</v>
                </pt>
                <pt idx="10">
                  <v>3.58</v>
                </pt>
                <pt idx="11">
                  <v>4.53</v>
                </pt>
                <pt idx="12">
                  <v>7.79</v>
                </pt>
                <pt idx="13">
                  <v>11.72</v>
                </pt>
                <pt idx="14">
                  <v>15.77</v>
                </pt>
                <pt idx="15">
                  <v>18.59</v>
                </pt>
                <pt idx="16">
                  <v>20.81</v>
                </pt>
                <pt idx="17">
                  <v>22.01</v>
                </pt>
                <pt idx="18">
                  <v>22.7</v>
                </pt>
                <pt idx="19">
                  <v>23.86</v>
                </pt>
                <pt idx="20">
                  <v>24.95</v>
                </pt>
                <pt idx="21">
                  <v>25.14</v>
                </pt>
                <pt idx="22">
                  <v>25.23</v>
                </pt>
              </numCache>
            </numRef>
          </val>
          <smooth val="1"/>
        </ser>
        <ser>
          <idx val="1"/>
          <order val="1"/>
          <tx>
            <strRef>
              <f>'AR, Tree, 0x7, 8nodes'!$F$48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8nodes'!$A$49:$A$71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8nodes'!$F$49:$F$71</f>
              <numCache>
                <formatCode>General</formatCode>
                <ptCount val="23"/>
                <pt idx="0">
                  <v>0.01982290680004583</v>
                </pt>
                <pt idx="1">
                  <v>0.03961819697323676</v>
                </pt>
                <pt idx="2">
                  <v>0.07912615796539191</v>
                </pt>
                <pt idx="3">
                  <v>0.1578132072620597</v>
                </pt>
                <pt idx="4">
                  <v>0.3138845200950691</v>
                </pt>
                <pt idx="5">
                  <v>0.6209155620985736</v>
                </pt>
                <pt idx="6">
                  <v>1.215295875953327</v>
                </pt>
                <pt idx="7">
                  <v>2.330975913164994</v>
                </pt>
                <pt idx="8">
                  <v>4.308768995754323</v>
                </pt>
                <pt idx="9">
                  <v>7.483638415884882</v>
                </pt>
                <pt idx="10">
                  <v>11.84906586132113</v>
                </pt>
                <pt idx="11">
                  <v>16.72804833210322</v>
                </pt>
                <pt idx="12">
                  <v>21.06489977477191</v>
                </pt>
                <pt idx="13">
                  <v>24.20218373535755</v>
                </pt>
                <pt idx="14">
                  <v>26.14945801856861</v>
                </pt>
                <pt idx="15">
                  <v>27.2455267483522</v>
                </pt>
                <pt idx="16">
                  <v>27.8287554449146</v>
                </pt>
                <pt idx="17">
                  <v>28.12983471912505</v>
                </pt>
                <pt idx="18">
                  <v>28.28283067594003</v>
                </pt>
                <pt idx="19">
                  <v>28.35995445591485</v>
                </pt>
                <pt idx="20">
                  <v>28.39867429150573</v>
                </pt>
                <pt idx="21">
                  <v>28.41807388451864</v>
                </pt>
                <pt idx="22">
                  <v>28.42778362355249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8, Protocol: Simple,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8nodes'!$E$84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8nodes'!$A$85:$A$107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8nodes'!$E$85:$E$107</f>
              <numCache>
                <formatCode>General</formatCode>
                <ptCount val="23"/>
                <pt idx="0">
                  <v>0.01</v>
                </pt>
                <pt idx="1">
                  <v>0.02</v>
                </pt>
                <pt idx="2">
                  <v>0.05</v>
                </pt>
                <pt idx="3">
                  <v>0.09</v>
                </pt>
                <pt idx="4">
                  <v>0.16</v>
                </pt>
                <pt idx="5">
                  <v>0.28</v>
                </pt>
                <pt idx="6">
                  <v>0.53</v>
                </pt>
                <pt idx="7">
                  <v>1.05</v>
                </pt>
                <pt idx="8">
                  <v>1.87</v>
                </pt>
                <pt idx="9">
                  <v>3.09</v>
                </pt>
                <pt idx="10">
                  <v>4.99</v>
                </pt>
                <pt idx="11">
                  <v>6.98</v>
                </pt>
                <pt idx="12">
                  <v>8.83</v>
                </pt>
                <pt idx="13">
                  <v>15.1</v>
                </pt>
                <pt idx="14">
                  <v>22.32</v>
                </pt>
                <pt idx="15">
                  <v>28.8</v>
                </pt>
                <pt idx="16">
                  <v>31.43</v>
                </pt>
                <pt idx="17">
                  <v>34.84</v>
                </pt>
                <pt idx="18">
                  <v>36.67</v>
                </pt>
                <pt idx="19">
                  <v>37.8</v>
                </pt>
                <pt idx="20">
                  <v>37.96</v>
                </pt>
                <pt idx="21">
                  <v>37.85</v>
                </pt>
                <pt idx="22">
                  <v>37.74</v>
                </pt>
              </numCache>
            </numRef>
          </val>
          <smooth val="1"/>
        </ser>
        <ser>
          <idx val="1"/>
          <order val="1"/>
          <tx>
            <strRef>
              <f>'AR, Tree, 0x7, 8nodes'!$F$84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8nodes'!$A$85:$A$107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8nodes'!$F$85:$F$107</f>
              <numCache>
                <formatCode>General</formatCode>
                <ptCount val="23"/>
                <pt idx="0">
                  <v>0.01982751385011619</v>
                </pt>
                <pt idx="1">
                  <v>0.03963660378086683</v>
                </pt>
                <pt idx="2">
                  <v>0.07919961450702744</v>
                </pt>
                <pt idx="3">
                  <v>0.1581056751146742</v>
                </pt>
                <pt idx="4">
                  <v>0.3150436388806993</v>
                </pt>
                <pt idx="5">
                  <v>0.6254677987560288</v>
                </pt>
                <pt idx="6">
                  <v>1.232858220403335</v>
                </pt>
                <pt idx="7">
                  <v>2.396453726058255</v>
                </pt>
                <pt idx="8">
                  <v>4.537962022157028</v>
                </pt>
                <pt idx="9">
                  <v>8.203228074525587</v>
                </pt>
                <pt idx="10">
                  <v>13.76022565710319</v>
                </pt>
                <pt idx="11">
                  <v>20.80809263071739</v>
                </pt>
                <pt idx="12">
                  <v>27.97146128003644</v>
                </pt>
                <pt idx="13">
                  <v>33.7872380005555</v>
                </pt>
                <pt idx="14">
                  <v>37.70725037954108</v>
                </pt>
                <pt idx="15">
                  <v>40.0293638630947</v>
                </pt>
                <pt idx="16">
                  <v>41.30107941418447</v>
                </pt>
                <pt idx="17">
                  <v>41.9677276791432</v>
                </pt>
                <pt idx="18">
                  <v>42.30918784274233</v>
                </pt>
                <pt idx="19">
                  <v>42.48201009114526</v>
                </pt>
                <pt idx="20">
                  <v>42.56895175002253</v>
                </pt>
                <pt idx="21">
                  <v>42.61255616414937</v>
                </pt>
                <pt idx="22">
                  <v>42.63439188717601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Simple,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8nodes'!$E$120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8nodes'!$A$121:$A$143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8nodes'!$E$121:$E$143</f>
              <numCache>
                <formatCode>General</formatCode>
                <ptCount val="23"/>
                <pt idx="0">
                  <v>0.01</v>
                </pt>
                <pt idx="1">
                  <v>0.03</v>
                </pt>
                <pt idx="2">
                  <v>0.05</v>
                </pt>
                <pt idx="3">
                  <v>0.09</v>
                </pt>
                <pt idx="4">
                  <v>0.16</v>
                </pt>
                <pt idx="5">
                  <v>0.28</v>
                </pt>
                <pt idx="6">
                  <v>0.53</v>
                </pt>
                <pt idx="7">
                  <v>1.05</v>
                </pt>
                <pt idx="8">
                  <v>1.92</v>
                </pt>
                <pt idx="9">
                  <v>3.34</v>
                </pt>
                <pt idx="10">
                  <v>5.43</v>
                </pt>
                <pt idx="11">
                  <v>8.43</v>
                </pt>
                <pt idx="12">
                  <v>11.49</v>
                </pt>
                <pt idx="13">
                  <v>14.34</v>
                </pt>
                <pt idx="14">
                  <v>21.95</v>
                </pt>
                <pt idx="15">
                  <v>28.29</v>
                </pt>
                <pt idx="16">
                  <v>31.18</v>
                </pt>
                <pt idx="17">
                  <v>34.03</v>
                </pt>
                <pt idx="18">
                  <v>35.51</v>
                </pt>
                <pt idx="19">
                  <v>37.34</v>
                </pt>
                <pt idx="20">
                  <v>37.97</v>
                </pt>
                <pt idx="21">
                  <v>38.04</v>
                </pt>
                <pt idx="22">
                  <v>37.88</v>
                </pt>
              </numCache>
            </numRef>
          </val>
          <smooth val="1"/>
        </ser>
        <ser>
          <idx val="1"/>
          <order val="1"/>
          <tx>
            <strRef>
              <f>'AR, Tree, 0x7, 8nodes'!$F$120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8nodes'!$A$121:$A$143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8nodes'!$F$121:$F$143</f>
              <numCache>
                <formatCode>General</formatCode>
                <ptCount val="23"/>
                <pt idx="0">
                  <v>0.01982751385011619</v>
                </pt>
                <pt idx="1">
                  <v>0.03963660378086683</v>
                </pt>
                <pt idx="2">
                  <v>0.07919961450702744</v>
                </pt>
                <pt idx="3">
                  <v>0.1581056751146742</v>
                </pt>
                <pt idx="4">
                  <v>0.3150436388806993</v>
                </pt>
                <pt idx="5">
                  <v>0.6254677987560288</v>
                </pt>
                <pt idx="6">
                  <v>1.232858220403335</v>
                </pt>
                <pt idx="7">
                  <v>2.396453726058255</v>
                </pt>
                <pt idx="8">
                  <v>4.537962022157028</v>
                </pt>
                <pt idx="9">
                  <v>8.203228074525587</v>
                </pt>
                <pt idx="10">
                  <v>13.76022565710319</v>
                </pt>
                <pt idx="11">
                  <v>20.80809263071739</v>
                </pt>
                <pt idx="12">
                  <v>27.97146128003644</v>
                </pt>
                <pt idx="13">
                  <v>33.7872380005555</v>
                </pt>
                <pt idx="14">
                  <v>37.70725037954108</v>
                </pt>
                <pt idx="15">
                  <v>40.0293638630947</v>
                </pt>
                <pt idx="16">
                  <v>41.30107941418447</v>
                </pt>
                <pt idx="17">
                  <v>41.9677276791432</v>
                </pt>
                <pt idx="18">
                  <v>42.30918784274233</v>
                </pt>
                <pt idx="19">
                  <v>42.48201009114526</v>
                </pt>
                <pt idx="20">
                  <v>42.56895175002253</v>
                </pt>
                <pt idx="21">
                  <v>42.61255616414937</v>
                </pt>
                <pt idx="22">
                  <v>42.63439188717601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Simple,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8nodes'!$E$156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8nodes'!$A$157:$A$179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8nodes'!$E$157:$E$179</f>
              <numCache>
                <formatCode>General</formatCode>
                <ptCount val="23"/>
                <pt idx="0">
                  <v>0.01</v>
                </pt>
                <pt idx="1">
                  <v>0.03</v>
                </pt>
                <pt idx="2">
                  <v>0.05</v>
                </pt>
                <pt idx="3">
                  <v>0.09</v>
                </pt>
                <pt idx="4">
                  <v>0.16</v>
                </pt>
                <pt idx="5">
                  <v>0.28</v>
                </pt>
                <pt idx="6">
                  <v>0.54</v>
                </pt>
                <pt idx="7">
                  <v>1.05</v>
                </pt>
                <pt idx="8">
                  <v>1.92</v>
                </pt>
                <pt idx="9">
                  <v>3.2</v>
                </pt>
                <pt idx="10">
                  <v>5.65</v>
                </pt>
                <pt idx="11">
                  <v>8.84</v>
                </pt>
                <pt idx="12">
                  <v>13.1</v>
                </pt>
                <pt idx="13">
                  <v>17.61</v>
                </pt>
                <pt idx="14">
                  <v>21.07</v>
                </pt>
                <pt idx="15">
                  <v>27.42</v>
                </pt>
                <pt idx="16">
                  <v>30.75</v>
                </pt>
                <pt idx="17">
                  <v>33.61</v>
                </pt>
                <pt idx="18">
                  <v>34.47</v>
                </pt>
                <pt idx="19">
                  <v>36.48</v>
                </pt>
                <pt idx="20">
                  <v>37.99</v>
                </pt>
                <pt idx="21">
                  <v>38.35</v>
                </pt>
                <pt idx="22">
                  <v>38.33</v>
                </pt>
              </numCache>
            </numRef>
          </val>
          <smooth val="1"/>
        </ser>
        <ser>
          <idx val="1"/>
          <order val="1"/>
          <tx>
            <strRef>
              <f>'AR, Tree, 0x7, 8nodes'!$F$156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8nodes'!$A$157:$A$179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8nodes'!$F$157:$F$179</f>
              <numCache>
                <formatCode>General</formatCode>
                <ptCount val="23"/>
                <pt idx="0">
                  <v>0.01982751385011619</v>
                </pt>
                <pt idx="1">
                  <v>0.03963660378086683</v>
                </pt>
                <pt idx="2">
                  <v>0.07919961450702744</v>
                </pt>
                <pt idx="3">
                  <v>0.1581056751146742</v>
                </pt>
                <pt idx="4">
                  <v>0.3150436388806993</v>
                </pt>
                <pt idx="5">
                  <v>0.6254677987560288</v>
                </pt>
                <pt idx="6">
                  <v>1.232858220403335</v>
                </pt>
                <pt idx="7">
                  <v>2.396453726058255</v>
                </pt>
                <pt idx="8">
                  <v>4.537962022157028</v>
                </pt>
                <pt idx="9">
                  <v>8.203228074525587</v>
                </pt>
                <pt idx="10">
                  <v>13.76022565710319</v>
                </pt>
                <pt idx="11">
                  <v>20.80809263071739</v>
                </pt>
                <pt idx="12">
                  <v>27.97146128003644</v>
                </pt>
                <pt idx="13">
                  <v>33.7872380005555</v>
                </pt>
                <pt idx="14">
                  <v>37.70725037954108</v>
                </pt>
                <pt idx="15">
                  <v>40.0293638630947</v>
                </pt>
                <pt idx="16">
                  <v>41.30107941418447</v>
                </pt>
                <pt idx="17">
                  <v>41.9677276791432</v>
                </pt>
                <pt idx="18">
                  <v>42.30918784274233</v>
                </pt>
                <pt idx="19">
                  <v>42.48201009114526</v>
                </pt>
                <pt idx="20">
                  <v>42.56895175002253</v>
                </pt>
                <pt idx="21">
                  <v>42.61255616414937</v>
                </pt>
                <pt idx="22">
                  <v>42.63439188717601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8nodes'!$E$192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8nodes'!$A$193:$A$213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8nodes'!$E$193:$E$213</f>
              <numCache>
                <formatCode>General</formatCode>
                <ptCount val="21"/>
                <pt idx="0">
                  <v>0.02</v>
                </pt>
                <pt idx="1">
                  <v>0.04</v>
                </pt>
                <pt idx="2">
                  <v>0.06</v>
                </pt>
                <pt idx="3">
                  <v>0.12</v>
                </pt>
                <pt idx="4">
                  <v>0.21</v>
                </pt>
                <pt idx="5">
                  <v>0.34</v>
                </pt>
                <pt idx="6">
                  <v>0.63</v>
                </pt>
                <pt idx="7">
                  <v>1.1</v>
                </pt>
                <pt idx="8">
                  <v>1.71</v>
                </pt>
                <pt idx="9">
                  <v>2.05</v>
                </pt>
                <pt idx="10">
                  <v>2.29</v>
                </pt>
                <pt idx="11">
                  <v>2.46</v>
                </pt>
                <pt idx="12">
                  <v>2.55</v>
                </pt>
                <pt idx="13">
                  <v>2.6</v>
                </pt>
                <pt idx="14">
                  <v>2.61</v>
                </pt>
                <pt idx="15">
                  <v>2.62</v>
                </pt>
                <pt idx="16">
                  <v>2.63</v>
                </pt>
                <pt idx="17">
                  <v>2.63</v>
                </pt>
                <pt idx="18">
                  <v>2.63</v>
                </pt>
                <pt idx="19">
                  <v>2.63</v>
                </pt>
                <pt idx="20">
                  <v>2.63</v>
                </pt>
              </numCache>
            </numRef>
          </val>
          <smooth val="1"/>
        </ser>
        <ser>
          <idx val="1"/>
          <order val="1"/>
          <tx>
            <strRef>
              <f>'AR, Tree, 0x7, 8nodes'!$F$192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8nodes'!$A$193:$A$213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8nodes'!$F$193:$F$213</f>
              <numCache>
                <formatCode>General</formatCode>
                <ptCount val="21"/>
                <pt idx="0">
                  <v>0.01980909848661838</v>
                </pt>
                <pt idx="1">
                  <v>0.03956307898269595</v>
                </pt>
                <pt idx="2">
                  <v>0.07890660363102983</v>
                </pt>
                <pt idx="3">
                  <v>0.1569422600475346</v>
                </pt>
                <pt idx="4">
                  <v>0.3104577810492868</v>
                </pt>
                <pt idx="5">
                  <v>0.6076479379766633</v>
                </pt>
                <pt idx="6">
                  <v>1.165487956582497</v>
                </pt>
                <pt idx="7">
                  <v>2.154384497877162</v>
                </pt>
                <pt idx="8">
                  <v>3.741819207942441</v>
                </pt>
                <pt idx="9">
                  <v>5.924532930660567</v>
                </pt>
                <pt idx="10">
                  <v>8.364024166051612</v>
                </pt>
                <pt idx="11">
                  <v>10.53244988738595</v>
                </pt>
                <pt idx="12">
                  <v>12.10109186767878</v>
                </pt>
                <pt idx="13">
                  <v>13.0747290092843</v>
                </pt>
                <pt idx="14">
                  <v>13.6227633741761</v>
                </pt>
                <pt idx="15">
                  <v>13.9143777224573</v>
                </pt>
                <pt idx="16">
                  <v>14.06491735956252</v>
                </pt>
                <pt idx="17">
                  <v>14.14141533797002</v>
                </pt>
                <pt idx="18">
                  <v>14.17997722795743</v>
                </pt>
                <pt idx="19">
                  <v>14.19933714575287</v>
                </pt>
                <pt idx="20">
                  <v>14.20903694225932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8nodes'!$E$226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8nodes'!$A$227:$A$247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8nodes'!$E$227:$E$247</f>
              <numCache>
                <formatCode>General</formatCode>
                <ptCount val="21"/>
                <pt idx="0">
                  <v>0.02</v>
                </pt>
                <pt idx="1">
                  <v>0.04</v>
                </pt>
                <pt idx="2">
                  <v>0.06</v>
                </pt>
                <pt idx="3">
                  <v>0.13</v>
                </pt>
                <pt idx="4">
                  <v>0.23</v>
                </pt>
                <pt idx="5">
                  <v>0.4</v>
                </pt>
                <pt idx="6">
                  <v>0.63</v>
                </pt>
                <pt idx="7">
                  <v>1.08</v>
                </pt>
                <pt idx="8">
                  <v>1.62</v>
                </pt>
                <pt idx="9">
                  <v>2.13</v>
                </pt>
                <pt idx="10">
                  <v>2.43</v>
                </pt>
                <pt idx="11">
                  <v>2.63</v>
                </pt>
                <pt idx="12">
                  <v>2.74</v>
                </pt>
                <pt idx="13">
                  <v>2.8</v>
                </pt>
                <pt idx="14">
                  <v>2.84</v>
                </pt>
                <pt idx="15">
                  <v>2.87</v>
                </pt>
                <pt idx="16">
                  <v>2.88</v>
                </pt>
                <pt idx="17">
                  <v>2.88</v>
                </pt>
                <pt idx="18">
                  <v>2.89</v>
                </pt>
                <pt idx="19">
                  <v>2.89</v>
                </pt>
                <pt idx="20">
                  <v>2.89</v>
                </pt>
              </numCache>
            </numRef>
          </val>
          <smooth val="1"/>
        </ser>
        <ser>
          <idx val="1"/>
          <order val="1"/>
          <tx>
            <strRef>
              <f>'AR, Tree, 0x7, 8nodes'!$F$226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8nodes'!$A$227:$A$247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8nodes'!$F$227:$F$247</f>
              <numCache>
                <formatCode>General</formatCode>
                <ptCount val="21"/>
                <pt idx="0">
                  <v>0.01980909848661838</v>
                </pt>
                <pt idx="1">
                  <v>0.03956307898269595</v>
                </pt>
                <pt idx="2">
                  <v>0.07890660363102983</v>
                </pt>
                <pt idx="3">
                  <v>0.1569422600475346</v>
                </pt>
                <pt idx="4">
                  <v>0.3104577810492868</v>
                </pt>
                <pt idx="5">
                  <v>0.6076479379766633</v>
                </pt>
                <pt idx="6">
                  <v>1.165487956582497</v>
                </pt>
                <pt idx="7">
                  <v>2.154384497877162</v>
                </pt>
                <pt idx="8">
                  <v>3.741819207942441</v>
                </pt>
                <pt idx="9">
                  <v>5.924532930660567</v>
                </pt>
                <pt idx="10">
                  <v>8.364024166051612</v>
                </pt>
                <pt idx="11">
                  <v>10.53244988738595</v>
                </pt>
                <pt idx="12">
                  <v>12.10109186767878</v>
                </pt>
                <pt idx="13">
                  <v>13.0747290092843</v>
                </pt>
                <pt idx="14">
                  <v>13.6227633741761</v>
                </pt>
                <pt idx="15">
                  <v>13.9143777224573</v>
                </pt>
                <pt idx="16">
                  <v>14.06491735956252</v>
                </pt>
                <pt idx="17">
                  <v>14.14141533797002</v>
                </pt>
                <pt idx="18">
                  <v>14.17997722795743</v>
                </pt>
                <pt idx="19">
                  <v>14.19933714575287</v>
                </pt>
                <pt idx="20">
                  <v>14.20903694225932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8nodes'!$E$260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8nodes'!$A$261:$A$281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8nodes'!$E$261:$E$281</f>
              <numCache>
                <formatCode>General</formatCode>
                <ptCount val="21"/>
                <pt idx="0">
                  <v>0.02</v>
                </pt>
                <pt idx="1">
                  <v>0.04</v>
                </pt>
                <pt idx="2">
                  <v>0.06</v>
                </pt>
                <pt idx="3">
                  <v>0.13</v>
                </pt>
                <pt idx="4">
                  <v>0.25</v>
                </pt>
                <pt idx="5">
                  <v>0.45</v>
                </pt>
                <pt idx="6">
                  <v>0.78</v>
                </pt>
                <pt idx="7">
                  <v>1.21</v>
                </pt>
                <pt idx="8">
                  <v>2.07</v>
                </pt>
                <pt idx="9">
                  <v>3.01</v>
                </pt>
                <pt idx="10">
                  <v>3.59</v>
                </pt>
                <pt idx="11">
                  <v>3.99</v>
                </pt>
                <pt idx="12">
                  <v>4.13</v>
                </pt>
                <pt idx="13">
                  <v>4.28</v>
                </pt>
                <pt idx="14">
                  <v>4.35</v>
                </pt>
                <pt idx="15">
                  <v>4.4</v>
                </pt>
                <pt idx="16">
                  <v>4.42</v>
                </pt>
                <pt idx="17">
                  <v>4.43</v>
                </pt>
                <pt idx="18">
                  <v>4.44</v>
                </pt>
                <pt idx="19">
                  <v>4.44</v>
                </pt>
                <pt idx="20">
                  <v>4.44</v>
                </pt>
              </numCache>
            </numRef>
          </val>
          <smooth val="1"/>
        </ser>
        <ser>
          <idx val="1"/>
          <order val="1"/>
          <tx>
            <strRef>
              <f>'AR, Tree, 0x7, 8nodes'!$F$260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8nodes'!$A$261:$A$281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8nodes'!$F$261:$F$281</f>
              <numCache>
                <formatCode>General</formatCode>
                <ptCount val="21"/>
                <pt idx="0">
                  <v>0.01981830189043341</v>
                </pt>
                <pt idx="1">
                  <v>0.03959980725351372</v>
                </pt>
                <pt idx="2">
                  <v>0.07905283755733711</v>
                </pt>
                <pt idx="3">
                  <v>0.1575218194403497</v>
                </pt>
                <pt idx="4">
                  <v>0.3127338993780144</v>
                </pt>
                <pt idx="5">
                  <v>0.6164291102016675</v>
                </pt>
                <pt idx="6">
                  <v>1.198226863029127</v>
                </pt>
                <pt idx="7">
                  <v>2.268981011078514</v>
                </pt>
                <pt idx="8">
                  <v>4.101614037262793</v>
                </pt>
                <pt idx="9">
                  <v>6.880112828551597</v>
                </pt>
                <pt idx="10">
                  <v>10.4040463153587</v>
                </pt>
                <pt idx="11">
                  <v>13.98573064001822</v>
                </pt>
                <pt idx="12">
                  <v>16.89361900027775</v>
                </pt>
                <pt idx="13">
                  <v>18.85362518977054</v>
                </pt>
                <pt idx="14">
                  <v>20.01468193154735</v>
                </pt>
                <pt idx="15">
                  <v>20.65053970709224</v>
                </pt>
                <pt idx="16">
                  <v>20.9838638395716</v>
                </pt>
                <pt idx="17">
                  <v>21.15459392137117</v>
                </pt>
                <pt idx="18">
                  <v>21.24100504557263</v>
                </pt>
                <pt idx="19">
                  <v>21.28447587501126</v>
                </pt>
                <pt idx="20">
                  <v>21.30627808207469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8nodes'!$E$294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8nodes'!$A$295:$A$315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8nodes'!$E$295:$E$315</f>
              <numCache>
                <formatCode>General</formatCode>
                <ptCount val="21"/>
                <pt idx="0">
                  <v>0.02</v>
                </pt>
                <pt idx="1">
                  <v>0.04</v>
                </pt>
                <pt idx="2">
                  <v>0.06</v>
                </pt>
                <pt idx="3">
                  <v>0.13</v>
                </pt>
                <pt idx="4">
                  <v>0.25</v>
                </pt>
                <pt idx="5">
                  <v>0.45</v>
                </pt>
                <pt idx="6">
                  <v>0.82</v>
                </pt>
                <pt idx="7">
                  <v>1.37</v>
                </pt>
                <pt idx="8">
                  <v>1.97</v>
                </pt>
                <pt idx="9">
                  <v>2.94</v>
                </pt>
                <pt idx="10">
                  <v>3.54</v>
                </pt>
                <pt idx="11">
                  <v>3.94</v>
                </pt>
                <pt idx="12">
                  <v>4.16</v>
                </pt>
                <pt idx="13">
                  <v>4.34</v>
                </pt>
                <pt idx="14">
                  <v>4.44</v>
                </pt>
                <pt idx="15">
                  <v>4.5</v>
                </pt>
                <pt idx="16">
                  <v>4.53</v>
                </pt>
                <pt idx="17">
                  <v>4.54</v>
                </pt>
                <pt idx="18">
                  <v>4.55</v>
                </pt>
                <pt idx="19">
                  <v>4.55</v>
                </pt>
                <pt idx="20">
                  <v>4.55</v>
                </pt>
              </numCache>
            </numRef>
          </val>
          <smooth val="1"/>
        </ser>
        <ser>
          <idx val="1"/>
          <order val="1"/>
          <tx>
            <strRef>
              <f>'AR, Tree, 0x7, 8nodes'!$F$294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8nodes'!$A$295:$A$315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8nodes'!$F$295:$F$315</f>
              <numCache>
                <formatCode>General</formatCode>
                <ptCount val="21"/>
                <pt idx="0">
                  <v>0.01981830189043341</v>
                </pt>
                <pt idx="1">
                  <v>0.03959980725351372</v>
                </pt>
                <pt idx="2">
                  <v>0.07905283755733711</v>
                </pt>
                <pt idx="3">
                  <v>0.1575218194403497</v>
                </pt>
                <pt idx="4">
                  <v>0.3127338993780144</v>
                </pt>
                <pt idx="5">
                  <v>0.6164291102016675</v>
                </pt>
                <pt idx="6">
                  <v>1.198226863029127</v>
                </pt>
                <pt idx="7">
                  <v>2.268981011078514</v>
                </pt>
                <pt idx="8">
                  <v>4.101614037262793</v>
                </pt>
                <pt idx="9">
                  <v>6.880112828551597</v>
                </pt>
                <pt idx="10">
                  <v>10.4040463153587</v>
                </pt>
                <pt idx="11">
                  <v>13.98573064001822</v>
                </pt>
                <pt idx="12">
                  <v>16.89361900027775</v>
                </pt>
                <pt idx="13">
                  <v>18.85362518977054</v>
                </pt>
                <pt idx="14">
                  <v>20.01468193154735</v>
                </pt>
                <pt idx="15">
                  <v>20.65053970709224</v>
                </pt>
                <pt idx="16">
                  <v>20.9838638395716</v>
                </pt>
                <pt idx="17">
                  <v>21.15459392137117</v>
                </pt>
                <pt idx="18">
                  <v>21.24100504557263</v>
                </pt>
                <pt idx="19">
                  <v>21.28447587501126</v>
                </pt>
                <pt idx="20">
                  <v>21.30627808207469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8nodes'!$E$328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8nodes'!$A$329:$A$349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8nodes'!$E$329:$E$349</f>
              <numCache>
                <formatCode>General</formatCode>
                <ptCount val="21"/>
                <pt idx="0">
                  <v>0.02</v>
                </pt>
                <pt idx="1">
                  <v>0.04</v>
                </pt>
                <pt idx="2">
                  <v>0.06</v>
                </pt>
                <pt idx="3">
                  <v>0.13</v>
                </pt>
                <pt idx="4">
                  <v>0.25</v>
                </pt>
                <pt idx="5">
                  <v>0.45</v>
                </pt>
                <pt idx="6">
                  <v>0.72</v>
                </pt>
                <pt idx="7">
                  <v>1.31</v>
                </pt>
                <pt idx="8">
                  <v>2.07</v>
                </pt>
                <pt idx="9">
                  <v>2.74</v>
                </pt>
                <pt idx="10">
                  <v>3.42</v>
                </pt>
                <pt idx="11">
                  <v>3.82</v>
                </pt>
                <pt idx="12">
                  <v>4.21</v>
                </pt>
                <pt idx="13">
                  <v>4.2</v>
                </pt>
                <pt idx="14">
                  <v>4.22</v>
                </pt>
                <pt idx="15">
                  <v>4.25</v>
                </pt>
                <pt idx="16">
                  <v>4.28</v>
                </pt>
                <pt idx="17">
                  <v>4.28</v>
                </pt>
                <pt idx="18">
                  <v>4.28</v>
                </pt>
                <pt idx="19">
                  <v>4.29</v>
                </pt>
                <pt idx="20">
                  <v>4.28</v>
                </pt>
              </numCache>
            </numRef>
          </val>
          <smooth val="1"/>
        </ser>
        <ser>
          <idx val="1"/>
          <order val="1"/>
          <tx>
            <strRef>
              <f>'AR, Tree, 0x7, 8nodes'!$F$328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8nodes'!$A$329:$A$349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8nodes'!$F$329:$F$349</f>
              <numCache>
                <formatCode>General</formatCode>
                <ptCount val="21"/>
                <pt idx="0">
                  <v>0.01981830189043341</v>
                </pt>
                <pt idx="1">
                  <v>0.03959980725351372</v>
                </pt>
                <pt idx="2">
                  <v>0.07905283755733711</v>
                </pt>
                <pt idx="3">
                  <v>0.1575218194403497</v>
                </pt>
                <pt idx="4">
                  <v>0.3127338993780144</v>
                </pt>
                <pt idx="5">
                  <v>0.6164291102016675</v>
                </pt>
                <pt idx="6">
                  <v>1.198226863029127</v>
                </pt>
                <pt idx="7">
                  <v>2.268981011078514</v>
                </pt>
                <pt idx="8">
                  <v>4.101614037262793</v>
                </pt>
                <pt idx="9">
                  <v>6.880112828551597</v>
                </pt>
                <pt idx="10">
                  <v>10.4040463153587</v>
                </pt>
                <pt idx="11">
                  <v>13.98573064001822</v>
                </pt>
                <pt idx="12">
                  <v>16.89361900027775</v>
                </pt>
                <pt idx="13">
                  <v>18.85362518977054</v>
                </pt>
                <pt idx="14">
                  <v>20.01468193154735</v>
                </pt>
                <pt idx="15">
                  <v>20.65053970709224</v>
                </pt>
                <pt idx="16">
                  <v>20.9838638395716</v>
                </pt>
                <pt idx="17">
                  <v>21.15459392137117</v>
                </pt>
                <pt idx="18">
                  <v>21.24100504557263</v>
                </pt>
                <pt idx="19">
                  <v>21.28447587501126</v>
                </pt>
                <pt idx="20">
                  <v>21.30627808207469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LL128,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8nodes'!$E$362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8nodes'!$A$363:$A$383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8nodes'!$E$363:$E$383</f>
              <numCache>
                <formatCode>General</formatCode>
                <ptCount val="21"/>
                <pt idx="0">
                  <v>0.02</v>
                </pt>
                <pt idx="1">
                  <v>0.03</v>
                </pt>
                <pt idx="2">
                  <v>0.06</v>
                </pt>
                <pt idx="3">
                  <v>0.11</v>
                </pt>
                <pt idx="4">
                  <v>0.21</v>
                </pt>
                <pt idx="5">
                  <v>0.41</v>
                </pt>
                <pt idx="6">
                  <v>0.77</v>
                </pt>
                <pt idx="7">
                  <v>1.38</v>
                </pt>
                <pt idx="8">
                  <v>2.15</v>
                </pt>
                <pt idx="9">
                  <v>2.93</v>
                </pt>
                <pt idx="10">
                  <v>3.62</v>
                </pt>
                <pt idx="11">
                  <v>4.07</v>
                </pt>
                <pt idx="12">
                  <v>7.17</v>
                </pt>
                <pt idx="13">
                  <v>9.52</v>
                </pt>
                <pt idx="14">
                  <v>10.05</v>
                </pt>
                <pt idx="15">
                  <v>10.34</v>
                </pt>
                <pt idx="16">
                  <v>12.22</v>
                </pt>
                <pt idx="17">
                  <v>13.23</v>
                </pt>
                <pt idx="18">
                  <v>13.52</v>
                </pt>
                <pt idx="19">
                  <v>13.61</v>
                </pt>
                <pt idx="20">
                  <v>13.66</v>
                </pt>
              </numCache>
            </numRef>
          </val>
          <smooth val="1"/>
        </ser>
        <ser>
          <idx val="1"/>
          <order val="1"/>
          <tx>
            <strRef>
              <f>'AR, Tree, 0x7, 8nodes'!$F$362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8nodes'!$A$363:$A$383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8nodes'!$F$363:$F$383</f>
              <numCache>
                <formatCode>General</formatCode>
                <ptCount val="21"/>
                <pt idx="0">
                  <v>0.01982198564693445</v>
                </pt>
                <pt idx="1">
                  <v>0.03961451766302132</v>
                </pt>
                <pt idx="2">
                  <v>0.0791114830052134</v>
                </pt>
                <pt idx="3">
                  <v>0.1577548434869697</v>
                </pt>
                <pt idx="4">
                  <v>0.3136537191055366</v>
                </pt>
                <pt idx="5">
                  <v>0.6200130548353903</v>
                </pt>
                <pt idx="6">
                  <v>1.21184327958122</v>
                </pt>
                <pt idx="7">
                  <v>2.318307385866492</v>
                </pt>
                <pt idx="8">
                  <v>4.265680742731454</v>
                </pt>
                <pt idx="9">
                  <v>7.354608713779696</v>
                </pt>
                <pt idx="10">
                  <v>11.5288180104003</v>
                </pt>
                <pt idx="11">
                  <v>16.09679733418765</v>
                </pt>
                <pt idx="12">
                  <v>20.07360656362252</v>
                </pt>
                <pt idx="13">
                  <v>22.90273477962726</v>
                </pt>
                <pt idx="14">
                  <v>24.63901822886719</v>
                </pt>
                <pt idx="15">
                  <v>25.60977179462413</v>
                </pt>
                <pt idx="16">
                  <v>26.12441008101762</v>
                </pt>
                <pt idx="17">
                  <v>26.38956434088326</v>
                </pt>
                <pt idx="18">
                  <v>26.52417018830757</v>
                </pt>
                <pt idx="19">
                  <v>26.59198936897825</v>
                </pt>
                <pt idx="20">
                  <v>26.62602918003894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LL128,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8nodes'!$E$396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8nodes'!$A$397:$A$417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8nodes'!$E$397:$E$417</f>
              <numCache>
                <formatCode>General</formatCode>
                <ptCount val="21"/>
                <pt idx="0">
                  <v>0.02</v>
                </pt>
                <pt idx="1">
                  <v>0.03</v>
                </pt>
                <pt idx="2">
                  <v>0.06</v>
                </pt>
                <pt idx="3">
                  <v>0.11</v>
                </pt>
                <pt idx="4">
                  <v>0.21</v>
                </pt>
                <pt idx="5">
                  <v>0.42</v>
                </pt>
                <pt idx="6">
                  <v>0.8</v>
                </pt>
                <pt idx="7">
                  <v>1.49</v>
                </pt>
                <pt idx="8">
                  <v>2.63</v>
                </pt>
                <pt idx="9">
                  <v>3.61</v>
                </pt>
                <pt idx="10">
                  <v>4.41</v>
                </pt>
                <pt idx="11">
                  <v>4.96</v>
                </pt>
                <pt idx="12">
                  <v>5.34</v>
                </pt>
                <pt idx="13">
                  <v>10.18</v>
                </pt>
                <pt idx="14">
                  <v>17.52</v>
                </pt>
                <pt idx="15">
                  <v>18.58</v>
                </pt>
                <pt idx="16">
                  <v>19.18</v>
                </pt>
                <pt idx="17">
                  <v>22.77</v>
                </pt>
                <pt idx="18">
                  <v>23.06</v>
                </pt>
                <pt idx="19">
                  <v>23.43</v>
                </pt>
                <pt idx="20">
                  <v>23.7</v>
                </pt>
              </numCache>
            </numRef>
          </val>
          <smooth val="1"/>
        </ser>
        <ser>
          <idx val="1"/>
          <order val="1"/>
          <tx>
            <strRef>
              <f>'AR, Tree, 0x7, 8nodes'!$F$396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8nodes'!$A$397:$A$417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8nodes'!$F$397:$F$417</f>
              <numCache>
                <formatCode>General</formatCode>
                <ptCount val="21"/>
                <pt idx="0">
                  <v>0.01982198564693445</v>
                </pt>
                <pt idx="1">
                  <v>0.03961451766302132</v>
                </pt>
                <pt idx="2">
                  <v>0.0791114830052134</v>
                </pt>
                <pt idx="3">
                  <v>0.1577548434869697</v>
                </pt>
                <pt idx="4">
                  <v>0.3136537191055366</v>
                </pt>
                <pt idx="5">
                  <v>0.6200130548353903</v>
                </pt>
                <pt idx="6">
                  <v>1.21184327958122</v>
                </pt>
                <pt idx="7">
                  <v>2.318307385866492</v>
                </pt>
                <pt idx="8">
                  <v>4.265680742731454</v>
                </pt>
                <pt idx="9">
                  <v>7.354608713779696</v>
                </pt>
                <pt idx="10">
                  <v>11.5288180104003</v>
                </pt>
                <pt idx="11">
                  <v>16.09679733418765</v>
                </pt>
                <pt idx="12">
                  <v>20.07360656362252</v>
                </pt>
                <pt idx="13">
                  <v>22.90273477962726</v>
                </pt>
                <pt idx="14">
                  <v>24.63901822886719</v>
                </pt>
                <pt idx="15">
                  <v>25.60977179462413</v>
                </pt>
                <pt idx="16">
                  <v>26.12441008101762</v>
                </pt>
                <pt idx="17">
                  <v>26.38956434088326</v>
                </pt>
                <pt idx="18">
                  <v>26.52417018830757</v>
                </pt>
                <pt idx="19">
                  <v>26.59198936897825</v>
                </pt>
                <pt idx="20">
                  <v>26.62602918003894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LL128,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8nodes'!$E$430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8nodes'!$A$431:$A$451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8nodes'!$E$431:$E$451</f>
              <numCache>
                <formatCode>General</formatCode>
                <ptCount val="21"/>
                <pt idx="0">
                  <v>0.02</v>
                </pt>
                <pt idx="1">
                  <v>0.03</v>
                </pt>
                <pt idx="2">
                  <v>0.06</v>
                </pt>
                <pt idx="3">
                  <v>0.11</v>
                </pt>
                <pt idx="4">
                  <v>0.21</v>
                </pt>
                <pt idx="5">
                  <v>0.42</v>
                </pt>
                <pt idx="6">
                  <v>0.83</v>
                </pt>
                <pt idx="7">
                  <v>1.58</v>
                </pt>
                <pt idx="8">
                  <v>2.93</v>
                </pt>
                <pt idx="9">
                  <v>5.09</v>
                </pt>
                <pt idx="10">
                  <v>6.62</v>
                </pt>
                <pt idx="11">
                  <v>7.62</v>
                </pt>
                <pt idx="12">
                  <v>8.289999999999999</v>
                </pt>
                <pt idx="13">
                  <v>8.75</v>
                </pt>
                <pt idx="14">
                  <v>16.48</v>
                </pt>
                <pt idx="15">
                  <v>28.78</v>
                </pt>
                <pt idx="16">
                  <v>30.07</v>
                </pt>
                <pt idx="17">
                  <v>30.55</v>
                </pt>
                <pt idx="18">
                  <v>34.4</v>
                </pt>
                <pt idx="19">
                  <v>35.79</v>
                </pt>
                <pt idx="20">
                  <v>35.53</v>
                </pt>
              </numCache>
            </numRef>
          </val>
          <smooth val="1"/>
        </ser>
        <ser>
          <idx val="1"/>
          <order val="1"/>
          <tx>
            <strRef>
              <f>'AR, Tree, 0x7, 8nodes'!$F$430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8nodes'!$A$431:$A$451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8nodes'!$F$431:$F$451</f>
              <numCache>
                <formatCode>General</formatCode>
                <ptCount val="21"/>
                <pt idx="0">
                  <v>0.01982689945304892</v>
                </pt>
                <pt idx="1">
                  <v>0.039634148551692</v>
                </pt>
                <pt idx="2">
                  <v>0.07918981242235171</v>
                </pt>
                <pt idx="3">
                  <v>0.1580666167833869</v>
                </pt>
                <pt idx="4">
                  <v>0.3148885953268413</v>
                </pt>
                <pt idx="5">
                  <v>0.6248569810049037</v>
                </pt>
                <pt idx="6">
                  <v>1.230487303461231</v>
                </pt>
                <pt idx="7">
                  <v>2.387511603737323</v>
                </pt>
                <pt idx="8">
                  <v>4.506004101982795</v>
                </pt>
                <pt idx="9">
                  <v>8.099388456227196</v>
                </pt>
                <pt idx="10">
                  <v>13.47053370725842</v>
                </pt>
                <pt idx="11">
                  <v>20.15271457681777</v>
                </pt>
                <pt idx="12">
                  <v>26.79987573822031</v>
                </pt>
                <pt idx="13">
                  <v>32.09257508860341</v>
                </pt>
                <pt idx="14">
                  <v>35.60875634678349</v>
                </pt>
                <pt idx="15">
                  <v>37.67252706721179</v>
                </pt>
                <pt idx="16">
                  <v>38.7967967901149</v>
                </pt>
                <pt idx="17">
                  <v>39.38447670110734</v>
                </pt>
                <pt idx="18">
                  <v>39.68504408170626</v>
                </pt>
                <pt idx="19">
                  <v>39.83705472386865</v>
                </pt>
                <pt idx="20">
                  <v>39.91349758211409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LL128,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8nodes'!$E$464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8nodes'!$A$465:$A$485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8nodes'!$E$465:$E$485</f>
              <numCache>
                <formatCode>General</formatCode>
                <ptCount val="21"/>
                <pt idx="0">
                  <v>0.02</v>
                </pt>
                <pt idx="1">
                  <v>0.03</v>
                </pt>
                <pt idx="2">
                  <v>0.06</v>
                </pt>
                <pt idx="3">
                  <v>0.11</v>
                </pt>
                <pt idx="4">
                  <v>0.21</v>
                </pt>
                <pt idx="5">
                  <v>0.42</v>
                </pt>
                <pt idx="6">
                  <v>0.8100000000000001</v>
                </pt>
                <pt idx="7">
                  <v>1.56</v>
                </pt>
                <pt idx="8">
                  <v>2.88</v>
                </pt>
                <pt idx="9">
                  <v>5.03</v>
                </pt>
                <pt idx="10">
                  <v>8.06</v>
                </pt>
                <pt idx="11">
                  <v>9.039999999999999</v>
                </pt>
                <pt idx="12">
                  <v>9.76</v>
                </pt>
                <pt idx="13">
                  <v>10.26</v>
                </pt>
                <pt idx="14">
                  <v>10.44</v>
                </pt>
                <pt idx="15">
                  <v>19.62</v>
                </pt>
                <pt idx="16">
                  <v>31.3</v>
                </pt>
                <pt idx="17">
                  <v>31.98</v>
                </pt>
                <pt idx="18">
                  <v>32.33</v>
                </pt>
                <pt idx="19">
                  <v>33.38</v>
                </pt>
                <pt idx="20">
                  <v>35.34</v>
                </pt>
              </numCache>
            </numRef>
          </val>
          <smooth val="1"/>
        </ser>
        <ser>
          <idx val="1"/>
          <order val="1"/>
          <tx>
            <strRef>
              <f>'AR, Tree, 0x7, 8nodes'!$F$464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8nodes'!$A$465:$A$485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8nodes'!$F$465:$F$485</f>
              <numCache>
                <formatCode>General</formatCode>
                <ptCount val="21"/>
                <pt idx="0">
                  <v>0.01982689945304892</v>
                </pt>
                <pt idx="1">
                  <v>0.039634148551692</v>
                </pt>
                <pt idx="2">
                  <v>0.07918981242235171</v>
                </pt>
                <pt idx="3">
                  <v>0.1580666167833869</v>
                </pt>
                <pt idx="4">
                  <v>0.3148885953268413</v>
                </pt>
                <pt idx="5">
                  <v>0.6248569810049037</v>
                </pt>
                <pt idx="6">
                  <v>1.230487303461231</v>
                </pt>
                <pt idx="7">
                  <v>2.387511603737323</v>
                </pt>
                <pt idx="8">
                  <v>4.506004101982795</v>
                </pt>
                <pt idx="9">
                  <v>8.099388456227196</v>
                </pt>
                <pt idx="10">
                  <v>13.47053370725842</v>
                </pt>
                <pt idx="11">
                  <v>20.15271457681777</v>
                </pt>
                <pt idx="12">
                  <v>26.79987573822031</v>
                </pt>
                <pt idx="13">
                  <v>32.09257508860341</v>
                </pt>
                <pt idx="14">
                  <v>35.60875634678349</v>
                </pt>
                <pt idx="15">
                  <v>37.67252706721179</v>
                </pt>
                <pt idx="16">
                  <v>38.7967967901149</v>
                </pt>
                <pt idx="17">
                  <v>39.38447670110734</v>
                </pt>
                <pt idx="18">
                  <v>39.68504408170626</v>
                </pt>
                <pt idx="19">
                  <v>39.83705472386865</v>
                </pt>
                <pt idx="20">
                  <v>39.91349758211409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LL128,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8nodes'!$E$498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8nodes'!$A$499:$A$519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8nodes'!$E$499:$E$519</f>
              <numCache>
                <formatCode>General</formatCode>
                <ptCount val="21"/>
                <pt idx="0">
                  <v>0.02</v>
                </pt>
                <pt idx="1">
                  <v>0.03</v>
                </pt>
                <pt idx="2">
                  <v>0.06</v>
                </pt>
                <pt idx="3">
                  <v>0.11</v>
                </pt>
                <pt idx="4">
                  <v>0.21</v>
                </pt>
                <pt idx="5">
                  <v>0.41</v>
                </pt>
                <pt idx="6">
                  <v>0.83</v>
                </pt>
                <pt idx="7">
                  <v>1.55</v>
                </pt>
                <pt idx="8">
                  <v>2.69</v>
                </pt>
                <pt idx="9">
                  <v>4.65</v>
                </pt>
                <pt idx="10">
                  <v>7.27</v>
                </pt>
                <pt idx="11">
                  <v>10.34</v>
                </pt>
                <pt idx="12">
                  <v>10.17</v>
                </pt>
                <pt idx="13">
                  <v>10.57</v>
                </pt>
                <pt idx="14">
                  <v>10.83</v>
                </pt>
                <pt idx="15">
                  <v>10.9</v>
                </pt>
                <pt idx="16">
                  <v>21.29</v>
                </pt>
                <pt idx="17">
                  <v>31.78</v>
                </pt>
                <pt idx="18">
                  <v>32.19</v>
                </pt>
                <pt idx="19">
                  <v>32.28</v>
                </pt>
                <pt idx="20">
                  <v>33.17</v>
                </pt>
              </numCache>
            </numRef>
          </val>
          <smooth val="1"/>
        </ser>
        <ser>
          <idx val="1"/>
          <order val="1"/>
          <tx>
            <strRef>
              <f>'AR, Tree, 0x7, 8nodes'!$F$498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8nodes'!$A$499:$A$519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8nodes'!$F$499:$F$519</f>
              <numCache>
                <formatCode>General</formatCode>
                <ptCount val="21"/>
                <pt idx="0">
                  <v>0.01982689945304892</v>
                </pt>
                <pt idx="1">
                  <v>0.039634148551692</v>
                </pt>
                <pt idx="2">
                  <v>0.07918981242235171</v>
                </pt>
                <pt idx="3">
                  <v>0.1580666167833869</v>
                </pt>
                <pt idx="4">
                  <v>0.3148885953268413</v>
                </pt>
                <pt idx="5">
                  <v>0.6248569810049037</v>
                </pt>
                <pt idx="6">
                  <v>1.230487303461231</v>
                </pt>
                <pt idx="7">
                  <v>2.387511603737323</v>
                </pt>
                <pt idx="8">
                  <v>4.506004101982795</v>
                </pt>
                <pt idx="9">
                  <v>8.099388456227196</v>
                </pt>
                <pt idx="10">
                  <v>13.47053370725842</v>
                </pt>
                <pt idx="11">
                  <v>20.15271457681777</v>
                </pt>
                <pt idx="12">
                  <v>26.79987573822031</v>
                </pt>
                <pt idx="13">
                  <v>32.09257508860341</v>
                </pt>
                <pt idx="14">
                  <v>35.60875634678349</v>
                </pt>
                <pt idx="15">
                  <v>37.67252706721179</v>
                </pt>
                <pt idx="16">
                  <v>38.7967967901149</v>
                </pt>
                <pt idx="17">
                  <v>39.38447670110734</v>
                </pt>
                <pt idx="18">
                  <v>39.68504408170626</v>
                </pt>
                <pt idx="19">
                  <v>39.83705472386865</v>
                </pt>
                <pt idx="20">
                  <v>39.91349758211409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16, Protocol: Simple,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16nodes'!$E$11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16nodes'!$A$12:$A$34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16nodes'!$E$12:$E$34</f>
              <numCache>
                <formatCode>General</formatCode>
                <ptCount val="23"/>
                <pt idx="0">
                  <v>0</v>
                </pt>
                <pt idx="1">
                  <v>0.01</v>
                </pt>
                <pt idx="2">
                  <v>0.01</v>
                </pt>
                <pt idx="3">
                  <v>0.02</v>
                </pt>
                <pt idx="4">
                  <v>0.05</v>
                </pt>
                <pt idx="5">
                  <v>0.1</v>
                </pt>
                <pt idx="6">
                  <v>0.19</v>
                </pt>
                <pt idx="7">
                  <v>0.34</v>
                </pt>
                <pt idx="8">
                  <v>0.58</v>
                </pt>
                <pt idx="9">
                  <v>1.05</v>
                </pt>
                <pt idx="10">
                  <v>1.91</v>
                </pt>
                <pt idx="11">
                  <v>3.76</v>
                </pt>
                <pt idx="12">
                  <v>6.3</v>
                </pt>
                <pt idx="13">
                  <v>10.95</v>
                </pt>
                <pt idx="14">
                  <v>16.03</v>
                </pt>
                <pt idx="15">
                  <v>21.33</v>
                </pt>
                <pt idx="16">
                  <v>25.8</v>
                </pt>
                <pt idx="17">
                  <v>26.04</v>
                </pt>
                <pt idx="18">
                  <v>25.99</v>
                </pt>
                <pt idx="19">
                  <v>26.06</v>
                </pt>
                <pt idx="20">
                  <v>26.06</v>
                </pt>
                <pt idx="21">
                  <v>26.08</v>
                </pt>
                <pt idx="22">
                  <v>26.12</v>
                </pt>
              </numCache>
            </numRef>
          </val>
          <smooth val="1"/>
        </ser>
        <ser>
          <idx val="1"/>
          <order val="1"/>
          <tx>
            <strRef>
              <f>'AR, Ring, 0x7, 16nodes'!$F$11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16nodes'!$A$12:$A$34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16nodes'!$F$12:$F$34</f>
              <numCache>
                <formatCode>General</formatCode>
                <ptCount val="23"/>
                <pt idx="0">
                  <v>0.004958679163624195</v>
                </pt>
                <pt idx="1">
                  <v>0.009916349670910084</v>
                </pt>
                <pt idx="2">
                  <v>0.01982866594725523</v>
                </pt>
                <pt idx="3">
                  <v>0.03964120815555125</v>
                </pt>
                <pt idx="4">
                  <v>0.07921799995774881</v>
                </pt>
                <pt idx="5">
                  <v>0.1581789615366601</v>
                </pt>
                <pt idx="6">
                  <v>0.3153347574431914</v>
                </pt>
                <pt idx="7">
                  <v>0.6266163066592987</v>
                </pt>
                <pt idx="8">
                  <v>1.237328405005385</v>
                </pt>
                <pt idx="9">
                  <v>2.413402022820348</v>
                </pt>
                <pt idx="10">
                  <v>4.599121401661882</v>
                </pt>
                <pt idx="11">
                  <v>8.405280628446581</v>
                </pt>
                <pt idx="12">
                  <v>14.33839274801256</v>
                </pt>
                <pt idx="13">
                  <v>22.15927894240523</v>
                </pt>
                <pt idx="14">
                  <v>30.46892774977109</v>
                </pt>
                <pt idx="15">
                  <v>37.50013462674349</v>
                </pt>
                <pt idx="16">
                  <v>42.39139036629163</v>
                </pt>
                <pt idx="17">
                  <v>42.39139036629163</v>
                </pt>
                <pt idx="18">
                  <v>42.39139036629163</v>
                </pt>
                <pt idx="19">
                  <v>42.39139036629163</v>
                </pt>
                <pt idx="20">
                  <v>42.39139036629163</v>
                </pt>
                <pt idx="21">
                  <v>42.39139036629163</v>
                </pt>
                <pt idx="22">
                  <v>42.39139036629163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16, Protocol: Simple,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16nodes'!$E$46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16nodes'!$A$47:$A$69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16nodes'!$E$47:$E$69</f>
              <numCache>
                <formatCode>General</formatCode>
                <ptCount val="23"/>
                <pt idx="0">
                  <v>0</v>
                </pt>
                <pt idx="1">
                  <v>0.01</v>
                </pt>
                <pt idx="2">
                  <v>0.01</v>
                </pt>
                <pt idx="3">
                  <v>0.02</v>
                </pt>
                <pt idx="4">
                  <v>0.05</v>
                </pt>
                <pt idx="5">
                  <v>0.1</v>
                </pt>
                <pt idx="6">
                  <v>0.19</v>
                </pt>
                <pt idx="7">
                  <v>0.36</v>
                </pt>
                <pt idx="8">
                  <v>0.66</v>
                </pt>
                <pt idx="9">
                  <v>1.12</v>
                </pt>
                <pt idx="10">
                  <v>2.02</v>
                </pt>
                <pt idx="11">
                  <v>3.68</v>
                </pt>
                <pt idx="12">
                  <v>7.14</v>
                </pt>
                <pt idx="13">
                  <v>11.68</v>
                </pt>
                <pt idx="14">
                  <v>19.82</v>
                </pt>
                <pt idx="15">
                  <v>28.39</v>
                </pt>
                <pt idx="16">
                  <v>36.43</v>
                </pt>
                <pt idx="17">
                  <v>42.13</v>
                </pt>
                <pt idx="18">
                  <v>42.27</v>
                </pt>
                <pt idx="19">
                  <v>42.38</v>
                </pt>
                <pt idx="20">
                  <v>42.36</v>
                </pt>
                <pt idx="21">
                  <v>42.43</v>
                </pt>
                <pt idx="22">
                  <v>42.48</v>
                </pt>
              </numCache>
            </numRef>
          </val>
          <smooth val="1"/>
        </ser>
        <ser>
          <idx val="1"/>
          <order val="1"/>
          <tx>
            <strRef>
              <f>'AR, Ring, 0x7, 16nodes'!$F$46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16nodes'!$A$47:$A$69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16nodes'!$F$47:$F$69</f>
              <numCache>
                <formatCode>General</formatCode>
                <ptCount val="23"/>
                <pt idx="0">
                  <v>0.004958679163624195</v>
                </pt>
                <pt idx="1">
                  <v>0.009916349670910084</v>
                </pt>
                <pt idx="2">
                  <v>0.01982866594725523</v>
                </pt>
                <pt idx="3">
                  <v>0.03964120815555125</v>
                </pt>
                <pt idx="4">
                  <v>0.07921799995774881</v>
                </pt>
                <pt idx="5">
                  <v>0.1581789615366601</v>
                </pt>
                <pt idx="6">
                  <v>0.3153347574431914</v>
                </pt>
                <pt idx="7">
                  <v>0.6266163066592987</v>
                </pt>
                <pt idx="8">
                  <v>1.237328405005385</v>
                </pt>
                <pt idx="9">
                  <v>2.413402022820348</v>
                </pt>
                <pt idx="10">
                  <v>4.599121401661882</v>
                </pt>
                <pt idx="11">
                  <v>8.405280628446581</v>
                </pt>
                <pt idx="12">
                  <v>14.33839274801256</v>
                </pt>
                <pt idx="13">
                  <v>22.15927894240523</v>
                </pt>
                <pt idx="14">
                  <v>30.46892774977109</v>
                </pt>
                <pt idx="15">
                  <v>37.50013462674349</v>
                </pt>
                <pt idx="16">
                  <v>42.39139036629163</v>
                </pt>
                <pt idx="17">
                  <v>45.3488864291242</v>
                </pt>
                <pt idx="18">
                  <v>45.3488864291242</v>
                </pt>
                <pt idx="19">
                  <v>45.3488864291242</v>
                </pt>
                <pt idx="20">
                  <v>45.3488864291242</v>
                </pt>
                <pt idx="21">
                  <v>45.3488864291242</v>
                </pt>
                <pt idx="22">
                  <v>45.3488864291242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16, Protocol: Simple,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16nodes'!$E$81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16nodes'!$A$82:$A$104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16nodes'!$E$82:$E$104</f>
              <numCache>
                <formatCode>General</formatCode>
                <ptCount val="23"/>
                <pt idx="0">
                  <v>0</v>
                </pt>
                <pt idx="1">
                  <v>0.01</v>
                </pt>
                <pt idx="2">
                  <v>0.01</v>
                </pt>
                <pt idx="3">
                  <v>0.02</v>
                </pt>
                <pt idx="4">
                  <v>0.05</v>
                </pt>
                <pt idx="5">
                  <v>0.1</v>
                </pt>
                <pt idx="6">
                  <v>0.19</v>
                </pt>
                <pt idx="7">
                  <v>0.33</v>
                </pt>
                <pt idx="8">
                  <v>0.64</v>
                </pt>
                <pt idx="9">
                  <v>1.2</v>
                </pt>
                <pt idx="10">
                  <v>2.07</v>
                </pt>
                <pt idx="11">
                  <v>3.77</v>
                </pt>
                <pt idx="12">
                  <v>6.81</v>
                </pt>
                <pt idx="13">
                  <v>13.08</v>
                </pt>
                <pt idx="14">
                  <v>20.04</v>
                </pt>
                <pt idx="15">
                  <v>32.39</v>
                </pt>
                <pt idx="16">
                  <v>41.48</v>
                </pt>
                <pt idx="17">
                  <v>44.99</v>
                </pt>
                <pt idx="18">
                  <v>45.43</v>
                </pt>
                <pt idx="19">
                  <v>45.74</v>
                </pt>
                <pt idx="20">
                  <v>45.99</v>
                </pt>
                <pt idx="21">
                  <v>46.11</v>
                </pt>
                <pt idx="22">
                  <v>46.22</v>
                </pt>
              </numCache>
            </numRef>
          </val>
          <smooth val="1"/>
        </ser>
        <ser>
          <idx val="1"/>
          <order val="1"/>
          <tx>
            <strRef>
              <f>'AR, Ring, 0x7, 16nodes'!$F$81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16nodes'!$A$82:$A$104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16nodes'!$F$82:$F$104</f>
              <numCache>
                <formatCode>General</formatCode>
                <ptCount val="23"/>
                <pt idx="0">
                  <v>0.004958679163624195</v>
                </pt>
                <pt idx="1">
                  <v>0.009916349670910084</v>
                </pt>
                <pt idx="2">
                  <v>0.01982866594725523</v>
                </pt>
                <pt idx="3">
                  <v>0.03964120815555125</v>
                </pt>
                <pt idx="4">
                  <v>0.07921799995774881</v>
                </pt>
                <pt idx="5">
                  <v>0.1581789615366601</v>
                </pt>
                <pt idx="6">
                  <v>0.3153347574431914</v>
                </pt>
                <pt idx="7">
                  <v>0.6266163066592987</v>
                </pt>
                <pt idx="8">
                  <v>1.237328405005385</v>
                </pt>
                <pt idx="9">
                  <v>2.413402022820348</v>
                </pt>
                <pt idx="10">
                  <v>4.599121401661882</v>
                </pt>
                <pt idx="11">
                  <v>8.405280628446581</v>
                </pt>
                <pt idx="12">
                  <v>14.33839274801256</v>
                </pt>
                <pt idx="13">
                  <v>22.15927894240523</v>
                </pt>
                <pt idx="14">
                  <v>30.46892774977109</v>
                </pt>
                <pt idx="15">
                  <v>37.50013462674349</v>
                </pt>
                <pt idx="16">
                  <v>42.39139036629163</v>
                </pt>
                <pt idx="17">
                  <v>45.3488864291242</v>
                </pt>
                <pt idx="18">
                  <v>46.98797822830688</v>
                </pt>
                <pt idx="19">
                  <v>46.98797822830688</v>
                </pt>
                <pt idx="20">
                  <v>46.98797822830688</v>
                </pt>
                <pt idx="21">
                  <v>46.98797822830688</v>
                </pt>
                <pt idx="22">
                  <v>46.98797822830688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Simple,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16nodes'!$E$116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16nodes'!$A$117:$A$139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16nodes'!$E$117:$E$139</f>
              <numCache>
                <formatCode>General</formatCode>
                <ptCount val="23"/>
                <pt idx="0">
                  <v>0</v>
                </pt>
                <pt idx="1">
                  <v>0.01</v>
                </pt>
                <pt idx="2">
                  <v>0.01</v>
                </pt>
                <pt idx="3">
                  <v>0.02</v>
                </pt>
                <pt idx="4">
                  <v>0.05</v>
                </pt>
                <pt idx="5">
                  <v>0.1</v>
                </pt>
                <pt idx="6">
                  <v>0.19</v>
                </pt>
                <pt idx="7">
                  <v>0.33</v>
                </pt>
                <pt idx="8">
                  <v>0.5</v>
                </pt>
                <pt idx="9">
                  <v>0.98</v>
                </pt>
                <pt idx="10">
                  <v>1.89</v>
                </pt>
                <pt idx="11">
                  <v>3.45</v>
                </pt>
                <pt idx="12">
                  <v>6.4</v>
                </pt>
                <pt idx="13">
                  <v>11.54</v>
                </pt>
                <pt idx="14">
                  <v>21.97</v>
                </pt>
                <pt idx="15">
                  <v>31.23</v>
                </pt>
                <pt idx="16">
                  <v>42.99</v>
                </pt>
                <pt idx="17">
                  <v>44.84</v>
                </pt>
                <pt idx="18">
                  <v>45.53</v>
                </pt>
                <pt idx="19">
                  <v>45.95</v>
                </pt>
                <pt idx="20">
                  <v>46.22</v>
                </pt>
                <pt idx="21">
                  <v>46.37</v>
                </pt>
                <pt idx="22">
                  <v>46.41</v>
                </pt>
              </numCache>
            </numRef>
          </val>
          <smooth val="1"/>
        </ser>
        <ser>
          <idx val="1"/>
          <order val="1"/>
          <tx>
            <strRef>
              <f>'AR, Ring, 0x7, 16nodes'!$F$116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16nodes'!$A$117:$A$139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16nodes'!$F$117:$F$139</f>
              <numCache>
                <formatCode>General</formatCode>
                <ptCount val="23"/>
                <pt idx="0">
                  <v>0.004958679163624195</v>
                </pt>
                <pt idx="1">
                  <v>0.009916349670910084</v>
                </pt>
                <pt idx="2">
                  <v>0.01982866594725523</v>
                </pt>
                <pt idx="3">
                  <v>0.03964120815555125</v>
                </pt>
                <pt idx="4">
                  <v>0.07921799995774881</v>
                </pt>
                <pt idx="5">
                  <v>0.1581789615366601</v>
                </pt>
                <pt idx="6">
                  <v>0.3153347574431914</v>
                </pt>
                <pt idx="7">
                  <v>0.6266163066592987</v>
                </pt>
                <pt idx="8">
                  <v>1.237328405005385</v>
                </pt>
                <pt idx="9">
                  <v>2.413402022820348</v>
                </pt>
                <pt idx="10">
                  <v>4.599121401661882</v>
                </pt>
                <pt idx="11">
                  <v>8.405280628446581</v>
                </pt>
                <pt idx="12">
                  <v>14.33839274801256</v>
                </pt>
                <pt idx="13">
                  <v>22.15927894240523</v>
                </pt>
                <pt idx="14">
                  <v>30.46892774977109</v>
                </pt>
                <pt idx="15">
                  <v>37.50013462674349</v>
                </pt>
                <pt idx="16">
                  <v>42.39139036629163</v>
                </pt>
                <pt idx="17">
                  <v>45.3488864291242</v>
                </pt>
                <pt idx="18">
                  <v>46.98797822830688</v>
                </pt>
                <pt idx="19">
                  <v>47.85277443748397</v>
                </pt>
                <pt idx="20">
                  <v>47.85277443748397</v>
                </pt>
                <pt idx="21">
                  <v>47.85277443748397</v>
                </pt>
                <pt idx="22">
                  <v>47.85277443748397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Simple,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16nodes'!$E$151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16nodes'!$A$152:$A$174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16nodes'!$E$152:$E$174</f>
              <numCache>
                <formatCode>General</formatCode>
                <ptCount val="23"/>
                <pt idx="0">
                  <v>0</v>
                </pt>
                <pt idx="1">
                  <v>0.01</v>
                </pt>
                <pt idx="2">
                  <v>0.01</v>
                </pt>
                <pt idx="3">
                  <v>0.02</v>
                </pt>
                <pt idx="4">
                  <v>0.05</v>
                </pt>
                <pt idx="5">
                  <v>0.1</v>
                </pt>
                <pt idx="6">
                  <v>0.19</v>
                </pt>
                <pt idx="7">
                  <v>0.33</v>
                </pt>
                <pt idx="8">
                  <v>0.5</v>
                </pt>
                <pt idx="9">
                  <v>0.5600000000000001</v>
                </pt>
                <pt idx="10">
                  <v>1.13</v>
                </pt>
                <pt idx="11">
                  <v>2.27</v>
                </pt>
                <pt idx="12">
                  <v>4.58</v>
                </pt>
                <pt idx="13">
                  <v>8.720000000000001</v>
                </pt>
                <pt idx="14">
                  <v>16.27</v>
                </pt>
                <pt idx="15">
                  <v>30.7</v>
                </pt>
                <pt idx="16">
                  <v>40.61</v>
                </pt>
                <pt idx="17">
                  <v>44.58</v>
                </pt>
                <pt idx="18">
                  <v>45.58</v>
                </pt>
                <pt idx="19">
                  <v>46.02</v>
                </pt>
                <pt idx="20">
                  <v>46.23</v>
                </pt>
                <pt idx="21">
                  <v>46.36</v>
                </pt>
                <pt idx="22">
                  <v>46.39</v>
                </pt>
              </numCache>
            </numRef>
          </val>
          <smooth val="1"/>
        </ser>
        <ser>
          <idx val="1"/>
          <order val="1"/>
          <tx>
            <strRef>
              <f>'AR, Ring, 0x7, 16nodes'!$F$151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16nodes'!$A$152:$A$174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0x7, 16nodes'!$F$152:$F$174</f>
              <numCache>
                <formatCode>General</formatCode>
                <ptCount val="23"/>
                <pt idx="0">
                  <v>0.004958679163624195</v>
                </pt>
                <pt idx="1">
                  <v>0.009916349670910084</v>
                </pt>
                <pt idx="2">
                  <v>0.01982866594725523</v>
                </pt>
                <pt idx="3">
                  <v>0.03964120815555125</v>
                </pt>
                <pt idx="4">
                  <v>0.07921799995774881</v>
                </pt>
                <pt idx="5">
                  <v>0.1581789615366601</v>
                </pt>
                <pt idx="6">
                  <v>0.3153347574431914</v>
                </pt>
                <pt idx="7">
                  <v>0.6266163066592987</v>
                </pt>
                <pt idx="8">
                  <v>1.237328405005385</v>
                </pt>
                <pt idx="9">
                  <v>2.413402022820348</v>
                </pt>
                <pt idx="10">
                  <v>4.599121401661882</v>
                </pt>
                <pt idx="11">
                  <v>8.405280628446581</v>
                </pt>
                <pt idx="12">
                  <v>14.33839274801256</v>
                </pt>
                <pt idx="13">
                  <v>22.15927894240523</v>
                </pt>
                <pt idx="14">
                  <v>30.46892774977109</v>
                </pt>
                <pt idx="15">
                  <v>37.50013462674349</v>
                </pt>
                <pt idx="16">
                  <v>42.39139036629163</v>
                </pt>
                <pt idx="17">
                  <v>45.3488864291242</v>
                </pt>
                <pt idx="18">
                  <v>46.98797822830688</v>
                </pt>
                <pt idx="19">
                  <v>47.85277443748397</v>
                </pt>
                <pt idx="20">
                  <v>48.29722060078138</v>
                </pt>
                <pt idx="21">
                  <v>48.29722060078138</v>
                </pt>
                <pt idx="22">
                  <v>48.29722060078138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16nodes'!$E$188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16nodes'!$A$189:$A$209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16nodes'!$E$189:$E$209</f>
              <numCache>
                <formatCode>General</formatCode>
                <ptCount val="21"/>
                <pt idx="0">
                  <v>0</v>
                </pt>
                <pt idx="1">
                  <v>0.01</v>
                </pt>
                <pt idx="2">
                  <v>0.02</v>
                </pt>
                <pt idx="3">
                  <v>0.04</v>
                </pt>
                <pt idx="4">
                  <v>0.07000000000000001</v>
                </pt>
                <pt idx="5">
                  <v>0.14</v>
                </pt>
                <pt idx="6">
                  <v>0.25</v>
                </pt>
                <pt idx="7">
                  <v>0.46</v>
                </pt>
                <pt idx="8">
                  <v>0.82</v>
                </pt>
                <pt idx="9">
                  <v>1.35</v>
                </pt>
                <pt idx="10">
                  <v>1.36</v>
                </pt>
                <pt idx="11">
                  <v>1.36</v>
                </pt>
                <pt idx="12">
                  <v>1.37</v>
                </pt>
                <pt idx="13">
                  <v>1.37</v>
                </pt>
                <pt idx="14">
                  <v>1.37</v>
                </pt>
                <pt idx="15">
                  <v>1.37</v>
                </pt>
                <pt idx="16">
                  <v>1.37</v>
                </pt>
                <pt idx="17">
                  <v>1.37</v>
                </pt>
                <pt idx="18">
                  <v>1.37</v>
                </pt>
                <pt idx="19">
                  <v>1.37</v>
                </pt>
                <pt idx="20">
                  <v>1.37</v>
                </pt>
              </numCache>
            </numRef>
          </val>
          <smooth val="1"/>
        </ser>
        <ser>
          <idx val="1"/>
          <order val="1"/>
          <tx>
            <strRef>
              <f>'AR, Ring, 0x7, 16nodes'!$F$188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16nodes'!$A$189:$A$209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16nodes'!$F$189:$F$209</f>
              <numCache>
                <formatCode>General</formatCode>
                <ptCount val="21"/>
                <pt idx="0">
                  <v>0.004958174835455042</v>
                </pt>
                <pt idx="1">
                  <v>0.009914332973627617</v>
                </pt>
                <pt idx="2">
                  <v>0.01982060407777562</v>
                </pt>
                <pt idx="3">
                  <v>0.0396089999788744</v>
                </pt>
                <pt idx="4">
                  <v>0.07908948076833007</v>
                </pt>
                <pt idx="5">
                  <v>0.1576673787215957</v>
                </pt>
                <pt idx="6">
                  <v>0.3133081533296493</v>
                </pt>
                <pt idx="7">
                  <v>0.6186642025026925</v>
                </pt>
                <pt idx="8">
                  <v>1.206701011410174</v>
                </pt>
                <pt idx="9">
                  <v>2.299560700830941</v>
                </pt>
                <pt idx="10">
                  <v>2.299560700830941</v>
                </pt>
                <pt idx="11">
                  <v>2.299560700830941</v>
                </pt>
                <pt idx="12">
                  <v>2.299560700830941</v>
                </pt>
                <pt idx="13">
                  <v>2.299560700830941</v>
                </pt>
                <pt idx="14">
                  <v>2.299560700830941</v>
                </pt>
                <pt idx="15">
                  <v>2.299560700830941</v>
                </pt>
                <pt idx="16">
                  <v>2.299560700830941</v>
                </pt>
                <pt idx="17">
                  <v>2.299560700830941</v>
                </pt>
                <pt idx="18">
                  <v>2.299560700830941</v>
                </pt>
                <pt idx="19">
                  <v>2.299560700830941</v>
                </pt>
                <pt idx="20">
                  <v>2.299560700830941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16nodes'!$E$223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16nodes'!$A$224:$A$244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16nodes'!$E$224:$E$244</f>
              <numCache>
                <formatCode>General</formatCode>
                <ptCount val="21"/>
                <pt idx="0">
                  <v>0</v>
                </pt>
                <pt idx="1">
                  <v>0.01</v>
                </pt>
                <pt idx="2">
                  <v>0.02</v>
                </pt>
                <pt idx="3">
                  <v>0.04</v>
                </pt>
                <pt idx="4">
                  <v>0.07000000000000001</v>
                </pt>
                <pt idx="5">
                  <v>0.14</v>
                </pt>
                <pt idx="6">
                  <v>0.25</v>
                </pt>
                <pt idx="7">
                  <v>0.49</v>
                </pt>
                <pt idx="8">
                  <v>0.89</v>
                </pt>
                <pt idx="9">
                  <v>1.56</v>
                </pt>
                <pt idx="10">
                  <v>2.53</v>
                </pt>
                <pt idx="11">
                  <v>2.57</v>
                </pt>
                <pt idx="12">
                  <v>2.58</v>
                </pt>
                <pt idx="13">
                  <v>2.59</v>
                </pt>
                <pt idx="14">
                  <v>2.6</v>
                </pt>
                <pt idx="15">
                  <v>2.6</v>
                </pt>
                <pt idx="16">
                  <v>2.6</v>
                </pt>
                <pt idx="17">
                  <v>2.6</v>
                </pt>
                <pt idx="18">
                  <v>2.6</v>
                </pt>
                <pt idx="19">
                  <v>2.6</v>
                </pt>
                <pt idx="20">
                  <v>2.59</v>
                </pt>
              </numCache>
            </numRef>
          </val>
          <smooth val="1"/>
        </ser>
        <ser>
          <idx val="1"/>
          <order val="1"/>
          <tx>
            <strRef>
              <f>'AR, Ring, 0x7, 16nodes'!$F$223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16nodes'!$A$224:$A$244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16nodes'!$F$224:$F$244</f>
              <numCache>
                <formatCode>General</formatCode>
                <ptCount val="21"/>
                <pt idx="0">
                  <v>0.004958174835455042</v>
                </pt>
                <pt idx="1">
                  <v>0.009914332973627617</v>
                </pt>
                <pt idx="2">
                  <v>0.01982060407777562</v>
                </pt>
                <pt idx="3">
                  <v>0.0396089999788744</v>
                </pt>
                <pt idx="4">
                  <v>0.07908948076833007</v>
                </pt>
                <pt idx="5">
                  <v>0.1576673787215957</v>
                </pt>
                <pt idx="6">
                  <v>0.3133081533296493</v>
                </pt>
                <pt idx="7">
                  <v>0.6186642025026925</v>
                </pt>
                <pt idx="8">
                  <v>1.206701011410174</v>
                </pt>
                <pt idx="9">
                  <v>2.299560700830941</v>
                </pt>
                <pt idx="10">
                  <v>4.202640314223291</v>
                </pt>
                <pt idx="11">
                  <v>4.202640314223291</v>
                </pt>
                <pt idx="12">
                  <v>4.202640314223291</v>
                </pt>
                <pt idx="13">
                  <v>4.202640314223291</v>
                </pt>
                <pt idx="14">
                  <v>4.202640314223291</v>
                </pt>
                <pt idx="15">
                  <v>4.202640314223291</v>
                </pt>
                <pt idx="16">
                  <v>4.202640314223291</v>
                </pt>
                <pt idx="17">
                  <v>4.202640314223291</v>
                </pt>
                <pt idx="18">
                  <v>4.202640314223291</v>
                </pt>
                <pt idx="19">
                  <v>4.202640314223291</v>
                </pt>
                <pt idx="20">
                  <v>4.202640314223291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16nodes'!$E$258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16nodes'!$A$259:$A$279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16nodes'!$E$259:$E$279</f>
              <numCache>
                <formatCode>General</formatCode>
                <ptCount val="21"/>
                <pt idx="0">
                  <v>0</v>
                </pt>
                <pt idx="1">
                  <v>0.01</v>
                </pt>
                <pt idx="2">
                  <v>0.02</v>
                </pt>
                <pt idx="3">
                  <v>0.04</v>
                </pt>
                <pt idx="4">
                  <v>0.07000000000000001</v>
                </pt>
                <pt idx="5">
                  <v>0.14</v>
                </pt>
                <pt idx="6">
                  <v>0.25</v>
                </pt>
                <pt idx="7">
                  <v>0.48</v>
                </pt>
                <pt idx="8">
                  <v>0.93</v>
                </pt>
                <pt idx="9">
                  <v>1.67</v>
                </pt>
                <pt idx="10">
                  <v>2.89</v>
                </pt>
                <pt idx="11">
                  <v>4.17</v>
                </pt>
                <pt idx="12">
                  <v>4.25</v>
                </pt>
                <pt idx="13">
                  <v>4.3</v>
                </pt>
                <pt idx="14">
                  <v>4.32</v>
                </pt>
                <pt idx="15">
                  <v>4.33</v>
                </pt>
                <pt idx="16">
                  <v>4.33</v>
                </pt>
                <pt idx="17">
                  <v>4.33</v>
                </pt>
                <pt idx="18">
                  <v>4.33</v>
                </pt>
                <pt idx="19">
                  <v>4.34</v>
                </pt>
                <pt idx="20">
                  <v>4.34</v>
                </pt>
              </numCache>
            </numRef>
          </val>
          <smooth val="1"/>
        </ser>
        <ser>
          <idx val="1"/>
          <order val="1"/>
          <tx>
            <strRef>
              <f>'AR, Ring, 0x7, 16nodes'!$F$258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16nodes'!$A$259:$A$279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16nodes'!$F$259:$F$279</f>
              <numCache>
                <formatCode>General</formatCode>
                <ptCount val="21"/>
                <pt idx="0">
                  <v>0.004958174835455042</v>
                </pt>
                <pt idx="1">
                  <v>0.009914332973627617</v>
                </pt>
                <pt idx="2">
                  <v>0.01982060407777562</v>
                </pt>
                <pt idx="3">
                  <v>0.0396089999788744</v>
                </pt>
                <pt idx="4">
                  <v>0.07908948076833007</v>
                </pt>
                <pt idx="5">
                  <v>0.1576673787215957</v>
                </pt>
                <pt idx="6">
                  <v>0.3133081533296493</v>
                </pt>
                <pt idx="7">
                  <v>0.6186642025026925</v>
                </pt>
                <pt idx="8">
                  <v>1.206701011410174</v>
                </pt>
                <pt idx="9">
                  <v>2.299560700830941</v>
                </pt>
                <pt idx="10">
                  <v>4.202640314223291</v>
                </pt>
                <pt idx="11">
                  <v>7.169196374006282</v>
                </pt>
                <pt idx="12">
                  <v>7.169196374006282</v>
                </pt>
                <pt idx="13">
                  <v>7.169196374006282</v>
                </pt>
                <pt idx="14">
                  <v>7.169196374006282</v>
                </pt>
                <pt idx="15">
                  <v>7.169196374006282</v>
                </pt>
                <pt idx="16">
                  <v>7.169196374006282</v>
                </pt>
                <pt idx="17">
                  <v>7.169196374006282</v>
                </pt>
                <pt idx="18">
                  <v>7.169196374006282</v>
                </pt>
                <pt idx="19">
                  <v>7.169196374006282</v>
                </pt>
                <pt idx="20">
                  <v>7.169196374006282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16nodes'!$E$293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16nodes'!$A$294:$A$314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16nodes'!$E$294:$E$314</f>
              <numCache>
                <formatCode>General</formatCode>
                <ptCount val="21"/>
                <pt idx="0">
                  <v>0</v>
                </pt>
                <pt idx="1">
                  <v>0.01</v>
                </pt>
                <pt idx="2">
                  <v>0.02</v>
                </pt>
                <pt idx="3">
                  <v>0.04</v>
                </pt>
                <pt idx="4">
                  <v>0.07000000000000001</v>
                </pt>
                <pt idx="5">
                  <v>0.14</v>
                </pt>
                <pt idx="6">
                  <v>0.25</v>
                </pt>
                <pt idx="7">
                  <v>0.48</v>
                </pt>
                <pt idx="8">
                  <v>0.9399999999999999</v>
                </pt>
                <pt idx="9">
                  <v>1.65</v>
                </pt>
                <pt idx="10">
                  <v>2.89</v>
                </pt>
                <pt idx="11">
                  <v>4.39</v>
                </pt>
                <pt idx="12">
                  <v>4.79</v>
                </pt>
                <pt idx="13">
                  <v>4.89</v>
                </pt>
                <pt idx="14">
                  <v>4.94</v>
                </pt>
                <pt idx="15">
                  <v>4.96</v>
                </pt>
                <pt idx="16">
                  <v>4.97</v>
                </pt>
                <pt idx="17">
                  <v>4.98</v>
                </pt>
                <pt idx="18">
                  <v>4.98</v>
                </pt>
                <pt idx="19">
                  <v>4.99</v>
                </pt>
                <pt idx="20">
                  <v>4.99</v>
                </pt>
              </numCache>
            </numRef>
          </val>
          <smooth val="1"/>
        </ser>
        <ser>
          <idx val="1"/>
          <order val="1"/>
          <tx>
            <strRef>
              <f>'AR, Ring, 0x7, 16nodes'!$F$293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16nodes'!$A$294:$A$314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16nodes'!$F$294:$F$314</f>
              <numCache>
                <formatCode>General</formatCode>
                <ptCount val="21"/>
                <pt idx="0">
                  <v>0.004958174835455042</v>
                </pt>
                <pt idx="1">
                  <v>0.009914332973627617</v>
                </pt>
                <pt idx="2">
                  <v>0.01982060407777562</v>
                </pt>
                <pt idx="3">
                  <v>0.0396089999788744</v>
                </pt>
                <pt idx="4">
                  <v>0.07908948076833007</v>
                </pt>
                <pt idx="5">
                  <v>0.1576673787215957</v>
                </pt>
                <pt idx="6">
                  <v>0.3133081533296493</v>
                </pt>
                <pt idx="7">
                  <v>0.6186642025026925</v>
                </pt>
                <pt idx="8">
                  <v>1.206701011410174</v>
                </pt>
                <pt idx="9">
                  <v>2.299560700830941</v>
                </pt>
                <pt idx="10">
                  <v>4.202640314223291</v>
                </pt>
                <pt idx="11">
                  <v>7.169196374006282</v>
                </pt>
                <pt idx="12">
                  <v>11.07963947120261</v>
                </pt>
                <pt idx="13">
                  <v>11.07963947120261</v>
                </pt>
                <pt idx="14">
                  <v>11.07963947120261</v>
                </pt>
                <pt idx="15">
                  <v>11.07963947120261</v>
                </pt>
                <pt idx="16">
                  <v>11.07963947120261</v>
                </pt>
                <pt idx="17">
                  <v>11.07963947120261</v>
                </pt>
                <pt idx="18">
                  <v>11.07963947120261</v>
                </pt>
                <pt idx="19">
                  <v>11.07963947120261</v>
                </pt>
                <pt idx="20">
                  <v>11.07963947120261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16nodes'!$E$328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16nodes'!$A$329:$A$349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16nodes'!$E$329:$E$349</f>
              <numCache>
                <formatCode>General</formatCode>
                <ptCount val="21"/>
                <pt idx="0">
                  <v>0</v>
                </pt>
                <pt idx="1">
                  <v>0.01</v>
                </pt>
                <pt idx="2">
                  <v>0.02</v>
                </pt>
                <pt idx="3">
                  <v>0.04</v>
                </pt>
                <pt idx="4">
                  <v>0.07000000000000001</v>
                </pt>
                <pt idx="5">
                  <v>0.14</v>
                </pt>
                <pt idx="6">
                  <v>0.25</v>
                </pt>
                <pt idx="7">
                  <v>0.48</v>
                </pt>
                <pt idx="8">
                  <v>0.93</v>
                </pt>
                <pt idx="9">
                  <v>1.65</v>
                </pt>
                <pt idx="10">
                  <v>2.08</v>
                </pt>
                <pt idx="11">
                  <v>3.45</v>
                </pt>
                <pt idx="12">
                  <v>4.6</v>
                </pt>
                <pt idx="13">
                  <v>4.91</v>
                </pt>
                <pt idx="14">
                  <v>4.97</v>
                </pt>
                <pt idx="15">
                  <v>4.99</v>
                </pt>
                <pt idx="16">
                  <v>5.02</v>
                </pt>
                <pt idx="17">
                  <v>5.05</v>
                </pt>
                <pt idx="18">
                  <v>5.06</v>
                </pt>
                <pt idx="19">
                  <v>5.06</v>
                </pt>
                <pt idx="20">
                  <v>5.07</v>
                </pt>
              </numCache>
            </numRef>
          </val>
          <smooth val="1"/>
        </ser>
        <ser>
          <idx val="1"/>
          <order val="1"/>
          <tx>
            <strRef>
              <f>'AR, Ring, 0x7, 16nodes'!$F$328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16nodes'!$A$329:$A$349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16nodes'!$F$329:$F$349</f>
              <numCache>
                <formatCode>General</formatCode>
                <ptCount val="21"/>
                <pt idx="0">
                  <v>0.004958174835455042</v>
                </pt>
                <pt idx="1">
                  <v>0.009914332973627617</v>
                </pt>
                <pt idx="2">
                  <v>0.01982060407777562</v>
                </pt>
                <pt idx="3">
                  <v>0.0396089999788744</v>
                </pt>
                <pt idx="4">
                  <v>0.07908948076833007</v>
                </pt>
                <pt idx="5">
                  <v>0.1576673787215957</v>
                </pt>
                <pt idx="6">
                  <v>0.3133081533296493</v>
                </pt>
                <pt idx="7">
                  <v>0.6186642025026925</v>
                </pt>
                <pt idx="8">
                  <v>1.206701011410174</v>
                </pt>
                <pt idx="9">
                  <v>2.299560700830941</v>
                </pt>
                <pt idx="10">
                  <v>4.202640314223291</v>
                </pt>
                <pt idx="11">
                  <v>7.169196374006282</v>
                </pt>
                <pt idx="12">
                  <v>11.07963947120261</v>
                </pt>
                <pt idx="13">
                  <v>15.23446387488555</v>
                </pt>
                <pt idx="14">
                  <v>15.23446387488555</v>
                </pt>
                <pt idx="15">
                  <v>15.23446387488555</v>
                </pt>
                <pt idx="16">
                  <v>15.23446387488555</v>
                </pt>
                <pt idx="17">
                  <v>15.23446387488555</v>
                </pt>
                <pt idx="18">
                  <v>15.23446387488555</v>
                </pt>
                <pt idx="19">
                  <v>15.23446387488555</v>
                </pt>
                <pt idx="20">
                  <v>15.23446387488555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LL128,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16nodes'!$E$363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16nodes'!$A$364:$A$384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16nodes'!$E$364:$E$384</f>
              <numCache>
                <formatCode>General</formatCode>
                <ptCount val="21"/>
                <pt idx="0">
                  <v>0</v>
                </pt>
                <pt idx="1">
                  <v>0.01</v>
                </pt>
                <pt idx="2">
                  <v>0.02</v>
                </pt>
                <pt idx="3">
                  <v>0.03</v>
                </pt>
                <pt idx="4">
                  <v>0.06</v>
                </pt>
                <pt idx="5">
                  <v>0.12</v>
                </pt>
                <pt idx="6">
                  <v>0.23</v>
                </pt>
                <pt idx="7">
                  <v>0.43</v>
                </pt>
                <pt idx="8">
                  <v>0.83</v>
                </pt>
                <pt idx="9">
                  <v>1.54</v>
                </pt>
                <pt idx="10">
                  <v>2.73</v>
                </pt>
                <pt idx="11">
                  <v>4.9</v>
                </pt>
                <pt idx="12">
                  <v>7.2</v>
                </pt>
                <pt idx="13">
                  <v>10.47</v>
                </pt>
                <pt idx="14">
                  <v>10.49</v>
                </pt>
                <pt idx="15">
                  <v>10.52</v>
                </pt>
                <pt idx="16">
                  <v>10.54</v>
                </pt>
                <pt idx="17">
                  <v>10.8</v>
                </pt>
                <pt idx="18">
                  <v>10.81</v>
                </pt>
                <pt idx="19">
                  <v>10.9</v>
                </pt>
                <pt idx="20">
                  <v>10.92</v>
                </pt>
              </numCache>
            </numRef>
          </val>
          <smooth val="1"/>
        </ser>
        <ser>
          <idx val="1"/>
          <order val="1"/>
          <tx>
            <strRef>
              <f>'AR, Ring, 0x7, 16nodes'!$F$363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16nodes'!$A$364:$A$384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16nodes'!$F$364:$F$384</f>
              <numCache>
                <formatCode>General</formatCode>
                <ptCount val="21"/>
                <pt idx="0">
                  <v>0.004958645538554366</v>
                </pt>
                <pt idx="1">
                  <v>0.009916215198900066</v>
                </pt>
                <pt idx="2">
                  <v>0.01982812828526258</v>
                </pt>
                <pt idx="3">
                  <v>0.03963905931425023</v>
                </pt>
                <pt idx="4">
                  <v>0.07920941901860012</v>
                </pt>
                <pt idx="5">
                  <v>0.1581447527533945</v>
                </pt>
                <pt idx="6">
                  <v>0.3151988351891871</v>
                </pt>
                <pt idx="7">
                  <v>0.62607981186356</v>
                </pt>
                <pt idx="8">
                  <v>1.235238291603468</v>
                </pt>
                <pt idx="9">
                  <v>2.40546308337251</v>
                </pt>
                <pt idx="10">
                  <v>4.570376490440226</v>
                </pt>
                <pt idx="11">
                  <v>8.30976486009715</v>
                </pt>
                <pt idx="12">
                  <v>14.06265145617389</v>
                </pt>
                <pt idx="13">
                  <v>21.50753007632196</v>
                </pt>
                <pt idx="14">
                  <v>21.50753007632196</v>
                </pt>
                <pt idx="15">
                  <v>21.50753007632196</v>
                </pt>
                <pt idx="16">
                  <v>21.50753007632196</v>
                </pt>
                <pt idx="17">
                  <v>22.24352363183815</v>
                </pt>
                <pt idx="18">
                  <v>22.24352363183815</v>
                </pt>
                <pt idx="19">
                  <v>22.43546052912339</v>
                </pt>
                <pt idx="20">
                  <v>22.53267651182455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LL128,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16nodes'!$E$398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16nodes'!$A$399:$A$419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16nodes'!$E$399:$E$419</f>
              <numCache>
                <formatCode>General</formatCode>
                <ptCount val="21"/>
                <pt idx="0">
                  <v>0</v>
                </pt>
                <pt idx="1">
                  <v>0.01</v>
                </pt>
                <pt idx="2">
                  <v>0.02</v>
                </pt>
                <pt idx="3">
                  <v>0.03</v>
                </pt>
                <pt idx="4">
                  <v>0.06</v>
                </pt>
                <pt idx="5">
                  <v>0.12</v>
                </pt>
                <pt idx="6">
                  <v>0.24</v>
                </pt>
                <pt idx="7">
                  <v>0.46</v>
                </pt>
                <pt idx="8">
                  <v>0.86</v>
                </pt>
                <pt idx="9">
                  <v>1.62</v>
                </pt>
                <pt idx="10">
                  <v>3.01</v>
                </pt>
                <pt idx="11">
                  <v>5.31</v>
                </pt>
                <pt idx="12">
                  <v>9.369999999999999</v>
                </pt>
                <pt idx="13">
                  <v>14.19</v>
                </pt>
                <pt idx="14">
                  <v>19.83</v>
                </pt>
                <pt idx="15">
                  <v>20.02</v>
                </pt>
                <pt idx="16">
                  <v>20.11</v>
                </pt>
                <pt idx="17">
                  <v>20.24</v>
                </pt>
                <pt idx="18">
                  <v>20.73</v>
                </pt>
                <pt idx="19">
                  <v>20.69</v>
                </pt>
                <pt idx="20">
                  <v>20.91</v>
                </pt>
              </numCache>
            </numRef>
          </val>
          <smooth val="1"/>
        </ser>
        <ser>
          <idx val="1"/>
          <order val="1"/>
          <tx>
            <strRef>
              <f>'AR, Ring, 0x7, 16nodes'!$F$398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16nodes'!$A$399:$A$419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16nodes'!$F$399:$F$419</f>
              <numCache>
                <formatCode>General</formatCode>
                <ptCount val="21"/>
                <pt idx="0">
                  <v>0.004958645538554366</v>
                </pt>
                <pt idx="1">
                  <v>0.009916215198900066</v>
                </pt>
                <pt idx="2">
                  <v>0.01982812828526258</v>
                </pt>
                <pt idx="3">
                  <v>0.03963905931425023</v>
                </pt>
                <pt idx="4">
                  <v>0.07920941901860012</v>
                </pt>
                <pt idx="5">
                  <v>0.1581447527533945</v>
                </pt>
                <pt idx="6">
                  <v>0.3151988351891871</v>
                </pt>
                <pt idx="7">
                  <v>0.62607981186356</v>
                </pt>
                <pt idx="8">
                  <v>1.235238291603468</v>
                </pt>
                <pt idx="9">
                  <v>2.40546308337251</v>
                </pt>
                <pt idx="10">
                  <v>4.570376490440226</v>
                </pt>
                <pt idx="11">
                  <v>8.30976486009715</v>
                </pt>
                <pt idx="12">
                  <v>14.06265145617389</v>
                </pt>
                <pt idx="13">
                  <v>21.50753007632196</v>
                </pt>
                <pt idx="14">
                  <v>29.25016381415081</v>
                </pt>
                <pt idx="15">
                  <v>29.25016381415081</v>
                </pt>
                <pt idx="16">
                  <v>29.25016381415081</v>
                </pt>
                <pt idx="17">
                  <v>29.25016381415081</v>
                </pt>
                <pt idx="18">
                  <v>29.92343438437079</v>
                </pt>
                <pt idx="19">
                  <v>29.92343438437079</v>
                </pt>
                <pt idx="20">
                  <v>30.09662290558804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LL128,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16nodes'!$E$433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16nodes'!$A$434:$A$454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16nodes'!$E$434:$E$454</f>
              <numCache>
                <formatCode>General</formatCode>
                <ptCount val="21"/>
                <pt idx="0">
                  <v>0</v>
                </pt>
                <pt idx="1">
                  <v>0.01</v>
                </pt>
                <pt idx="2">
                  <v>0.02</v>
                </pt>
                <pt idx="3">
                  <v>0.03</v>
                </pt>
                <pt idx="4">
                  <v>0.06</v>
                </pt>
                <pt idx="5">
                  <v>0.13</v>
                </pt>
                <pt idx="6">
                  <v>0.24</v>
                </pt>
                <pt idx="7">
                  <v>0.47</v>
                </pt>
                <pt idx="8">
                  <v>0.89</v>
                </pt>
                <pt idx="9">
                  <v>1.65</v>
                </pt>
                <pt idx="10">
                  <v>3.14</v>
                </pt>
                <pt idx="11">
                  <v>5.78</v>
                </pt>
                <pt idx="12">
                  <v>10.11</v>
                </pt>
                <pt idx="13">
                  <v>17.22</v>
                </pt>
                <pt idx="14">
                  <v>24.95</v>
                </pt>
                <pt idx="15">
                  <v>33.25</v>
                </pt>
                <pt idx="16">
                  <v>33.69</v>
                </pt>
                <pt idx="17">
                  <v>33.95</v>
                </pt>
                <pt idx="18">
                  <v>34.1</v>
                </pt>
                <pt idx="19">
                  <v>34.79</v>
                </pt>
                <pt idx="20">
                  <v>34.84</v>
                </pt>
              </numCache>
            </numRef>
          </val>
          <smooth val="1"/>
        </ser>
        <ser>
          <idx val="1"/>
          <order val="1"/>
          <tx>
            <strRef>
              <f>'AR, Ring, 0x7, 16nodes'!$F$433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16nodes'!$A$434:$A$454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16nodes'!$F$434:$F$454</f>
              <numCache>
                <formatCode>General</formatCode>
                <ptCount val="21"/>
                <pt idx="0">
                  <v>0.004958645538554366</v>
                </pt>
                <pt idx="1">
                  <v>0.009916215198900066</v>
                </pt>
                <pt idx="2">
                  <v>0.01982812828526258</v>
                </pt>
                <pt idx="3">
                  <v>0.03963905931425023</v>
                </pt>
                <pt idx="4">
                  <v>0.07920941901860012</v>
                </pt>
                <pt idx="5">
                  <v>0.1581447527533945</v>
                </pt>
                <pt idx="6">
                  <v>0.3151988351891871</v>
                </pt>
                <pt idx="7">
                  <v>0.62607981186356</v>
                </pt>
                <pt idx="8">
                  <v>1.235238291603468</v>
                </pt>
                <pt idx="9">
                  <v>2.40546308337251</v>
                </pt>
                <pt idx="10">
                  <v>4.570376490440226</v>
                </pt>
                <pt idx="11">
                  <v>8.30976486009715</v>
                </pt>
                <pt idx="12">
                  <v>14.06265145617389</v>
                </pt>
                <pt idx="13">
                  <v>21.50753007632196</v>
                </pt>
                <pt idx="14">
                  <v>29.25016381415081</v>
                </pt>
                <pt idx="15">
                  <v>35.67085352007197</v>
                </pt>
                <pt idx="16">
                  <v>35.67085352007197</v>
                </pt>
                <pt idx="17">
                  <v>35.67085352007197</v>
                </pt>
                <pt idx="18">
                  <v>35.67085352007197</v>
                </pt>
                <pt idx="19">
                  <v>36.16704166448771</v>
                </pt>
                <pt idx="20">
                  <v>36.16704166448771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LL128,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16nodes'!$E$468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16nodes'!$A$469:$A$489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16nodes'!$E$469:$E$489</f>
              <numCache>
                <formatCode>General</formatCode>
                <ptCount val="21"/>
                <pt idx="0">
                  <v>0</v>
                </pt>
                <pt idx="1">
                  <v>0.01</v>
                </pt>
                <pt idx="2">
                  <v>0.02</v>
                </pt>
                <pt idx="3">
                  <v>0.03</v>
                </pt>
                <pt idx="4">
                  <v>0.06</v>
                </pt>
                <pt idx="5">
                  <v>0.13</v>
                </pt>
                <pt idx="6">
                  <v>0.24</v>
                </pt>
                <pt idx="7">
                  <v>0.43</v>
                </pt>
                <pt idx="8">
                  <v>0.84</v>
                </pt>
                <pt idx="9">
                  <v>1.63</v>
                </pt>
                <pt idx="10">
                  <v>3.08</v>
                </pt>
                <pt idx="11">
                  <v>5.82</v>
                </pt>
                <pt idx="12">
                  <v>10.61</v>
                </pt>
                <pt idx="13">
                  <v>18.13</v>
                </pt>
                <pt idx="14">
                  <v>27.93</v>
                </pt>
                <pt idx="15">
                  <v>36.71</v>
                </pt>
                <pt idx="16">
                  <v>41.21</v>
                </pt>
                <pt idx="17">
                  <v>41.95</v>
                </pt>
                <pt idx="18">
                  <v>41.97</v>
                </pt>
                <pt idx="19">
                  <v>42</v>
                </pt>
                <pt idx="20">
                  <v>42.82</v>
                </pt>
              </numCache>
            </numRef>
          </val>
          <smooth val="1"/>
        </ser>
        <ser>
          <idx val="1"/>
          <order val="1"/>
          <tx>
            <strRef>
              <f>'AR, Ring, 0x7, 16nodes'!$F$468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16nodes'!$A$469:$A$489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16nodes'!$F$469:$F$489</f>
              <numCache>
                <formatCode>General</formatCode>
                <ptCount val="21"/>
                <pt idx="0">
                  <v>0.004958645538554366</v>
                </pt>
                <pt idx="1">
                  <v>0.009916215198900066</v>
                </pt>
                <pt idx="2">
                  <v>0.01982812828526258</v>
                </pt>
                <pt idx="3">
                  <v>0.03963905931425023</v>
                </pt>
                <pt idx="4">
                  <v>0.07920941901860012</v>
                </pt>
                <pt idx="5">
                  <v>0.1581447527533945</v>
                </pt>
                <pt idx="6">
                  <v>0.3151988351891871</v>
                </pt>
                <pt idx="7">
                  <v>0.62607981186356</v>
                </pt>
                <pt idx="8">
                  <v>1.235238291603468</v>
                </pt>
                <pt idx="9">
                  <v>2.40546308337251</v>
                </pt>
                <pt idx="10">
                  <v>4.570376490440226</v>
                </pt>
                <pt idx="11">
                  <v>8.30976486009715</v>
                </pt>
                <pt idx="12">
                  <v>14.06265145617389</v>
                </pt>
                <pt idx="13">
                  <v>21.50753007632196</v>
                </pt>
                <pt idx="14">
                  <v>29.25016381415081</v>
                </pt>
                <pt idx="15">
                  <v>35.67085352007197</v>
                </pt>
                <pt idx="16">
                  <v>40.06857000072601</v>
                </pt>
                <pt idx="17">
                  <v>40.06857000072601</v>
                </pt>
                <pt idx="18">
                  <v>40.06857000072601</v>
                </pt>
                <pt idx="19">
                  <v>40.06857000072601</v>
                </pt>
                <pt idx="20">
                  <v>40.3797107888209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LL128,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0x7, 16nodes'!$E$503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16nodes'!$A$504:$A$524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16nodes'!$E$504:$E$524</f>
              <numCache>
                <formatCode>General</formatCode>
                <ptCount val="21"/>
                <pt idx="0">
                  <v>0</v>
                </pt>
                <pt idx="1">
                  <v>0.01</v>
                </pt>
                <pt idx="2">
                  <v>0.02</v>
                </pt>
                <pt idx="3">
                  <v>0.03</v>
                </pt>
                <pt idx="4">
                  <v>0.06</v>
                </pt>
                <pt idx="5">
                  <v>0.13</v>
                </pt>
                <pt idx="6">
                  <v>0.24</v>
                </pt>
                <pt idx="7">
                  <v>0.44</v>
                </pt>
                <pt idx="8">
                  <v>0.5600000000000001</v>
                </pt>
                <pt idx="9">
                  <v>1.24</v>
                </pt>
                <pt idx="10">
                  <v>2.4</v>
                </pt>
                <pt idx="11">
                  <v>4.79</v>
                </pt>
                <pt idx="12">
                  <v>9.18</v>
                </pt>
                <pt idx="13">
                  <v>16.68</v>
                </pt>
                <pt idx="14">
                  <v>27.52</v>
                </pt>
                <pt idx="15">
                  <v>37.51</v>
                </pt>
                <pt idx="16">
                  <v>40.26</v>
                </pt>
                <pt idx="17">
                  <v>41.94</v>
                </pt>
                <pt idx="18">
                  <v>42.63</v>
                </pt>
                <pt idx="19">
                  <v>42.77</v>
                </pt>
                <pt idx="20">
                  <v>42.79</v>
                </pt>
              </numCache>
            </numRef>
          </val>
          <smooth val="1"/>
        </ser>
        <ser>
          <idx val="1"/>
          <order val="1"/>
          <tx>
            <strRef>
              <f>'AR, Ring, 0x7, 16nodes'!$F$503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0x7, 16nodes'!$A$504:$A$524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0x7, 16nodes'!$F$504:$F$524</f>
              <numCache>
                <formatCode>General</formatCode>
                <ptCount val="21"/>
                <pt idx="0">
                  <v>0.004958645538554366</v>
                </pt>
                <pt idx="1">
                  <v>0.009916215198900066</v>
                </pt>
                <pt idx="2">
                  <v>0.01982812828526258</v>
                </pt>
                <pt idx="3">
                  <v>0.03963905931425023</v>
                </pt>
                <pt idx="4">
                  <v>0.07920941901860012</v>
                </pt>
                <pt idx="5">
                  <v>0.1581447527533945</v>
                </pt>
                <pt idx="6">
                  <v>0.3151988351891871</v>
                </pt>
                <pt idx="7">
                  <v>0.62607981186356</v>
                </pt>
                <pt idx="8">
                  <v>1.235238291603468</v>
                </pt>
                <pt idx="9">
                  <v>2.40546308337251</v>
                </pt>
                <pt idx="10">
                  <v>4.570376490440226</v>
                </pt>
                <pt idx="11">
                  <v>8.30976486009715</v>
                </pt>
                <pt idx="12">
                  <v>14.06265145617389</v>
                </pt>
                <pt idx="13">
                  <v>21.50753007632196</v>
                </pt>
                <pt idx="14">
                  <v>29.25016381415081</v>
                </pt>
                <pt idx="15">
                  <v>35.67085352007197</v>
                </pt>
                <pt idx="16">
                  <v>40.06857000072601</v>
                </pt>
                <pt idx="17">
                  <v>42.70077356635964</v>
                </pt>
                <pt idx="18">
                  <v>42.70077356635964</v>
                </pt>
                <pt idx="19">
                  <v>42.70077356635964</v>
                </pt>
                <pt idx="20">
                  <v>42.70077356635964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16, Protocol: Simple,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16nodes'!$E$12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16nodes'!$A$13:$A$35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16nodes'!$E$13:$E$35</f>
              <numCache>
                <formatCode>General</formatCode>
                <ptCount val="23"/>
                <pt idx="0">
                  <v>0.01</v>
                </pt>
                <pt idx="1">
                  <v>0.02</v>
                </pt>
                <pt idx="2">
                  <v>0.04</v>
                </pt>
                <pt idx="3">
                  <v>0.07000000000000001</v>
                </pt>
                <pt idx="4">
                  <v>0.12</v>
                </pt>
                <pt idx="5">
                  <v>0.22</v>
                </pt>
                <pt idx="6">
                  <v>0.4</v>
                </pt>
                <pt idx="7">
                  <v>0.67</v>
                </pt>
                <pt idx="8">
                  <v>1.13</v>
                </pt>
                <pt idx="9">
                  <v>1.62</v>
                </pt>
                <pt idx="10">
                  <v>2.06</v>
                </pt>
                <pt idx="11">
                  <v>3.79</v>
                </pt>
                <pt idx="12">
                  <v>6.61</v>
                </pt>
                <pt idx="13">
                  <v>9.800000000000001</v>
                </pt>
                <pt idx="14">
                  <v>13.1</v>
                </pt>
                <pt idx="15">
                  <v>16.02</v>
                </pt>
                <pt idx="16">
                  <v>17.95</v>
                </pt>
                <pt idx="17">
                  <v>19.17</v>
                </pt>
                <pt idx="18">
                  <v>19.86</v>
                </pt>
                <pt idx="19">
                  <v>20.24</v>
                </pt>
                <pt idx="20">
                  <v>20.44</v>
                </pt>
                <pt idx="21">
                  <v>20.54</v>
                </pt>
                <pt idx="22">
                  <v>20.59</v>
                </pt>
              </numCache>
            </numRef>
          </val>
          <smooth val="1"/>
        </ser>
        <ser>
          <idx val="1"/>
          <order val="1"/>
          <tx>
            <strRef>
              <f>'AR, Tree, 0x7, 16nodes'!$F$12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16nodes'!$A$13:$A$35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16nodes'!$F$13:$F$35</f>
              <numCache>
                <formatCode>General</formatCode>
                <ptCount val="23"/>
                <pt idx="0">
                  <v>0.01652164827403219</v>
                </pt>
                <pt idx="1">
                  <v>0.03302538856516429</v>
                </pt>
                <pt idx="2">
                  <v>0.06597926153649933</v>
                </pt>
                <pt idx="3">
                  <v>0.1316733878805026</v>
                </pt>
                <pt idx="4">
                  <v>0.2622135965983406</v>
                </pt>
                <pt idx="5">
                  <v>0.5199524900182462</v>
                </pt>
                <pt idx="6">
                  <v>1.022456647569958</v>
                </pt>
                <pt idx="7">
                  <v>1.978519040524038</v>
                </pt>
                <pt idx="8">
                  <v>3.715751975346717</v>
                </pt>
                <pt idx="9">
                  <v>6.623721947477458</v>
                </pt>
                <pt idx="10">
                  <v>10.88180525541538</v>
                </pt>
                <pt idx="11">
                  <v>16.0363023823007</v>
                </pt>
                <pt idx="12">
                  <v>21.01303248490405</v>
                </pt>
                <pt idx="13">
                  <v>24.87252004967612</v>
                </pt>
                <pt idx="14">
                  <v>27.38768353466816</v>
                </pt>
                <pt idx="15">
                  <v>28.84617774432634</v>
                </pt>
                <pt idx="16">
                  <v>29.63527097043504</v>
                </pt>
                <pt idx="17">
                  <v>30.04623144347032</v>
                </pt>
                <pt idx="18">
                  <v>30.25601569913453</v>
                </pt>
                <pt idx="19">
                  <v>30.36201021838258</v>
                </pt>
                <pt idx="20">
                  <v>30.41528646100295</v>
                </pt>
                <pt idx="21">
                  <v>30.44199475677857</v>
                </pt>
                <pt idx="22">
                  <v>30.45536650222538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16, Protocol: Simple,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16nodes'!$E$48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16nodes'!$A$49:$A$71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16nodes'!$E$49:$E$71</f>
              <numCache>
                <formatCode>General</formatCode>
                <ptCount val="23"/>
                <pt idx="0">
                  <v>0.01</v>
                </pt>
                <pt idx="1">
                  <v>0.02</v>
                </pt>
                <pt idx="2">
                  <v>0.04</v>
                </pt>
                <pt idx="3">
                  <v>0.07000000000000001</v>
                </pt>
                <pt idx="4">
                  <v>0.12</v>
                </pt>
                <pt idx="5">
                  <v>0.22</v>
                </pt>
                <pt idx="6">
                  <v>0.43</v>
                </pt>
                <pt idx="7">
                  <v>0.77</v>
                </pt>
                <pt idx="8">
                  <v>1.27</v>
                </pt>
                <pt idx="9">
                  <v>2.05</v>
                </pt>
                <pt idx="10">
                  <v>2.86</v>
                </pt>
                <pt idx="11">
                  <v>3.6</v>
                </pt>
                <pt idx="12">
                  <v>6.38</v>
                </pt>
                <pt idx="13">
                  <v>10.12</v>
                </pt>
                <pt idx="14">
                  <v>14.28</v>
                </pt>
                <pt idx="15">
                  <v>18.26</v>
                </pt>
                <pt idx="16">
                  <v>21.07</v>
                </pt>
                <pt idx="17">
                  <v>23.14</v>
                </pt>
                <pt idx="18">
                  <v>23.93</v>
                </pt>
                <pt idx="19">
                  <v>24.67</v>
                </pt>
                <pt idx="20">
                  <v>26.54</v>
                </pt>
                <pt idx="21">
                  <v>26.96</v>
                </pt>
                <pt idx="22">
                  <v>27.08</v>
                </pt>
              </numCache>
            </numRef>
          </val>
          <smooth val="1"/>
        </ser>
        <ser>
          <idx val="1"/>
          <order val="1"/>
          <tx>
            <strRef>
              <f>'AR, Tree, 0x7, 16nodes'!$F$48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16nodes'!$A$49:$A$71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16nodes'!$F$49:$F$71</f>
              <numCache>
                <formatCode>General</formatCode>
                <ptCount val="23"/>
                <pt idx="0">
                  <v>0.01652164827403219</v>
                </pt>
                <pt idx="1">
                  <v>0.03302538856516429</v>
                </pt>
                <pt idx="2">
                  <v>0.06597926153649933</v>
                </pt>
                <pt idx="3">
                  <v>0.1316733878805026</v>
                </pt>
                <pt idx="4">
                  <v>0.2622135965983406</v>
                </pt>
                <pt idx="5">
                  <v>0.5199524900182462</v>
                </pt>
                <pt idx="6">
                  <v>1.022456647569958</v>
                </pt>
                <pt idx="7">
                  <v>1.978519040524038</v>
                </pt>
                <pt idx="8">
                  <v>3.715751975346717</v>
                </pt>
                <pt idx="9">
                  <v>6.623721947477458</v>
                </pt>
                <pt idx="10">
                  <v>10.88180525541538</v>
                </pt>
                <pt idx="11">
                  <v>16.0363023823007</v>
                </pt>
                <pt idx="12">
                  <v>21.01303248490405</v>
                </pt>
                <pt idx="13">
                  <v>24.87252004967612</v>
                </pt>
                <pt idx="14">
                  <v>27.38768353466816</v>
                </pt>
                <pt idx="15">
                  <v>28.84617774432634</v>
                </pt>
                <pt idx="16">
                  <v>29.63527097043504</v>
                </pt>
                <pt idx="17">
                  <v>30.04623144347032</v>
                </pt>
                <pt idx="18">
                  <v>30.25601569913453</v>
                </pt>
                <pt idx="19">
                  <v>30.36201021838258</v>
                </pt>
                <pt idx="20">
                  <v>30.41528646100295</v>
                </pt>
                <pt idx="21">
                  <v>30.44199475677857</v>
                </pt>
                <pt idx="22">
                  <v>30.45536650222538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16, Protocol: Simple,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16nodes'!$E$84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16nodes'!$A$85:$A$107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16nodes'!$E$85:$E$107</f>
              <numCache>
                <formatCode>General</formatCode>
                <ptCount val="23"/>
                <pt idx="0">
                  <v>0.01</v>
                </pt>
                <pt idx="1">
                  <v>0.02</v>
                </pt>
                <pt idx="2">
                  <v>0.04</v>
                </pt>
                <pt idx="3">
                  <v>0.07000000000000001</v>
                </pt>
                <pt idx="4">
                  <v>0.12</v>
                </pt>
                <pt idx="5">
                  <v>0.22</v>
                </pt>
                <pt idx="6">
                  <v>0.43</v>
                </pt>
                <pt idx="7">
                  <v>0.84</v>
                </pt>
                <pt idx="8">
                  <v>1.5</v>
                </pt>
                <pt idx="9">
                  <v>2.48</v>
                </pt>
                <pt idx="10">
                  <v>3.97</v>
                </pt>
                <pt idx="11">
                  <v>5.59</v>
                </pt>
                <pt idx="12">
                  <v>7.06</v>
                </pt>
                <pt idx="13">
                  <v>12.48</v>
                </pt>
                <pt idx="14">
                  <v>19.48</v>
                </pt>
                <pt idx="15">
                  <v>26.99</v>
                </pt>
                <pt idx="16">
                  <v>31.58</v>
                </pt>
                <pt idx="17">
                  <v>36.16</v>
                </pt>
                <pt idx="18">
                  <v>38.42</v>
                </pt>
                <pt idx="19">
                  <v>39.99</v>
                </pt>
                <pt idx="20">
                  <v>40.69</v>
                </pt>
                <pt idx="21">
                  <v>40.51</v>
                </pt>
                <pt idx="22">
                  <v>40.22</v>
                </pt>
              </numCache>
            </numRef>
          </val>
          <smooth val="1"/>
        </ser>
        <ser>
          <idx val="1"/>
          <order val="1"/>
          <tx>
            <strRef>
              <f>'AR, Tree, 0x7, 16nodes'!$F$84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16nodes'!$A$85:$A$107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16nodes'!$F$85:$F$107</f>
              <numCache>
                <formatCode>General</formatCode>
                <ptCount val="23"/>
                <pt idx="0">
                  <v>0.01652463509614682</v>
                </pt>
                <pt idx="1">
                  <v>0.03303732506291315</v>
                </pt>
                <pt idx="2">
                  <v>0.06602692137938906</v>
                </pt>
                <pt idx="3">
                  <v>0.1318633408961118</v>
                </pt>
                <pt idx="4">
                  <v>0.2629679626869427</v>
                </pt>
                <pt idx="5">
                  <v>0.5229270923431618</v>
                </pt>
                <pt idx="6">
                  <v>1.034023075105077</v>
                </pt>
                <pt idx="7">
                  <v>2.022292236508291</v>
                </pt>
                <pt idx="8">
                  <v>3.873201334779154</v>
                </pt>
                <pt idx="9">
                  <v>7.141207017164398</v>
                </pt>
                <pt idx="10">
                  <v>12.35233617298186</v>
                </pt>
                <pt idx="11">
                  <v>19.44831210534041</v>
                </pt>
                <pt idx="12">
                  <v>27.28561881919034</v>
                </pt>
                <pt idx="13">
                  <v>34.17069488646097</v>
                </pt>
                <pt idx="14">
                  <v>39.10436590994953</v>
                </pt>
                <pt idx="15">
                  <v>42.14702508121228</v>
                </pt>
                <pt idx="16">
                  <v>43.85310107914613</v>
                </pt>
                <pt idx="17">
                  <v>44.75900443787347</v>
                </pt>
                <pt idx="18">
                  <v>45.22613799633264</v>
                </pt>
                <pt idx="19">
                  <v>45.46338043445938</v>
                </pt>
                <pt idx="20">
                  <v>45.58293748382005</v>
                </pt>
                <pt idx="21">
                  <v>45.64295212227965</v>
                </pt>
                <pt idx="22">
                  <v>45.67301874214307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Simple,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16nodes'!$E$120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16nodes'!$A$121:$A$143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16nodes'!$E$121:$E$143</f>
              <numCache>
                <formatCode>General</formatCode>
                <ptCount val="23"/>
                <pt idx="0">
                  <v>0.01</v>
                </pt>
                <pt idx="1">
                  <v>0.02</v>
                </pt>
                <pt idx="2">
                  <v>0.04</v>
                </pt>
                <pt idx="3">
                  <v>0.07000000000000001</v>
                </pt>
                <pt idx="4">
                  <v>0.12</v>
                </pt>
                <pt idx="5">
                  <v>0.22</v>
                </pt>
                <pt idx="6">
                  <v>0.43</v>
                </pt>
                <pt idx="7">
                  <v>0.84</v>
                </pt>
                <pt idx="8">
                  <v>1.54</v>
                </pt>
                <pt idx="9">
                  <v>2.71</v>
                </pt>
                <pt idx="10">
                  <v>4.37</v>
                </pt>
                <pt idx="11">
                  <v>6.83</v>
                </pt>
                <pt idx="12">
                  <v>9.35</v>
                </pt>
                <pt idx="13">
                  <v>11.66</v>
                </pt>
                <pt idx="14">
                  <v>18.73</v>
                </pt>
                <pt idx="15">
                  <v>26.4</v>
                </pt>
                <pt idx="16">
                  <v>31.27</v>
                </pt>
                <pt idx="17">
                  <v>35.94</v>
                </pt>
                <pt idx="18">
                  <v>37.66</v>
                </pt>
                <pt idx="19">
                  <v>39.61</v>
                </pt>
                <pt idx="20">
                  <v>40.78</v>
                </pt>
                <pt idx="21">
                  <v>40.91</v>
                </pt>
                <pt idx="22">
                  <v>40.58</v>
                </pt>
              </numCache>
            </numRef>
          </val>
          <smooth val="1"/>
        </ser>
        <ser>
          <idx val="1"/>
          <order val="1"/>
          <tx>
            <strRef>
              <f>'AR, Tree, 0x7, 16nodes'!$F$120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16nodes'!$A$121:$A$143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16nodes'!$F$121:$F$143</f>
              <numCache>
                <formatCode>General</formatCode>
                <ptCount val="23"/>
                <pt idx="0">
                  <v>0.01652463509614682</v>
                </pt>
                <pt idx="1">
                  <v>0.03303732506291315</v>
                </pt>
                <pt idx="2">
                  <v>0.06602692137938906</v>
                </pt>
                <pt idx="3">
                  <v>0.1318633408961118</v>
                </pt>
                <pt idx="4">
                  <v>0.2629679626869427</v>
                </pt>
                <pt idx="5">
                  <v>0.5229270923431618</v>
                </pt>
                <pt idx="6">
                  <v>1.034023075105077</v>
                </pt>
                <pt idx="7">
                  <v>2.022292236508291</v>
                </pt>
                <pt idx="8">
                  <v>3.873201334779154</v>
                </pt>
                <pt idx="9">
                  <v>7.141207017164398</v>
                </pt>
                <pt idx="10">
                  <v>12.35233617298186</v>
                </pt>
                <pt idx="11">
                  <v>19.44831210534041</v>
                </pt>
                <pt idx="12">
                  <v>27.28561881919034</v>
                </pt>
                <pt idx="13">
                  <v>34.17069488646097</v>
                </pt>
                <pt idx="14">
                  <v>39.10436590994953</v>
                </pt>
                <pt idx="15">
                  <v>42.14702508121228</v>
                </pt>
                <pt idx="16">
                  <v>43.85310107914613</v>
                </pt>
                <pt idx="17">
                  <v>44.75900443787347</v>
                </pt>
                <pt idx="18">
                  <v>45.22613799633264</v>
                </pt>
                <pt idx="19">
                  <v>45.46338043445938</v>
                </pt>
                <pt idx="20">
                  <v>45.58293748382005</v>
                </pt>
                <pt idx="21">
                  <v>45.64295212227965</v>
                </pt>
                <pt idx="22">
                  <v>45.67301874214307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Simple,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16nodes'!$E$156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16nodes'!$A$157:$A$179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16nodes'!$E$157:$E$179</f>
              <numCache>
                <formatCode>General</formatCode>
                <ptCount val="23"/>
                <pt idx="0">
                  <v>0.01</v>
                </pt>
                <pt idx="1">
                  <v>0.02</v>
                </pt>
                <pt idx="2">
                  <v>0.04</v>
                </pt>
                <pt idx="3">
                  <v>0.07000000000000001</v>
                </pt>
                <pt idx="4">
                  <v>0.12</v>
                </pt>
                <pt idx="5">
                  <v>0.22</v>
                </pt>
                <pt idx="6">
                  <v>0.43</v>
                </pt>
                <pt idx="7">
                  <v>0.84</v>
                </pt>
                <pt idx="8">
                  <v>1.54</v>
                </pt>
                <pt idx="9">
                  <v>2.59</v>
                </pt>
                <pt idx="10">
                  <v>4.45</v>
                </pt>
                <pt idx="11">
                  <v>7.2</v>
                </pt>
                <pt idx="12">
                  <v>10.88</v>
                </pt>
                <pt idx="13">
                  <v>14.59</v>
                </pt>
                <pt idx="14">
                  <v>17.62</v>
                </pt>
                <pt idx="15">
                  <v>25.29</v>
                </pt>
                <pt idx="16">
                  <v>30.35</v>
                </pt>
                <pt idx="17">
                  <v>35.33</v>
                </pt>
                <pt idx="18">
                  <v>37.36</v>
                </pt>
                <pt idx="19">
                  <v>38.93</v>
                </pt>
                <pt idx="20">
                  <v>40.47</v>
                </pt>
                <pt idx="21">
                  <v>41.17</v>
                </pt>
                <pt idx="22">
                  <v>41.13</v>
                </pt>
              </numCache>
            </numRef>
          </val>
          <smooth val="1"/>
        </ser>
        <ser>
          <idx val="1"/>
          <order val="1"/>
          <tx>
            <strRef>
              <f>'AR, Tree, 0x7, 16nodes'!$F$156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16nodes'!$A$157:$A$179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0x7, 16nodes'!$F$157:$F$179</f>
              <numCache>
                <formatCode>General</formatCode>
                <ptCount val="23"/>
                <pt idx="0">
                  <v>0.01652463509614682</v>
                </pt>
                <pt idx="1">
                  <v>0.03303732506291315</v>
                </pt>
                <pt idx="2">
                  <v>0.06602692137938906</v>
                </pt>
                <pt idx="3">
                  <v>0.1318633408961118</v>
                </pt>
                <pt idx="4">
                  <v>0.2629679626869427</v>
                </pt>
                <pt idx="5">
                  <v>0.5229270923431618</v>
                </pt>
                <pt idx="6">
                  <v>1.034023075105077</v>
                </pt>
                <pt idx="7">
                  <v>2.022292236508291</v>
                </pt>
                <pt idx="8">
                  <v>3.873201334779154</v>
                </pt>
                <pt idx="9">
                  <v>7.141207017164398</v>
                </pt>
                <pt idx="10">
                  <v>12.35233617298186</v>
                </pt>
                <pt idx="11">
                  <v>19.44831210534041</v>
                </pt>
                <pt idx="12">
                  <v>27.28561881919034</v>
                </pt>
                <pt idx="13">
                  <v>34.17069488646097</v>
                </pt>
                <pt idx="14">
                  <v>39.10436590994953</v>
                </pt>
                <pt idx="15">
                  <v>42.14702508121228</v>
                </pt>
                <pt idx="16">
                  <v>43.85310107914613</v>
                </pt>
                <pt idx="17">
                  <v>44.75900443787347</v>
                </pt>
                <pt idx="18">
                  <v>45.22613799633264</v>
                </pt>
                <pt idx="19">
                  <v>45.46338043445938</v>
                </pt>
                <pt idx="20">
                  <v>45.58293748382005</v>
                </pt>
                <pt idx="21">
                  <v>45.64295212227965</v>
                </pt>
                <pt idx="22">
                  <v>45.67301874214307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16nodes'!$E$192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16nodes'!$A$193:$A$213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16nodes'!$E$193:$E$213</f>
              <numCache>
                <formatCode>General</formatCode>
                <ptCount val="21"/>
                <pt idx="0">
                  <v>0.02</v>
                </pt>
                <pt idx="1">
                  <v>0.03</v>
                </pt>
                <pt idx="2">
                  <v>0.05</v>
                </pt>
                <pt idx="3">
                  <v>0.1</v>
                </pt>
                <pt idx="4">
                  <v>0.17</v>
                </pt>
                <pt idx="5">
                  <v>0.27</v>
                </pt>
                <pt idx="6">
                  <v>0.51</v>
                </pt>
                <pt idx="7">
                  <v>0.9</v>
                </pt>
                <pt idx="8">
                  <v>1.47</v>
                </pt>
                <pt idx="9">
                  <v>1.91</v>
                </pt>
                <pt idx="10">
                  <v>2.27</v>
                </pt>
                <pt idx="11">
                  <v>2.5</v>
                </pt>
                <pt idx="12">
                  <v>2.62</v>
                </pt>
                <pt idx="13">
                  <v>2.68</v>
                </pt>
                <pt idx="14">
                  <v>2.73</v>
                </pt>
                <pt idx="15">
                  <v>2.75</v>
                </pt>
                <pt idx="16">
                  <v>2.77</v>
                </pt>
                <pt idx="17">
                  <v>2.77</v>
                </pt>
                <pt idx="18">
                  <v>2.78</v>
                </pt>
                <pt idx="19">
                  <v>2.78</v>
                </pt>
                <pt idx="20">
                  <v>2.78</v>
                </pt>
              </numCache>
            </numRef>
          </val>
          <smooth val="1"/>
        </ser>
        <ser>
          <idx val="1"/>
          <order val="1"/>
          <tx>
            <strRef>
              <f>'AR, Tree, 0x7, 16nodes'!$F$192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16nodes'!$A$193:$A$213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16nodes'!$F$193:$F$213</f>
              <numCache>
                <formatCode>General</formatCode>
                <ptCount val="21"/>
                <pt idx="0">
                  <v>0.01651269428258215</v>
                </pt>
                <pt idx="1">
                  <v>0.03298963076824966</v>
                </pt>
                <pt idx="2">
                  <v>0.06583669394025128</v>
                </pt>
                <pt idx="3">
                  <v>0.1311067982991703</v>
                </pt>
                <pt idx="4">
                  <v>0.2599762450091231</v>
                </pt>
                <pt idx="5">
                  <v>0.5112283237849791</v>
                </pt>
                <pt idx="6">
                  <v>0.989259520262019</v>
                </pt>
                <pt idx="7">
                  <v>1.857875987673358</v>
                </pt>
                <pt idx="8">
                  <v>3.311860973738729</v>
                </pt>
                <pt idx="9">
                  <v>5.440902627707688</v>
                </pt>
                <pt idx="10">
                  <v>8.018151191150352</v>
                </pt>
                <pt idx="11">
                  <v>10.50651624245203</v>
                </pt>
                <pt idx="12">
                  <v>12.43626002483806</v>
                </pt>
                <pt idx="13">
                  <v>13.69384176733408</v>
                </pt>
                <pt idx="14">
                  <v>14.42308887216317</v>
                </pt>
                <pt idx="15">
                  <v>14.81763548521752</v>
                </pt>
                <pt idx="16">
                  <v>15.02311572173516</v>
                </pt>
                <pt idx="17">
                  <v>15.12800784956726</v>
                </pt>
                <pt idx="18">
                  <v>15.18100510919129</v>
                </pt>
                <pt idx="19">
                  <v>15.20764323050148</v>
                </pt>
                <pt idx="20">
                  <v>15.22099737838929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16nodes'!$E$226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16nodes'!$A$227:$A$247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16nodes'!$E$227:$E$247</f>
              <numCache>
                <formatCode>General</formatCode>
                <ptCount val="21"/>
                <pt idx="0">
                  <v>0.01</v>
                </pt>
                <pt idx="1">
                  <v>0.03</v>
                </pt>
                <pt idx="2">
                  <v>0.05</v>
                </pt>
                <pt idx="3">
                  <v>0.1</v>
                </pt>
                <pt idx="4">
                  <v>0.18</v>
                </pt>
                <pt idx="5">
                  <v>0.32</v>
                </pt>
                <pt idx="6">
                  <v>0.5</v>
                </pt>
                <pt idx="7">
                  <v>0.87</v>
                </pt>
                <pt idx="8">
                  <v>1.39</v>
                </pt>
                <pt idx="9">
                  <v>1.95</v>
                </pt>
                <pt idx="10">
                  <v>2.36</v>
                </pt>
                <pt idx="11">
                  <v>2.61</v>
                </pt>
                <pt idx="12">
                  <v>2.82</v>
                </pt>
                <pt idx="13">
                  <v>2.92</v>
                </pt>
                <pt idx="14">
                  <v>2.97</v>
                </pt>
                <pt idx="15">
                  <v>3.02</v>
                </pt>
                <pt idx="16">
                  <v>3.04</v>
                </pt>
                <pt idx="17">
                  <v>3.05</v>
                </pt>
                <pt idx="18">
                  <v>3.06</v>
                </pt>
                <pt idx="19">
                  <v>3.06</v>
                </pt>
                <pt idx="20">
                  <v>3.06</v>
                </pt>
              </numCache>
            </numRef>
          </val>
          <smooth val="1"/>
        </ser>
        <ser>
          <idx val="1"/>
          <order val="1"/>
          <tx>
            <strRef>
              <f>'AR, Tree, 0x7, 16nodes'!$F$226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16nodes'!$A$227:$A$247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16nodes'!$F$227:$F$247</f>
              <numCache>
                <formatCode>General</formatCode>
                <ptCount val="21"/>
                <pt idx="0">
                  <v>0.01651269428258215</v>
                </pt>
                <pt idx="1">
                  <v>0.03298963076824966</v>
                </pt>
                <pt idx="2">
                  <v>0.06583669394025128</v>
                </pt>
                <pt idx="3">
                  <v>0.1311067982991703</v>
                </pt>
                <pt idx="4">
                  <v>0.2599762450091231</v>
                </pt>
                <pt idx="5">
                  <v>0.5112283237849791</v>
                </pt>
                <pt idx="6">
                  <v>0.989259520262019</v>
                </pt>
                <pt idx="7">
                  <v>1.857875987673358</v>
                </pt>
                <pt idx="8">
                  <v>3.311860973738729</v>
                </pt>
                <pt idx="9">
                  <v>5.440902627707688</v>
                </pt>
                <pt idx="10">
                  <v>8.018151191150352</v>
                </pt>
                <pt idx="11">
                  <v>10.50651624245203</v>
                </pt>
                <pt idx="12">
                  <v>12.43626002483806</v>
                </pt>
                <pt idx="13">
                  <v>13.69384176733408</v>
                </pt>
                <pt idx="14">
                  <v>14.42308887216317</v>
                </pt>
                <pt idx="15">
                  <v>14.81763548521752</v>
                </pt>
                <pt idx="16">
                  <v>15.02311572173516</v>
                </pt>
                <pt idx="17">
                  <v>15.12800784956726</v>
                </pt>
                <pt idx="18">
                  <v>15.18100510919129</v>
                </pt>
                <pt idx="19">
                  <v>15.20764323050148</v>
                </pt>
                <pt idx="20">
                  <v>15.22099737838929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16nodes'!$E$260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16nodes'!$A$261:$A$281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16nodes'!$E$261:$E$281</f>
              <numCache>
                <formatCode>General</formatCode>
                <ptCount val="21"/>
                <pt idx="0">
                  <v>0.02</v>
                </pt>
                <pt idx="1">
                  <v>0.03</v>
                </pt>
                <pt idx="2">
                  <v>0.05</v>
                </pt>
                <pt idx="3">
                  <v>0.1</v>
                </pt>
                <pt idx="4">
                  <v>0.2</v>
                </pt>
                <pt idx="5">
                  <v>0.36</v>
                </pt>
                <pt idx="6">
                  <v>0.62</v>
                </pt>
                <pt idx="7">
                  <v>0.98</v>
                </pt>
                <pt idx="8">
                  <v>1.67</v>
                </pt>
                <pt idx="9">
                  <v>2.56</v>
                </pt>
                <pt idx="10">
                  <v>3.43</v>
                </pt>
                <pt idx="11">
                  <v>3.97</v>
                </pt>
                <pt idx="12">
                  <v>4.33</v>
                </pt>
                <pt idx="13">
                  <v>4.49</v>
                </pt>
                <pt idx="14">
                  <v>4.59</v>
                </pt>
                <pt idx="15">
                  <v>4.64</v>
                </pt>
                <pt idx="16">
                  <v>4.67</v>
                </pt>
                <pt idx="17">
                  <v>4.69</v>
                </pt>
                <pt idx="18">
                  <v>4.69</v>
                </pt>
                <pt idx="19">
                  <v>4.7</v>
                </pt>
                <pt idx="20">
                  <v>4.7</v>
                </pt>
              </numCache>
            </numRef>
          </val>
          <smooth val="1"/>
        </ser>
        <ser>
          <idx val="1"/>
          <order val="1"/>
          <tx>
            <strRef>
              <f>'AR, Tree, 0x7, 16nodes'!$F$260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16nodes'!$A$261:$A$281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16nodes'!$F$261:$F$281</f>
              <numCache>
                <formatCode>General</formatCode>
                <ptCount val="21"/>
                <pt idx="0">
                  <v>0.01651866253145658</v>
                </pt>
                <pt idx="1">
                  <v>0.03301346068969453</v>
                </pt>
                <pt idx="2">
                  <v>0.06593167044805591</v>
                </pt>
                <pt idx="3">
                  <v>0.1314839813434714</v>
                </pt>
                <pt idx="4">
                  <v>0.2614635461715809</v>
                </pt>
                <pt idx="5">
                  <v>0.5170115375525383</v>
                </pt>
                <pt idx="6">
                  <v>1.011146118254145</v>
                </pt>
                <pt idx="7">
                  <v>1.936600667389577</v>
                </pt>
                <pt idx="8">
                  <v>3.570603508582199</v>
                </pt>
                <pt idx="9">
                  <v>6.176168086490931</v>
                </pt>
                <pt idx="10">
                  <v>9.724156052670207</v>
                </pt>
                <pt idx="11">
                  <v>13.64280940959517</v>
                </pt>
                <pt idx="12">
                  <v>17.08534744323049</v>
                </pt>
                <pt idx="13">
                  <v>19.55218295497476</v>
                </pt>
                <pt idx="14">
                  <v>21.07351254060614</v>
                </pt>
                <pt idx="15">
                  <v>21.92655053957306</v>
                </pt>
                <pt idx="16">
                  <v>22.37950221893674</v>
                </pt>
                <pt idx="17">
                  <v>22.61306899816632</v>
                </pt>
                <pt idx="18">
                  <v>22.73169021722969</v>
                </pt>
                <pt idx="19">
                  <v>22.79146874191003</v>
                </pt>
                <pt idx="20">
                  <v>22.82147606113983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16nodes'!$E$294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16nodes'!$A$295:$A$315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16nodes'!$E$295:$E$315</f>
              <numCache>
                <formatCode>General</formatCode>
                <ptCount val="21"/>
                <pt idx="0">
                  <v>0.01</v>
                </pt>
                <pt idx="1">
                  <v>0.03</v>
                </pt>
                <pt idx="2">
                  <v>0.05</v>
                </pt>
                <pt idx="3">
                  <v>0.1</v>
                </pt>
                <pt idx="4">
                  <v>0.2</v>
                </pt>
                <pt idx="5">
                  <v>0.36</v>
                </pt>
                <pt idx="6">
                  <v>0.66</v>
                </pt>
                <pt idx="7">
                  <v>1.09</v>
                </pt>
                <pt idx="8">
                  <v>1.6</v>
                </pt>
                <pt idx="9">
                  <v>2.51</v>
                </pt>
                <pt idx="10">
                  <v>3.34</v>
                </pt>
                <pt idx="11">
                  <v>3.9</v>
                </pt>
                <pt idx="12">
                  <v>4.3</v>
                </pt>
                <pt idx="13">
                  <v>4.54</v>
                </pt>
                <pt idx="14">
                  <v>4.68</v>
                </pt>
                <pt idx="15">
                  <v>4.75</v>
                </pt>
                <pt idx="16">
                  <v>4.79</v>
                </pt>
                <pt idx="17">
                  <v>4.81</v>
                </pt>
                <pt idx="18">
                  <v>4.82</v>
                </pt>
                <pt idx="19">
                  <v>4.82</v>
                </pt>
                <pt idx="20">
                  <v>4.81</v>
                </pt>
              </numCache>
            </numRef>
          </val>
          <smooth val="1"/>
        </ser>
        <ser>
          <idx val="1"/>
          <order val="1"/>
          <tx>
            <strRef>
              <f>'AR, Tree, 0x7, 16nodes'!$F$294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16nodes'!$A$295:$A$315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16nodes'!$F$295:$F$315</f>
              <numCache>
                <formatCode>General</formatCode>
                <ptCount val="21"/>
                <pt idx="0">
                  <v>0.01651866253145658</v>
                </pt>
                <pt idx="1">
                  <v>0.03301346068969453</v>
                </pt>
                <pt idx="2">
                  <v>0.06593167044805591</v>
                </pt>
                <pt idx="3">
                  <v>0.1314839813434714</v>
                </pt>
                <pt idx="4">
                  <v>0.2614635461715809</v>
                </pt>
                <pt idx="5">
                  <v>0.5170115375525383</v>
                </pt>
                <pt idx="6">
                  <v>1.011146118254145</v>
                </pt>
                <pt idx="7">
                  <v>1.936600667389577</v>
                </pt>
                <pt idx="8">
                  <v>3.570603508582199</v>
                </pt>
                <pt idx="9">
                  <v>6.176168086490931</v>
                </pt>
                <pt idx="10">
                  <v>9.724156052670207</v>
                </pt>
                <pt idx="11">
                  <v>13.64280940959517</v>
                </pt>
                <pt idx="12">
                  <v>17.08534744323049</v>
                </pt>
                <pt idx="13">
                  <v>19.55218295497476</v>
                </pt>
                <pt idx="14">
                  <v>21.07351254060614</v>
                </pt>
                <pt idx="15">
                  <v>21.92655053957306</v>
                </pt>
                <pt idx="16">
                  <v>22.37950221893674</v>
                </pt>
                <pt idx="17">
                  <v>22.61306899816632</v>
                </pt>
                <pt idx="18">
                  <v>22.73169021722969</v>
                </pt>
                <pt idx="19">
                  <v>22.79146874191003</v>
                </pt>
                <pt idx="20">
                  <v>22.82147606113983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16nodes'!$E$328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16nodes'!$A$329:$A$349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16nodes'!$E$329:$E$349</f>
              <numCache>
                <formatCode>General</formatCode>
                <ptCount val="21"/>
                <pt idx="0">
                  <v>0.01</v>
                </pt>
                <pt idx="1">
                  <v>0.03</v>
                </pt>
                <pt idx="2">
                  <v>0.05</v>
                </pt>
                <pt idx="3">
                  <v>0.1</v>
                </pt>
                <pt idx="4">
                  <v>0.2</v>
                </pt>
                <pt idx="5">
                  <v>0.36</v>
                </pt>
                <pt idx="6">
                  <v>0.6</v>
                </pt>
                <pt idx="7">
                  <v>1.08</v>
                </pt>
                <pt idx="8">
                  <v>1.73</v>
                </pt>
                <pt idx="9">
                  <v>2.33</v>
                </pt>
                <pt idx="10">
                  <v>3.13</v>
                </pt>
                <pt idx="11">
                  <v>3.77</v>
                </pt>
                <pt idx="12">
                  <v>4.19</v>
                </pt>
                <pt idx="13">
                  <v>4.37</v>
                </pt>
                <pt idx="14">
                  <v>4.5</v>
                </pt>
                <pt idx="15">
                  <v>4.53</v>
                </pt>
                <pt idx="16">
                  <v>4.54</v>
                </pt>
                <pt idx="17">
                  <v>4.53</v>
                </pt>
                <pt idx="18">
                  <v>4.54</v>
                </pt>
                <pt idx="19">
                  <v>4.53</v>
                </pt>
                <pt idx="20">
                  <v>4.5</v>
                </pt>
              </numCache>
            </numRef>
          </val>
          <smooth val="1"/>
        </ser>
        <ser>
          <idx val="1"/>
          <order val="1"/>
          <tx>
            <strRef>
              <f>'AR, Tree, 0x7, 16nodes'!$F$328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16nodes'!$A$329:$A$349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16nodes'!$F$329:$F$349</f>
              <numCache>
                <formatCode>General</formatCode>
                <ptCount val="21"/>
                <pt idx="0">
                  <v>0.01651866253145658</v>
                </pt>
                <pt idx="1">
                  <v>0.03301346068969453</v>
                </pt>
                <pt idx="2">
                  <v>0.06593167044805591</v>
                </pt>
                <pt idx="3">
                  <v>0.1314839813434714</v>
                </pt>
                <pt idx="4">
                  <v>0.2614635461715809</v>
                </pt>
                <pt idx="5">
                  <v>0.5170115375525383</v>
                </pt>
                <pt idx="6">
                  <v>1.011146118254145</v>
                </pt>
                <pt idx="7">
                  <v>1.936600667389577</v>
                </pt>
                <pt idx="8">
                  <v>3.570603508582199</v>
                </pt>
                <pt idx="9">
                  <v>6.176168086490931</v>
                </pt>
                <pt idx="10">
                  <v>9.724156052670207</v>
                </pt>
                <pt idx="11">
                  <v>13.64280940959517</v>
                </pt>
                <pt idx="12">
                  <v>17.08534744323049</v>
                </pt>
                <pt idx="13">
                  <v>19.55218295497476</v>
                </pt>
                <pt idx="14">
                  <v>21.07351254060614</v>
                </pt>
                <pt idx="15">
                  <v>21.92655053957306</v>
                </pt>
                <pt idx="16">
                  <v>22.37950221893674</v>
                </pt>
                <pt idx="17">
                  <v>22.61306899816632</v>
                </pt>
                <pt idx="18">
                  <v>22.73169021722969</v>
                </pt>
                <pt idx="19">
                  <v>22.79146874191003</v>
                </pt>
                <pt idx="20">
                  <v>22.82147606113983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LL128,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16nodes'!$E$362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16nodes'!$A$363:$A$383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16nodes'!$E$363:$E$383</f>
              <numCache>
                <formatCode>General</formatCode>
                <ptCount val="21"/>
                <pt idx="0">
                  <v>0.01</v>
                </pt>
                <pt idx="1">
                  <v>0.03</v>
                </pt>
                <pt idx="2">
                  <v>0.05</v>
                </pt>
                <pt idx="3">
                  <v>0.09</v>
                </pt>
                <pt idx="4">
                  <v>0.17</v>
                </pt>
                <pt idx="5">
                  <v>0.33</v>
                </pt>
                <pt idx="6">
                  <v>0.63</v>
                </pt>
                <pt idx="7">
                  <v>1.14</v>
                </pt>
                <pt idx="8">
                  <v>1.88</v>
                </pt>
                <pt idx="9">
                  <v>2.72</v>
                </pt>
                <pt idx="10">
                  <v>3.51</v>
                </pt>
                <pt idx="11">
                  <v>4.07</v>
                </pt>
                <pt idx="12">
                  <v>7.22</v>
                </pt>
                <pt idx="13">
                  <v>9.77</v>
                </pt>
                <pt idx="14">
                  <v>10.5</v>
                </pt>
                <pt idx="15">
                  <v>10.92</v>
                </pt>
                <pt idx="16">
                  <v>12.99</v>
                </pt>
                <pt idx="17">
                  <v>14.08</v>
                </pt>
                <pt idx="18">
                  <v>14.35</v>
                </pt>
                <pt idx="19">
                  <v>14.46</v>
                </pt>
                <pt idx="20">
                  <v>14.5</v>
                </pt>
              </numCache>
            </numRef>
          </val>
          <smooth val="1"/>
        </ser>
        <ser>
          <idx val="1"/>
          <order val="1"/>
          <tx>
            <strRef>
              <f>'AR, Tree, 0x7, 16nodes'!$F$362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16nodes'!$A$363:$A$383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16nodes'!$F$363:$F$383</f>
              <numCache>
                <formatCode>General</formatCode>
                <ptCount val="21"/>
                <pt idx="0">
                  <v>0.01652105103917268</v>
                </pt>
                <pt idx="1">
                  <v>0.03302300230058706</v>
                </pt>
                <pt idx="2">
                  <v>0.0659697378232186</v>
                </pt>
                <pt idx="3">
                  <v>0.1316354629303613</v>
                </pt>
                <pt idx="4">
                  <v>0.2620632424478564</v>
                </pt>
                <pt idx="5">
                  <v>0.5193616258911168</v>
                </pt>
                <pt idx="6">
                  <v>1.020174344030028</v>
                </pt>
                <pt idx="7">
                  <v>1.969990817689263</v>
                </pt>
                <pt idx="8">
                  <v>3.68578582758428</v>
                </pt>
                <pt idx="9">
                  <v>6.529096212627224</v>
                </pt>
                <pt idx="10">
                  <v>10.6287375448935</v>
                </pt>
                <pt idx="11">
                  <v>15.49269504165443</v>
                </pt>
                <pt idx="12">
                  <v>20.08937844198476</v>
                </pt>
                <pt idx="13">
                  <v>23.58877360055045</v>
                </pt>
                <pt idx="14">
                  <v>25.83926096595893</v>
                </pt>
                <pt idx="15">
                  <v>27.1336018497838</v>
                </pt>
                <pt idx="16">
                  <v>27.83064861067246</v>
                </pt>
                <pt idx="17">
                  <v>28.19277679128814</v>
                </pt>
                <pt idx="18">
                  <v>28.37739799162504</v>
                </pt>
                <pt idx="19">
                  <v>28.47061831836303</v>
                </pt>
                <pt idx="20">
                  <v>28.51745853258791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LL128,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16nodes'!$E$396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16nodes'!$A$397:$A$417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16nodes'!$E$397:$E$417</f>
              <numCache>
                <formatCode>General</formatCode>
                <ptCount val="21"/>
                <pt idx="0">
                  <v>0.01</v>
                </pt>
                <pt idx="1">
                  <v>0.03</v>
                </pt>
                <pt idx="2">
                  <v>0.05</v>
                </pt>
                <pt idx="3">
                  <v>0.09</v>
                </pt>
                <pt idx="4">
                  <v>0.17</v>
                </pt>
                <pt idx="5">
                  <v>0.34</v>
                </pt>
                <pt idx="6">
                  <v>0.65</v>
                </pt>
                <pt idx="7">
                  <v>1.23</v>
                </pt>
                <pt idx="8">
                  <v>2.21</v>
                </pt>
                <pt idx="9">
                  <v>3.24</v>
                </pt>
                <pt idx="10">
                  <v>4.2</v>
                </pt>
                <pt idx="11">
                  <v>4.94</v>
                </pt>
                <pt idx="12">
                  <v>5.46</v>
                </pt>
                <pt idx="13">
                  <v>10.37</v>
                </pt>
                <pt idx="14">
                  <v>17.86</v>
                </pt>
                <pt idx="15">
                  <v>19.28</v>
                </pt>
                <pt idx="16">
                  <v>20.14</v>
                </pt>
                <pt idx="17">
                  <v>24.15</v>
                </pt>
                <pt idx="18">
                  <v>24.06</v>
                </pt>
                <pt idx="19">
                  <v>24.68</v>
                </pt>
                <pt idx="20">
                  <v>25.4</v>
                </pt>
              </numCache>
            </numRef>
          </val>
          <smooth val="1"/>
        </ser>
        <ser>
          <idx val="1"/>
          <order val="1"/>
          <tx>
            <strRef>
              <f>'AR, Tree, 0x7, 16nodes'!$F$396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16nodes'!$A$397:$A$417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16nodes'!$F$397:$F$417</f>
              <numCache>
                <formatCode>General</formatCode>
                <ptCount val="21"/>
                <pt idx="0">
                  <v>0.01652105103917268</v>
                </pt>
                <pt idx="1">
                  <v>0.03302300230058706</v>
                </pt>
                <pt idx="2">
                  <v>0.0659697378232186</v>
                </pt>
                <pt idx="3">
                  <v>0.1316354629303613</v>
                </pt>
                <pt idx="4">
                  <v>0.2620632424478564</v>
                </pt>
                <pt idx="5">
                  <v>0.5193616258911168</v>
                </pt>
                <pt idx="6">
                  <v>1.020174344030028</v>
                </pt>
                <pt idx="7">
                  <v>1.969990817689263</v>
                </pt>
                <pt idx="8">
                  <v>3.68578582758428</v>
                </pt>
                <pt idx="9">
                  <v>6.529096212627224</v>
                </pt>
                <pt idx="10">
                  <v>10.6287375448935</v>
                </pt>
                <pt idx="11">
                  <v>15.49269504165443</v>
                </pt>
                <pt idx="12">
                  <v>20.08937844198476</v>
                </pt>
                <pt idx="13">
                  <v>23.58877360055045</v>
                </pt>
                <pt idx="14">
                  <v>25.83926096595893</v>
                </pt>
                <pt idx="15">
                  <v>27.1336018497838</v>
                </pt>
                <pt idx="16">
                  <v>27.83064861067246</v>
                </pt>
                <pt idx="17">
                  <v>28.19277679128814</v>
                </pt>
                <pt idx="18">
                  <v>28.37739799162504</v>
                </pt>
                <pt idx="19">
                  <v>28.47061831836303</v>
                </pt>
                <pt idx="20">
                  <v>28.51745853258791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LL128,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16nodes'!$E$430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16nodes'!$A$431:$A$451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16nodes'!$E$431:$E$451</f>
              <numCache>
                <formatCode>General</formatCode>
                <ptCount val="21"/>
                <pt idx="0">
                  <v>0.01</v>
                </pt>
                <pt idx="1">
                  <v>0.03</v>
                </pt>
                <pt idx="2">
                  <v>0.05</v>
                </pt>
                <pt idx="3">
                  <v>0.09</v>
                </pt>
                <pt idx="4">
                  <v>0.17</v>
                </pt>
                <pt idx="5">
                  <v>0.34</v>
                </pt>
                <pt idx="6">
                  <v>0.65</v>
                </pt>
                <pt idx="7">
                  <v>1.28</v>
                </pt>
                <pt idx="8">
                  <v>2.42</v>
                </pt>
                <pt idx="9">
                  <v>4.27</v>
                </pt>
                <pt idx="10">
                  <v>6.08</v>
                </pt>
                <pt idx="11">
                  <v>7.48</v>
                </pt>
                <pt idx="12">
                  <v>8.390000000000001</v>
                </pt>
                <pt idx="13">
                  <v>9.08</v>
                </pt>
                <pt idx="14">
                  <v>17.05</v>
                </pt>
                <pt idx="15">
                  <v>29.68</v>
                </pt>
                <pt idx="16">
                  <v>31.47</v>
                </pt>
                <pt idx="17">
                  <v>32.43</v>
                </pt>
                <pt idx="18">
                  <v>36.37</v>
                </pt>
                <pt idx="19">
                  <v>38.02</v>
                </pt>
                <pt idx="20">
                  <v>38.05</v>
                </pt>
              </numCache>
            </numRef>
          </val>
          <smooth val="1"/>
        </ser>
        <ser>
          <idx val="1"/>
          <order val="1"/>
          <tx>
            <strRef>
              <f>'AR, Tree, 0x7, 16nodes'!$F$430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16nodes'!$A$431:$A$451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16nodes'!$F$431:$F$451</f>
              <numCache>
                <formatCode>General</formatCode>
                <ptCount val="21"/>
                <pt idx="0">
                  <v>0.01652423679080378</v>
                </pt>
                <pt idx="1">
                  <v>0.03303573303136775</v>
                </pt>
                <pt idx="2">
                  <v>0.06602056275583543</v>
                </pt>
                <pt idx="3">
                  <v>0.131837982168037</v>
                </pt>
                <pt idx="4">
                  <v>0.2628671298538924</v>
                </pt>
                <pt idx="5">
                  <v>0.5225285137392465</v>
                </pt>
                <pt idx="6">
                  <v>1.032465787795092</v>
                </pt>
                <pt idx="7">
                  <v>2.016344229988047</v>
                </pt>
                <pt idx="8">
                  <v>3.851441468632682</v>
                </pt>
                <pt idx="9">
                  <v>7.067585369866105</v>
                </pt>
                <pt idx="10">
                  <v>12.13370831599674</v>
                </pt>
                <pt idx="11">
                  <v>18.91180228135176</v>
                </pt>
                <pt idx="12">
                  <v>26.241186921372</v>
                </pt>
                <pt idx="13">
                  <v>32.5483412884964</v>
                </pt>
                <pt idx="14">
                  <v>36.99417641893443</v>
                </pt>
                <pt idx="15">
                  <v>39.70592763213637</v>
                </pt>
                <pt idx="16">
                  <v>41.21655797889089</v>
                </pt>
                <pt idx="17">
                  <v>42.01581348915538</v>
                </pt>
                <pt idx="18">
                  <v>42.4271791928641</v>
                </pt>
                <pt idx="19">
                  <v>42.63589758430435</v>
                </pt>
                <pt idx="20">
                  <v>42.74102876367765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LL128,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16nodes'!$E$464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16nodes'!$A$465:$A$485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16nodes'!$E$465:$E$485</f>
              <numCache>
                <formatCode>General</formatCode>
                <ptCount val="21"/>
                <pt idx="0">
                  <v>0.01</v>
                </pt>
                <pt idx="1">
                  <v>0.03</v>
                </pt>
                <pt idx="2">
                  <v>0.05</v>
                </pt>
                <pt idx="3">
                  <v>0.09</v>
                </pt>
                <pt idx="4">
                  <v>0.17</v>
                </pt>
                <pt idx="5">
                  <v>0.34</v>
                </pt>
                <pt idx="6">
                  <v>0.66</v>
                </pt>
                <pt idx="7">
                  <v>1.25</v>
                </pt>
                <pt idx="8">
                  <v>2.35</v>
                </pt>
                <pt idx="9">
                  <v>4.21</v>
                </pt>
                <pt idx="10">
                  <v>7.03</v>
                </pt>
                <pt idx="11">
                  <v>8.609999999999999</v>
                </pt>
                <pt idx="12">
                  <v>9.699999999999999</v>
                </pt>
                <pt idx="13">
                  <v>10.54</v>
                </pt>
                <pt idx="14">
                  <v>10.94</v>
                </pt>
                <pt idx="15">
                  <v>20.54</v>
                </pt>
                <pt idx="16">
                  <v>32.85</v>
                </pt>
                <pt idx="17">
                  <v>33.98</v>
                </pt>
                <pt idx="18">
                  <v>34.53</v>
                </pt>
                <pt idx="19">
                  <v>35.47</v>
                </pt>
                <pt idx="20">
                  <v>37.85</v>
                </pt>
              </numCache>
            </numRef>
          </val>
          <smooth val="1"/>
        </ser>
        <ser>
          <idx val="1"/>
          <order val="1"/>
          <tx>
            <strRef>
              <f>'AR, Tree, 0x7, 16nodes'!$F$464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16nodes'!$A$465:$A$485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16nodes'!$F$465:$F$485</f>
              <numCache>
                <formatCode>General</formatCode>
                <ptCount val="21"/>
                <pt idx="0">
                  <v>0.01652423679080378</v>
                </pt>
                <pt idx="1">
                  <v>0.03303573303136775</v>
                </pt>
                <pt idx="2">
                  <v>0.06602056275583543</v>
                </pt>
                <pt idx="3">
                  <v>0.131837982168037</v>
                </pt>
                <pt idx="4">
                  <v>0.2628671298538924</v>
                </pt>
                <pt idx="5">
                  <v>0.5225285137392465</v>
                </pt>
                <pt idx="6">
                  <v>1.032465787795092</v>
                </pt>
                <pt idx="7">
                  <v>2.016344229988047</v>
                </pt>
                <pt idx="8">
                  <v>3.851441468632682</v>
                </pt>
                <pt idx="9">
                  <v>7.067585369866105</v>
                </pt>
                <pt idx="10">
                  <v>12.13370831599674</v>
                </pt>
                <pt idx="11">
                  <v>18.91180228135176</v>
                </pt>
                <pt idx="12">
                  <v>26.241186921372</v>
                </pt>
                <pt idx="13">
                  <v>32.5483412884964</v>
                </pt>
                <pt idx="14">
                  <v>36.99417641893443</v>
                </pt>
                <pt idx="15">
                  <v>39.70592763213637</v>
                </pt>
                <pt idx="16">
                  <v>41.21655797889089</v>
                </pt>
                <pt idx="17">
                  <v>42.01581348915538</v>
                </pt>
                <pt idx="18">
                  <v>42.4271791928641</v>
                </pt>
                <pt idx="19">
                  <v>42.63589758430435</v>
                </pt>
                <pt idx="20">
                  <v>42.74102876367765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2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LL128,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0x7, 16nodes'!$E$498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16nodes'!$A$499:$A$519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16nodes'!$E$499:$E$519</f>
              <numCache>
                <formatCode>General</formatCode>
                <ptCount val="21"/>
                <pt idx="0">
                  <v>0.01</v>
                </pt>
                <pt idx="1">
                  <v>0.03</v>
                </pt>
                <pt idx="2">
                  <v>0.05</v>
                </pt>
                <pt idx="3">
                  <v>0.09</v>
                </pt>
                <pt idx="4">
                  <v>0.17</v>
                </pt>
                <pt idx="5">
                  <v>0.34</v>
                </pt>
                <pt idx="6">
                  <v>0.67</v>
                </pt>
                <pt idx="7">
                  <v>1.25</v>
                </pt>
                <pt idx="8">
                  <v>2.21</v>
                </pt>
                <pt idx="9">
                  <v>3.13</v>
                </pt>
                <pt idx="10">
                  <v>6.39</v>
                </pt>
                <pt idx="11">
                  <v>9.57</v>
                </pt>
                <pt idx="12">
                  <v>10.19</v>
                </pt>
                <pt idx="13">
                  <v>10.98</v>
                </pt>
                <pt idx="14">
                  <v>11.3</v>
                </pt>
                <pt idx="15">
                  <v>11.56</v>
                </pt>
                <pt idx="16">
                  <v>22.31</v>
                </pt>
                <pt idx="17">
                  <v>33.79</v>
                </pt>
                <pt idx="18">
                  <v>34.4</v>
                </pt>
                <pt idx="19">
                  <v>34.55</v>
                </pt>
                <pt idx="20">
                  <v>35.41</v>
                </pt>
              </numCache>
            </numRef>
          </val>
          <smooth val="1"/>
        </ser>
        <ser>
          <idx val="1"/>
          <order val="1"/>
          <tx>
            <strRef>
              <f>'AR, Tree, 0x7, 16nodes'!$F$498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0x7, 16nodes'!$A$499:$A$519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0x7, 16nodes'!$F$499:$F$519</f>
              <numCache>
                <formatCode>General</formatCode>
                <ptCount val="21"/>
                <pt idx="0">
                  <v>0.01652423679080378</v>
                </pt>
                <pt idx="1">
                  <v>0.03303573303136775</v>
                </pt>
                <pt idx="2">
                  <v>0.06602056275583543</v>
                </pt>
                <pt idx="3">
                  <v>0.131837982168037</v>
                </pt>
                <pt idx="4">
                  <v>0.2628671298538924</v>
                </pt>
                <pt idx="5">
                  <v>0.5225285137392465</v>
                </pt>
                <pt idx="6">
                  <v>1.032465787795092</v>
                </pt>
                <pt idx="7">
                  <v>2.016344229988047</v>
                </pt>
                <pt idx="8">
                  <v>3.851441468632682</v>
                </pt>
                <pt idx="9">
                  <v>7.067585369866105</v>
                </pt>
                <pt idx="10">
                  <v>12.13370831599674</v>
                </pt>
                <pt idx="11">
                  <v>18.91180228135176</v>
                </pt>
                <pt idx="12">
                  <v>26.241186921372</v>
                </pt>
                <pt idx="13">
                  <v>32.5483412884964</v>
                </pt>
                <pt idx="14">
                  <v>36.99417641893443</v>
                </pt>
                <pt idx="15">
                  <v>39.70592763213637</v>
                </pt>
                <pt idx="16">
                  <v>41.21655797889089</v>
                </pt>
                <pt idx="17">
                  <v>42.01581348915538</v>
                </pt>
                <pt idx="18">
                  <v>42.4271791928641</v>
                </pt>
                <pt idx="19">
                  <v>42.63589758430435</v>
                </pt>
                <pt idx="20">
                  <v>42.74102876367765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2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8, Protocol: Simple,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8nodes'!$E$17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8nodes'!$A$18:$A$40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8nodes'!$E$18:$E$40</f>
              <numCache>
                <formatCode>General</formatCode>
                <ptCount val="2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0.01</v>
                </pt>
                <pt idx="4">
                  <v>0.02</v>
                </pt>
                <pt idx="5">
                  <v>0.03</v>
                </pt>
                <pt idx="6">
                  <v>0.07000000000000001</v>
                </pt>
                <pt idx="7">
                  <v>0.13</v>
                </pt>
                <pt idx="8">
                  <v>0.25</v>
                </pt>
                <pt idx="9">
                  <v>0.47</v>
                </pt>
                <pt idx="10">
                  <v>0.8100000000000001</v>
                </pt>
                <pt idx="11">
                  <v>1.5</v>
                </pt>
                <pt idx="12">
                  <v>2.8</v>
                </pt>
                <pt idx="13">
                  <v>5.5</v>
                </pt>
                <pt idx="14">
                  <v>9.529999999999999</v>
                </pt>
                <pt idx="15">
                  <v>16.67</v>
                </pt>
                <pt idx="16">
                  <v>22.81</v>
                </pt>
                <pt idx="17">
                  <v>25.88</v>
                </pt>
                <pt idx="18">
                  <v>27.64</v>
                </pt>
                <pt idx="19">
                  <v>27.65</v>
                </pt>
                <pt idx="20">
                  <v>27.65</v>
                </pt>
                <pt idx="21">
                  <v>27.65</v>
                </pt>
                <pt idx="22">
                  <v>27.64</v>
                </pt>
              </numCache>
            </numRef>
          </val>
          <smooth val="1"/>
        </ser>
        <ser>
          <idx val="1"/>
          <order val="1"/>
          <tx>
            <strRef>
              <f>'AR, Ring, 0x0, 8nodes'!$F$17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8nodes'!$A$18:$A$40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8nodes'!$F$18:$F$40</f>
              <numCache>
                <formatCode>General</formatCode>
                <ptCount val="23"/>
                <pt idx="0">
                  <v>0.001273964760719202</v>
                </pt>
                <pt idx="1">
                  <v>0.002547862939128669</v>
                </pt>
                <pt idx="2">
                  <v>0.005095459569896395</v>
                </pt>
                <pt idx="3">
                  <v>0.01018985407334245</v>
                </pt>
                <pt idx="4">
                  <v>0.02037544921634249</v>
                </pt>
                <pt idx="5">
                  <v>0.04073387338717552</v>
                </pt>
                <pt idx="6">
                  <v>0.08139973187441417</v>
                </pt>
                <pt idx="7">
                  <v>0.1625280844156285</v>
                </pt>
                <pt idx="8">
                  <v>0.3239760619850835</v>
                </pt>
                <pt idx="9">
                  <v>0.6436744804139658</v>
                </pt>
                <pt idx="10">
                  <v>1.270572851696772</v>
                </pt>
                <pt idx="11">
                  <v>2.476598047121986</v>
                </pt>
                <pt idx="12">
                  <v>4.713729171948398</v>
                </pt>
                <pt idx="13">
                  <v>8.596268935652693</v>
                </pt>
                <pt idx="14">
                  <v>14.61535749024224</v>
                </pt>
                <pt idx="15">
                  <v>22.48858700936165</v>
                </pt>
                <pt idx="16">
                  <v>30.77878612506198</v>
                </pt>
                <pt idx="17">
                  <v>47.12506703843277</v>
                </pt>
                <pt idx="18">
                  <v>47.92376347862528</v>
                </pt>
                <pt idx="19">
                  <v>48.33335096340878</v>
                </pt>
                <pt idx="20">
                  <v>48.54078142305288</v>
                </pt>
                <pt idx="21">
                  <v>48.6451657548949</v>
                </pt>
                <pt idx="22">
                  <v>48.69752645668539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2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8, Protocol: Simple,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8nodes'!$E$58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8nodes'!$A$59:$A$81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8nodes'!$E$59:$E$81</f>
              <numCache>
                <formatCode>General</formatCode>
                <ptCount val="2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0.01</v>
                </pt>
                <pt idx="4">
                  <v>0.02</v>
                </pt>
                <pt idx="5">
                  <v>0.03</v>
                </pt>
                <pt idx="6">
                  <v>0.06</v>
                </pt>
                <pt idx="7">
                  <v>0.13</v>
                </pt>
                <pt idx="8">
                  <v>0.25</v>
                </pt>
                <pt idx="9">
                  <v>0.49</v>
                </pt>
                <pt idx="10">
                  <v>0.93</v>
                </pt>
                <pt idx="11">
                  <v>1.59</v>
                </pt>
                <pt idx="12">
                  <v>2.95</v>
                </pt>
                <pt idx="13">
                  <v>5.49</v>
                </pt>
                <pt idx="14">
                  <v>10.83</v>
                </pt>
                <pt idx="15">
                  <v>18.68</v>
                </pt>
                <pt idx="16">
                  <v>32.73</v>
                </pt>
                <pt idx="17">
                  <v>45.36</v>
                </pt>
                <pt idx="18">
                  <v>51.52</v>
                </pt>
                <pt idx="19">
                  <v>55.01</v>
                </pt>
                <pt idx="20">
                  <v>55.07</v>
                </pt>
                <pt idx="21">
                  <v>55.06</v>
                </pt>
                <pt idx="22">
                  <v>55.05</v>
                </pt>
              </numCache>
            </numRef>
          </val>
          <smooth val="1"/>
        </ser>
        <ser>
          <idx val="1"/>
          <order val="1"/>
          <tx>
            <strRef>
              <f>'AR, Ring, 0x0, 8nodes'!$F$58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8nodes'!$A$59:$A$81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8nodes'!$F$59:$F$81</f>
              <numCache>
                <formatCode>General</formatCode>
                <ptCount val="23"/>
                <pt idx="0">
                  <v>0.001273981406949133</v>
                </pt>
                <pt idx="1">
                  <v>0.002547929521438404</v>
                </pt>
                <pt idx="2">
                  <v>0.005095725878257338</v>
                </pt>
                <pt idx="3">
                  <v>0.01019091913979279</v>
                </pt>
                <pt idx="4">
                  <v>0.02037970814668491</v>
                </pt>
                <pt idx="5">
                  <v>0.04075089843268497</v>
                </pt>
                <pt idx="6">
                  <v>0.08146774677435104</v>
                </pt>
                <pt idx="7">
                  <v>0.1627994637488283</v>
                </pt>
                <pt idx="8">
                  <v>0.325056168831257</v>
                </pt>
                <pt idx="9">
                  <v>0.647952123970167</v>
                </pt>
                <pt idx="10">
                  <v>1.287348960827932</v>
                </pt>
                <pt idx="11">
                  <v>2.541145703393545</v>
                </pt>
                <pt idx="12">
                  <v>4.953196094243973</v>
                </pt>
                <pt idx="13">
                  <v>9.427458343896795</v>
                </pt>
                <pt idx="14">
                  <v>17.19253787130539</v>
                </pt>
                <pt idx="15">
                  <v>29.23071498048448</v>
                </pt>
                <pt idx="16">
                  <v>44.9771740187233</v>
                </pt>
                <pt idx="17">
                  <v>61.55757225012396</v>
                </pt>
                <pt idx="18">
                  <v>94.25013407686554</v>
                </pt>
                <pt idx="19">
                  <v>95.84752695725057</v>
                </pt>
                <pt idx="20">
                  <v>96.66670192681755</v>
                </pt>
                <pt idx="21">
                  <v>97.08156284610575</v>
                </pt>
                <pt idx="22">
                  <v>97.29033150978981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2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8, Protocol: Simple,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8nodes'!$E$99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8nodes'!$A$100:$A$122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8nodes'!$E$100:$E$122</f>
              <numCache>
                <formatCode>General</formatCode>
                <ptCount val="2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0.01</v>
                </pt>
                <pt idx="4">
                  <v>0.02</v>
                </pt>
                <pt idx="5">
                  <v>0.03</v>
                </pt>
                <pt idx="6">
                  <v>0.06</v>
                </pt>
                <pt idx="7">
                  <v>0.12</v>
                </pt>
                <pt idx="8">
                  <v>0.25</v>
                </pt>
                <pt idx="9">
                  <v>0.49</v>
                </pt>
                <pt idx="10">
                  <v>0.97</v>
                </pt>
                <pt idx="11">
                  <v>1.83</v>
                </pt>
                <pt idx="12">
                  <v>3.18</v>
                </pt>
                <pt idx="13">
                  <v>5.87</v>
                </pt>
                <pt idx="14">
                  <v>10.96</v>
                </pt>
                <pt idx="15">
                  <v>21.55</v>
                </pt>
                <pt idx="16">
                  <v>37.16</v>
                </pt>
                <pt idx="17">
                  <v>64.95</v>
                </pt>
                <pt idx="18">
                  <v>90.12</v>
                </pt>
                <pt idx="19">
                  <v>102.63</v>
                </pt>
                <pt idx="20">
                  <v>109.01</v>
                </pt>
                <pt idx="21">
                  <v>109.01</v>
                </pt>
                <pt idx="22">
                  <v>109.07</v>
                </pt>
              </numCache>
            </numRef>
          </val>
          <smooth val="1"/>
        </ser>
        <ser>
          <idx val="1"/>
          <order val="1"/>
          <tx>
            <strRef>
              <f>'AR, Ring, 0x0, 8nodes'!$F$99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8nodes'!$A$100:$A$122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8nodes'!$F$100:$F$122</f>
              <numCache>
                <formatCode>General</formatCode>
                <ptCount val="23"/>
                <pt idx="0">
                  <v>0.00127398973022723</v>
                </pt>
                <pt idx="1">
                  <v>0.002547962813898266</v>
                </pt>
                <pt idx="2">
                  <v>0.005095859042876808</v>
                </pt>
                <pt idx="3">
                  <v>0.01019145175651468</v>
                </pt>
                <pt idx="4">
                  <v>0.02038183827958558</v>
                </pt>
                <pt idx="5">
                  <v>0.04075941629336981</v>
                </pt>
                <pt idx="6">
                  <v>0.08150179686536994</v>
                </pt>
                <pt idx="7">
                  <v>0.1629354935487021</v>
                </pt>
                <pt idx="8">
                  <v>0.3255989274976567</v>
                </pt>
                <pt idx="9">
                  <v>0.650112337662514</v>
                </pt>
                <pt idx="10">
                  <v>1.295904247940334</v>
                </pt>
                <pt idx="11">
                  <v>2.574697921655863</v>
                </pt>
                <pt idx="12">
                  <v>5.082291406787089</v>
                </pt>
                <pt idx="13">
                  <v>9.906392188487946</v>
                </pt>
                <pt idx="14">
                  <v>18.85491668779359</v>
                </pt>
                <pt idx="15">
                  <v>34.38507574261077</v>
                </pt>
                <pt idx="16">
                  <v>58.46142996096896</v>
                </pt>
                <pt idx="17">
                  <v>89.95434803744661</v>
                </pt>
                <pt idx="18">
                  <v>123.1151445002479</v>
                </pt>
                <pt idx="19">
                  <v>188.5002681537311</v>
                </pt>
                <pt idx="20">
                  <v>191.6950539145011</v>
                </pt>
                <pt idx="21">
                  <v>193.3334038536351</v>
                </pt>
                <pt idx="22">
                  <v>194.1631256922115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2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Simple,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8nodes'!$E$140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8nodes'!$A$141:$A$163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8nodes'!$E$141:$E$163</f>
              <numCache>
                <formatCode>General</formatCode>
                <ptCount val="2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0.01</v>
                </pt>
                <pt idx="4">
                  <v>0.02</v>
                </pt>
                <pt idx="5">
                  <v>0.03</v>
                </pt>
                <pt idx="6">
                  <v>0.06</v>
                </pt>
                <pt idx="7">
                  <v>0.13</v>
                </pt>
                <pt idx="8">
                  <v>0.25</v>
                </pt>
                <pt idx="9">
                  <v>0.5</v>
                </pt>
                <pt idx="10">
                  <v>0.98</v>
                </pt>
                <pt idx="11">
                  <v>1.93</v>
                </pt>
                <pt idx="12">
                  <v>3.65</v>
                </pt>
                <pt idx="13">
                  <v>6.34</v>
                </pt>
                <pt idx="14">
                  <v>11.76</v>
                </pt>
                <pt idx="15">
                  <v>21.81</v>
                </pt>
                <pt idx="16">
                  <v>42.58</v>
                </pt>
                <pt idx="17">
                  <v>73.73</v>
                </pt>
                <pt idx="18">
                  <v>127.59</v>
                </pt>
                <pt idx="19">
                  <v>176.44</v>
                </pt>
                <pt idx="20">
                  <v>201.46</v>
                </pt>
                <pt idx="21">
                  <v>213.84</v>
                </pt>
                <pt idx="22">
                  <v>213.99</v>
                </pt>
              </numCache>
            </numRef>
          </val>
          <smooth val="1"/>
        </ser>
        <ser>
          <idx val="1"/>
          <order val="1"/>
          <tx>
            <strRef>
              <f>'AR, Ring, 0x0, 8nodes'!$F$140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8nodes'!$A$141:$A$163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8nodes'!$F$141:$F$163</f>
              <numCache>
                <formatCode>General</formatCode>
                <ptCount val="23"/>
                <pt idx="0">
                  <v>0.001273993891907063</v>
                </pt>
                <pt idx="1">
                  <v>0.00254797946045446</v>
                </pt>
                <pt idx="2">
                  <v>0.005095925627796532</v>
                </pt>
                <pt idx="3">
                  <v>0.01019171808575362</v>
                </pt>
                <pt idx="4">
                  <v>0.02038290351302935</v>
                </pt>
                <pt idx="5">
                  <v>0.04076367655917116</v>
                </pt>
                <pt idx="6">
                  <v>0.08151883258673963</v>
                </pt>
                <pt idx="7">
                  <v>0.1630035937307399</v>
                </pt>
                <pt idx="8">
                  <v>0.3258709870974041</v>
                </pt>
                <pt idx="9">
                  <v>0.6511978549953134</v>
                </pt>
                <pt idx="10">
                  <v>1.300224675325028</v>
                </pt>
                <pt idx="11">
                  <v>2.591808495880668</v>
                </pt>
                <pt idx="12">
                  <v>5.149395843311726</v>
                </pt>
                <pt idx="13">
                  <v>10.16458281357418</v>
                </pt>
                <pt idx="14">
                  <v>19.81278437697589</v>
                </pt>
                <pt idx="15">
                  <v>37.70983337558718</v>
                </pt>
                <pt idx="16">
                  <v>68.77015148522155</v>
                </pt>
                <pt idx="17">
                  <v>116.9228599219379</v>
                </pt>
                <pt idx="18">
                  <v>179.9086960748932</v>
                </pt>
                <pt idx="19">
                  <v>246.2302890004958</v>
                </pt>
                <pt idx="20">
                  <v>377.0005363074621</v>
                </pt>
                <pt idx="21">
                  <v>383.3901078290023</v>
                </pt>
                <pt idx="22">
                  <v>386.6668077072702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2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Simple,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8nodes'!$E$181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8nodes'!$A$182:$A$204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8nodes'!$E$182:$E$204</f>
              <numCache>
                <formatCode>General</formatCode>
                <ptCount val="2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0.01</v>
                </pt>
                <pt idx="4">
                  <v>0.02</v>
                </pt>
                <pt idx="5">
                  <v>0.03</v>
                </pt>
                <pt idx="6">
                  <v>0.06</v>
                </pt>
                <pt idx="7">
                  <v>0.13</v>
                </pt>
                <pt idx="8">
                  <v>0.25</v>
                </pt>
                <pt idx="9">
                  <v>0.48</v>
                </pt>
                <pt idx="10">
                  <v>0.95</v>
                </pt>
                <pt idx="11">
                  <v>1.82</v>
                </pt>
                <pt idx="12">
                  <v>3.7</v>
                </pt>
                <pt idx="13">
                  <v>6.75</v>
                </pt>
                <pt idx="14">
                  <v>12.12</v>
                </pt>
                <pt idx="15">
                  <v>22.39</v>
                </pt>
                <pt idx="16">
                  <v>41.59</v>
                </pt>
                <pt idx="17">
                  <v>80.5</v>
                </pt>
                <pt idx="18">
                  <v>136.18</v>
                </pt>
                <pt idx="19">
                  <v>218.91</v>
                </pt>
                <pt idx="20">
                  <v>303.09</v>
                </pt>
                <pt idx="21">
                  <v>350.21</v>
                </pt>
                <pt idx="22">
                  <v>365.38</v>
                </pt>
              </numCache>
            </numRef>
          </val>
          <smooth val="1"/>
        </ser>
        <ser>
          <idx val="1"/>
          <order val="1"/>
          <tx>
            <strRef>
              <f>'AR, Ring, 0x0, 8nodes'!$F$181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8nodes'!$A$182:$A$204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8nodes'!$F$182:$F$204</f>
              <numCache>
                <formatCode>General</formatCode>
                <ptCount val="23"/>
                <pt idx="0">
                  <v>0.001273993891907063</v>
                </pt>
                <pt idx="1">
                  <v>0.00254797946045446</v>
                </pt>
                <pt idx="2">
                  <v>0.005095925627796532</v>
                </pt>
                <pt idx="3">
                  <v>0.01019171808575362</v>
                </pt>
                <pt idx="4">
                  <v>0.02038290351302935</v>
                </pt>
                <pt idx="5">
                  <v>0.04076367655917116</v>
                </pt>
                <pt idx="6">
                  <v>0.08151883258673963</v>
                </pt>
                <pt idx="7">
                  <v>0.1630035937307399</v>
                </pt>
                <pt idx="8">
                  <v>0.3258709870974041</v>
                </pt>
                <pt idx="9">
                  <v>0.6511978549953134</v>
                </pt>
                <pt idx="10">
                  <v>1.300224675325028</v>
                </pt>
                <pt idx="11">
                  <v>2.591808495880668</v>
                </pt>
                <pt idx="12">
                  <v>5.149395843311726</v>
                </pt>
                <pt idx="13">
                  <v>10.16458281357418</v>
                </pt>
                <pt idx="14">
                  <v>19.81278437697589</v>
                </pt>
                <pt idx="15">
                  <v>37.70983337558718</v>
                </pt>
                <pt idx="16">
                  <v>68.77015148522155</v>
                </pt>
                <pt idx="17">
                  <v>116.9228599219379</v>
                </pt>
                <pt idx="18">
                  <v>179.9086960748932</v>
                </pt>
                <pt idx="19">
                  <v>246.2302890004958</v>
                </pt>
                <pt idx="20">
                  <v>301.8712386706837</v>
                </pt>
                <pt idx="21">
                  <v>383.3901078290023</v>
                </pt>
                <pt idx="22">
                  <v>386.6668077072702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2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8nodes'!$E$222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8nodes'!$A$223:$A$243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8nodes'!$E$223:$E$243</f>
              <numCache>
                <formatCode>General</formatCode>
                <ptCount val="21"/>
                <pt idx="0">
                  <v>0</v>
                </pt>
                <pt idx="1">
                  <v>0.01</v>
                </pt>
                <pt idx="2">
                  <v>0.02</v>
                </pt>
                <pt idx="3">
                  <v>0.03</v>
                </pt>
                <pt idx="4">
                  <v>0.07000000000000001</v>
                </pt>
                <pt idx="5">
                  <v>0.14</v>
                </pt>
                <pt idx="6">
                  <v>0.27</v>
                </pt>
                <pt idx="7">
                  <v>0.52</v>
                </pt>
                <pt idx="8">
                  <v>0.97</v>
                </pt>
                <pt idx="9">
                  <v>1.74</v>
                </pt>
                <pt idx="10">
                  <v>3.04</v>
                </pt>
                <pt idx="11">
                  <v>4.81</v>
                </pt>
                <pt idx="12">
                  <v>4.87</v>
                </pt>
                <pt idx="13">
                  <v>4.91</v>
                </pt>
                <pt idx="14">
                  <v>4.92</v>
                </pt>
                <pt idx="15">
                  <v>4.93</v>
                </pt>
                <pt idx="16">
                  <v>4.94</v>
                </pt>
                <pt idx="17">
                  <v>4.94</v>
                </pt>
                <pt idx="18">
                  <v>4.93</v>
                </pt>
                <pt idx="19">
                  <v>4.94</v>
                </pt>
                <pt idx="20">
                  <v>4.93</v>
                </pt>
              </numCache>
            </numRef>
          </val>
          <smooth val="1"/>
        </ser>
        <ser>
          <idx val="1"/>
          <order val="1"/>
          <tx>
            <strRef>
              <f>'AR, Ring, 0x0, 8nodes'!$F$222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8nodes'!$A$223:$A$243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8nodes'!$F$223:$F$243</f>
              <numCache>
                <formatCode>General</formatCode>
                <ptCount val="21"/>
                <pt idx="0">
                  <v>0.006441250428384444</v>
                </pt>
                <pt idx="1">
                  <v>0.01287909747247712</v>
                </pt>
                <pt idx="2">
                  <v>0.02574459219163218</v>
                </pt>
                <pt idx="3">
                  <v>0.0514348594814476</v>
                </pt>
                <pt idx="4">
                  <v>0.1026531057088452</v>
                </pt>
                <pt idx="5">
                  <v>0.2044452089297343</v>
                </pt>
                <pt idx="6">
                  <v>0.4054893774292201</v>
                </pt>
                <pt idx="7">
                  <v>0.7977085056148804</v>
                </pt>
                <pt idx="8">
                  <v>1.544859173181591</v>
                </pt>
                <pt idx="9">
                  <v>2.905566893300302</v>
                </pt>
                <pt idx="10">
                  <v>5.192208307195258</v>
                </pt>
                <pt idx="11">
                  <v>8.560840521226055</v>
                </pt>
                <pt idx="12">
                  <v>8.560840521226055</v>
                </pt>
                <pt idx="13">
                  <v>8.560840521226055</v>
                </pt>
                <pt idx="14">
                  <v>8.560840521226055</v>
                </pt>
                <pt idx="15">
                  <v>8.560840521226055</v>
                </pt>
                <pt idx="16">
                  <v>8.560840521226055</v>
                </pt>
                <pt idx="17">
                  <v>8.560840521226055</v>
                </pt>
                <pt idx="18">
                  <v>8.560840521226055</v>
                </pt>
                <pt idx="19">
                  <v>8.560840521226055</v>
                </pt>
                <pt idx="20">
                  <v>8.560840521226055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2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8nodes'!$E$261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8nodes'!$A$262:$A$282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8nodes'!$E$262:$E$282</f>
              <numCache>
                <formatCode>General</formatCode>
                <ptCount val="21"/>
                <pt idx="0">
                  <v>0</v>
                </pt>
                <pt idx="1">
                  <v>0.01</v>
                </pt>
                <pt idx="2">
                  <v>0.02</v>
                </pt>
                <pt idx="3">
                  <v>0.03</v>
                </pt>
                <pt idx="4">
                  <v>0.07000000000000001</v>
                </pt>
                <pt idx="5">
                  <v>0.14</v>
                </pt>
                <pt idx="6">
                  <v>0.27</v>
                </pt>
                <pt idx="7">
                  <v>0.52</v>
                </pt>
                <pt idx="8">
                  <v>0.97</v>
                </pt>
                <pt idx="9">
                  <v>1.87</v>
                </pt>
                <pt idx="10">
                  <v>3.15</v>
                </pt>
                <pt idx="11">
                  <v>5.41</v>
                </pt>
                <pt idx="12">
                  <v>8.34</v>
                </pt>
                <pt idx="13">
                  <v>8.32</v>
                </pt>
                <pt idx="14">
                  <v>8.369999999999999</v>
                </pt>
                <pt idx="15">
                  <v>8.35</v>
                </pt>
                <pt idx="16">
                  <v>8.359999999999999</v>
                </pt>
                <pt idx="17">
                  <v>8.380000000000001</v>
                </pt>
                <pt idx="18">
                  <v>8.359999999999999</v>
                </pt>
                <pt idx="19">
                  <v>8.359999999999999</v>
                </pt>
                <pt idx="20">
                  <v>8.34</v>
                </pt>
              </numCache>
            </numRef>
          </val>
          <smooth val="1"/>
        </ser>
        <ser>
          <idx val="1"/>
          <order val="1"/>
          <tx>
            <strRef>
              <f>'AR, Ring, 0x0, 8nodes'!$F$261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8nodes'!$A$262:$A$282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8nodes'!$F$262:$F$282</f>
              <numCache>
                <formatCode>General</formatCode>
                <ptCount val="21"/>
                <pt idx="0">
                  <v>0.00644210161176427</v>
                </pt>
                <pt idx="1">
                  <v>0.01288250085676889</v>
                </pt>
                <pt idx="2">
                  <v>0.02575819494495424</v>
                </pt>
                <pt idx="3">
                  <v>0.05148918438326437</v>
                </pt>
                <pt idx="4">
                  <v>0.1028697189628952</v>
                </pt>
                <pt idx="5">
                  <v>0.2053062114176904</v>
                </pt>
                <pt idx="6">
                  <v>0.4088904178594686</v>
                </pt>
                <pt idx="7">
                  <v>0.8109787548584403</v>
                </pt>
                <pt idx="8">
                  <v>1.595417011229761</v>
                </pt>
                <pt idx="9">
                  <v>3.089718346363183</v>
                </pt>
                <pt idx="10">
                  <v>5.811133786600605</v>
                </pt>
                <pt idx="11">
                  <v>10.38441661439052</v>
                </pt>
                <pt idx="12">
                  <v>17.12168104245211</v>
                </pt>
                <pt idx="13">
                  <v>17.12168104245211</v>
                </pt>
                <pt idx="14">
                  <v>17.12168104245211</v>
                </pt>
                <pt idx="15">
                  <v>17.12168104245211</v>
                </pt>
                <pt idx="16">
                  <v>17.12168104245211</v>
                </pt>
                <pt idx="17">
                  <v>17.12168104245211</v>
                </pt>
                <pt idx="18">
                  <v>17.12168104245211</v>
                </pt>
                <pt idx="19">
                  <v>17.12168104245211</v>
                </pt>
                <pt idx="20">
                  <v>17.12168104245211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2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8nodes'!$E$300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8nodes'!$A$301:$A$321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8nodes'!$E$301:$E$321</f>
              <numCache>
                <formatCode>General</formatCode>
                <ptCount val="21"/>
                <pt idx="0">
                  <v>0</v>
                </pt>
                <pt idx="1">
                  <v>0.01</v>
                </pt>
                <pt idx="2">
                  <v>0.02</v>
                </pt>
                <pt idx="3">
                  <v>0.03</v>
                </pt>
                <pt idx="4">
                  <v>0.07000000000000001</v>
                </pt>
                <pt idx="5">
                  <v>0.14</v>
                </pt>
                <pt idx="6">
                  <v>0.27</v>
                </pt>
                <pt idx="7">
                  <v>0.52</v>
                </pt>
                <pt idx="8">
                  <v>0.96</v>
                </pt>
                <pt idx="9">
                  <v>1.86</v>
                </pt>
                <pt idx="10">
                  <v>3.71</v>
                </pt>
                <pt idx="11">
                  <v>6.23</v>
                </pt>
                <pt idx="12">
                  <v>10.64</v>
                </pt>
                <pt idx="13">
                  <v>15.83</v>
                </pt>
                <pt idx="14">
                  <v>15.94</v>
                </pt>
                <pt idx="15">
                  <v>16.07</v>
                </pt>
                <pt idx="16">
                  <v>16.13</v>
                </pt>
                <pt idx="17">
                  <v>16.16</v>
                </pt>
                <pt idx="18">
                  <v>16.19</v>
                </pt>
                <pt idx="19">
                  <v>16.16</v>
                </pt>
                <pt idx="20">
                  <v>16.23</v>
                </pt>
              </numCache>
            </numRef>
          </val>
          <smooth val="1"/>
        </ser>
        <ser>
          <idx val="1"/>
          <order val="1"/>
          <tx>
            <strRef>
              <f>'AR, Ring, 0x0, 8nodes'!$F$300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8nodes'!$A$301:$A$321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8nodes'!$F$301:$F$321</f>
              <numCache>
                <formatCode>General</formatCode>
                <ptCount val="21"/>
                <pt idx="0">
                  <v>0.006442527287819909</v>
                </pt>
                <pt idx="1">
                  <v>0.01288420322352854</v>
                </pt>
                <pt idx="2">
                  <v>0.02576500171353778</v>
                </pt>
                <pt idx="3">
                  <v>0.05151638988990849</v>
                </pt>
                <pt idx="4">
                  <v>0.1029783687665287</v>
                </pt>
                <pt idx="5">
                  <v>0.2057394379257904</v>
                </pt>
                <pt idx="6">
                  <v>0.4106124228353808</v>
                </pt>
                <pt idx="7">
                  <v>0.8177808357189371</v>
                </pt>
                <pt idx="8">
                  <v>1.621957509716881</v>
                </pt>
                <pt idx="9">
                  <v>3.190834022459522</v>
                </pt>
                <pt idx="10">
                  <v>6.179436692726366</v>
                </pt>
                <pt idx="11">
                  <v>11.62226757320121</v>
                </pt>
                <pt idx="12">
                  <v>20.76883322878103</v>
                </pt>
                <pt idx="13">
                  <v>34.24336208490422</v>
                </pt>
                <pt idx="14">
                  <v>34.24336208490422</v>
                </pt>
                <pt idx="15">
                  <v>34.24336208490422</v>
                </pt>
                <pt idx="16">
                  <v>34.24336208490422</v>
                </pt>
                <pt idx="17">
                  <v>34.24336208490422</v>
                </pt>
                <pt idx="18">
                  <v>34.24336208490422</v>
                </pt>
                <pt idx="19">
                  <v>34.24336208490422</v>
                </pt>
                <pt idx="20">
                  <v>34.24336208490422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2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8nodes'!$E$339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8nodes'!$A$340:$A$360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8nodes'!$E$340:$E$360</f>
              <numCache>
                <formatCode>General</formatCode>
                <ptCount val="21"/>
                <pt idx="0">
                  <v>0</v>
                </pt>
                <pt idx="1">
                  <v>0.01</v>
                </pt>
                <pt idx="2">
                  <v>0.02</v>
                </pt>
                <pt idx="3">
                  <v>0.03</v>
                </pt>
                <pt idx="4">
                  <v>0.07000000000000001</v>
                </pt>
                <pt idx="5">
                  <v>0.14</v>
                </pt>
                <pt idx="6">
                  <v>0.27</v>
                </pt>
                <pt idx="7">
                  <v>0.53</v>
                </pt>
                <pt idx="8">
                  <v>0.96</v>
                </pt>
                <pt idx="9">
                  <v>1.87</v>
                </pt>
                <pt idx="10">
                  <v>3.73</v>
                </pt>
                <pt idx="11">
                  <v>7.4</v>
                </pt>
                <pt idx="12">
                  <v>12.31</v>
                </pt>
                <pt idx="13">
                  <v>20.99</v>
                </pt>
                <pt idx="14">
                  <v>31.21</v>
                </pt>
                <pt idx="15">
                  <v>31.53</v>
                </pt>
                <pt idx="16">
                  <v>31.6</v>
                </pt>
                <pt idx="17">
                  <v>32.04</v>
                </pt>
                <pt idx="18">
                  <v>32.09</v>
                </pt>
                <pt idx="19">
                  <v>32.21</v>
                </pt>
                <pt idx="20">
                  <v>32.24</v>
                </pt>
              </numCache>
            </numRef>
          </val>
          <smooth val="1"/>
        </ser>
        <ser>
          <idx val="1"/>
          <order val="1"/>
          <tx>
            <strRef>
              <f>'AR, Ring, 0x0, 8nodes'!$F$339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8nodes'!$A$340:$A$360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8nodes'!$F$340:$F$360</f>
              <numCache>
                <formatCode>General</formatCode>
                <ptCount val="21"/>
                <pt idx="0">
                  <v>0.006442740146944035</v>
                </pt>
                <pt idx="1">
                  <v>0.01288505457563982</v>
                </pt>
                <pt idx="2">
                  <v>0.02576840644705708</v>
                </pt>
                <pt idx="3">
                  <v>0.05153000342707555</v>
                </pt>
                <pt idx="4">
                  <v>0.103032779779817</v>
                </pt>
                <pt idx="5">
                  <v>0.2059567375330575</v>
                </pt>
                <pt idx="6">
                  <v>0.4114788758515808</v>
                </pt>
                <pt idx="7">
                  <v>0.8212248456707616</v>
                </pt>
                <pt idx="8">
                  <v>1.635561671437874</v>
                </pt>
                <pt idx="9">
                  <v>3.243915019433761</v>
                </pt>
                <pt idx="10">
                  <v>6.381668044919043</v>
                </pt>
                <pt idx="11">
                  <v>12.35887338545273</v>
                </pt>
                <pt idx="12">
                  <v>23.24453514640242</v>
                </pt>
                <pt idx="13">
                  <v>41.53766645756207</v>
                </pt>
                <pt idx="14">
                  <v>68.48672416980844</v>
                </pt>
                <pt idx="15">
                  <v>68.48672416980844</v>
                </pt>
                <pt idx="16">
                  <v>68.48672416980844</v>
                </pt>
                <pt idx="17">
                  <v>68.48672416980844</v>
                </pt>
                <pt idx="18">
                  <v>68.48672416980844</v>
                </pt>
                <pt idx="19">
                  <v>68.48672416980844</v>
                </pt>
                <pt idx="20">
                  <v>68.48672416980844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3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8nodes'!$E$378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8nodes'!$A$379:$A$399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8nodes'!$E$379:$E$399</f>
              <numCache>
                <formatCode>General</formatCode>
                <ptCount val="21"/>
                <pt idx="0">
                  <v>0</v>
                </pt>
                <pt idx="1">
                  <v>0.01</v>
                </pt>
                <pt idx="2">
                  <v>0.02</v>
                </pt>
                <pt idx="3">
                  <v>0.03</v>
                </pt>
                <pt idx="4">
                  <v>0.07000000000000001</v>
                </pt>
                <pt idx="5">
                  <v>0.14</v>
                </pt>
                <pt idx="6">
                  <v>0.27</v>
                </pt>
                <pt idx="7">
                  <v>0.53</v>
                </pt>
                <pt idx="8">
                  <v>0.97</v>
                </pt>
                <pt idx="9">
                  <v>1.86</v>
                </pt>
                <pt idx="10">
                  <v>3.71</v>
                </pt>
                <pt idx="11">
                  <v>7.4</v>
                </pt>
                <pt idx="12">
                  <v>8.94</v>
                </pt>
                <pt idx="13">
                  <v>16.39</v>
                </pt>
                <pt idx="14">
                  <v>24.95</v>
                </pt>
                <pt idx="15">
                  <v>32.83</v>
                </pt>
                <pt idx="16">
                  <v>32.78</v>
                </pt>
                <pt idx="17">
                  <v>33.02</v>
                </pt>
                <pt idx="18">
                  <v>33.17</v>
                </pt>
                <pt idx="19">
                  <v>33.23</v>
                </pt>
                <pt idx="20">
                  <v>33.54</v>
                </pt>
              </numCache>
            </numRef>
          </val>
          <smooth val="1"/>
        </ser>
        <ser>
          <idx val="1"/>
          <order val="1"/>
          <tx>
            <strRef>
              <f>'AR, Ring, 0x0, 8nodes'!$F$378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8nodes'!$A$379:$A$399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8nodes'!$F$379:$F$399</f>
              <numCache>
                <formatCode>General</formatCode>
                <ptCount val="21"/>
                <pt idx="0">
                  <v>0.006442740146944035</v>
                </pt>
                <pt idx="1">
                  <v>0.01288505457563982</v>
                </pt>
                <pt idx="2">
                  <v>0.02576840644705708</v>
                </pt>
                <pt idx="3">
                  <v>0.05153000342707555</v>
                </pt>
                <pt idx="4">
                  <v>0.103032779779817</v>
                </pt>
                <pt idx="5">
                  <v>0.2059567375330575</v>
                </pt>
                <pt idx="6">
                  <v>0.4114788758515808</v>
                </pt>
                <pt idx="7">
                  <v>0.8212248456707616</v>
                </pt>
                <pt idx="8">
                  <v>1.635561671437874</v>
                </pt>
                <pt idx="9">
                  <v>3.243915019433761</v>
                </pt>
                <pt idx="10">
                  <v>6.381668044919043</v>
                </pt>
                <pt idx="11">
                  <v>12.35887338545273</v>
                </pt>
                <pt idx="12">
                  <v>23.24453514640242</v>
                </pt>
                <pt idx="13">
                  <v>41.53766645756207</v>
                </pt>
                <pt idx="14">
                  <v>68.48672416980844</v>
                </pt>
                <pt idx="15">
                  <v>101.3706573277358</v>
                </pt>
                <pt idx="16">
                  <v>101.3706573277358</v>
                </pt>
                <pt idx="17">
                  <v>101.3706573277358</v>
                </pt>
                <pt idx="18">
                  <v>101.3706573277358</v>
                </pt>
                <pt idx="19">
                  <v>101.3706573277358</v>
                </pt>
                <pt idx="20">
                  <v>101.3706573277358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3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LL128,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8nodes'!$E$417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8nodes'!$A$418:$A$438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8nodes'!$E$418:$E$438</f>
              <numCache>
                <formatCode>General</formatCode>
                <ptCount val="21"/>
                <pt idx="0">
                  <v>0</v>
                </pt>
                <pt idx="1">
                  <v>0.01</v>
                </pt>
                <pt idx="2">
                  <v>0.02</v>
                </pt>
                <pt idx="3">
                  <v>0.03</v>
                </pt>
                <pt idx="4">
                  <v>0.06</v>
                </pt>
                <pt idx="5">
                  <v>0.12</v>
                </pt>
                <pt idx="6">
                  <v>0.25</v>
                </pt>
                <pt idx="7">
                  <v>0.49</v>
                </pt>
                <pt idx="8">
                  <v>0.9399999999999999</v>
                </pt>
                <pt idx="9">
                  <v>1.75</v>
                </pt>
                <pt idx="10">
                  <v>3.33</v>
                </pt>
                <pt idx="11">
                  <v>5.84</v>
                </pt>
                <pt idx="12">
                  <v>10.23</v>
                </pt>
                <pt idx="13">
                  <v>14.18</v>
                </pt>
                <pt idx="14">
                  <v>17.96</v>
                </pt>
                <pt idx="15">
                  <v>20.38</v>
                </pt>
                <pt idx="16">
                  <v>20.42</v>
                </pt>
                <pt idx="17">
                  <v>20.52</v>
                </pt>
                <pt idx="18">
                  <v>20.55</v>
                </pt>
                <pt idx="19">
                  <v>20.74</v>
                </pt>
                <pt idx="20">
                  <v>20.75</v>
                </pt>
              </numCache>
            </numRef>
          </val>
          <smooth val="1"/>
        </ser>
        <ser>
          <idx val="1"/>
          <order val="1"/>
          <tx>
            <strRef>
              <f>'AR, Ring, 0x0, 8nodes'!$F$417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8nodes'!$A$418:$A$438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8nodes'!$F$418:$F$438</f>
              <numCache>
                <formatCode>General</formatCode>
                <ptCount val="21"/>
                <pt idx="0">
                  <v>0.006442044859206909</v>
                </pt>
                <pt idx="1">
                  <v>0.0128822739085232</v>
                </pt>
                <pt idx="2">
                  <v>0.02575728764753684</v>
                </pt>
                <pt idx="3">
                  <v>0.05148555915324957</v>
                </pt>
                <pt idx="4">
                  <v>0.102855249642383</v>
                </pt>
                <pt idx="5">
                  <v>0.205248585695259</v>
                </pt>
                <pt idx="6">
                  <v>0.408661907858419</v>
                </pt>
                <pt idx="7">
                  <v>0.8100803508184512</v>
                </pt>
                <pt idx="8">
                  <v>1.59194376110001</v>
                </pt>
                <pt idx="9">
                  <v>3.076718423818683</v>
                </pt>
                <pt idx="10">
                  <v>5.765317674018079</v>
                </pt>
                <pt idx="11">
                  <v>10.23901329166783</v>
                </pt>
                <pt idx="12">
                  <v>16.72996130058385</v>
                </pt>
                <pt idx="13">
                  <v>24.49379192579163</v>
                </pt>
                <pt idx="14">
                  <v>31.89435898707231</v>
                </pt>
                <pt idx="15">
                  <v>37.57008090169229</v>
                </pt>
                <pt idx="16">
                  <v>37.57008090169229</v>
                </pt>
                <pt idx="17">
                  <v>37.57008090169229</v>
                </pt>
                <pt idx="18">
                  <v>37.57008090169229</v>
                </pt>
                <pt idx="19">
                  <v>37.99263927521215</v>
                </pt>
                <pt idx="20">
                  <v>37.99263927521215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3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LL128,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8nodes'!$E$456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8nodes'!$A$457:$A$477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8nodes'!$E$457:$E$477</f>
              <numCache>
                <formatCode>General</formatCode>
                <ptCount val="21"/>
                <pt idx="0">
                  <v>0</v>
                </pt>
                <pt idx="1">
                  <v>0.01</v>
                </pt>
                <pt idx="2">
                  <v>0.02</v>
                </pt>
                <pt idx="3">
                  <v>0.03</v>
                </pt>
                <pt idx="4">
                  <v>0.06</v>
                </pt>
                <pt idx="5">
                  <v>0.12</v>
                </pt>
                <pt idx="6">
                  <v>0.24</v>
                </pt>
                <pt idx="7">
                  <v>0.49</v>
                </pt>
                <pt idx="8">
                  <v>0.95</v>
                </pt>
                <pt idx="9">
                  <v>1.85</v>
                </pt>
                <pt idx="10">
                  <v>3.43</v>
                </pt>
                <pt idx="11">
                  <v>5.96</v>
                </pt>
                <pt idx="12">
                  <v>11.23</v>
                </pt>
                <pt idx="13">
                  <v>19.99</v>
                </pt>
                <pt idx="14">
                  <v>27.69</v>
                </pt>
                <pt idx="15">
                  <v>34.93</v>
                </pt>
                <pt idx="16">
                  <v>40.14</v>
                </pt>
                <pt idx="17">
                  <v>40.39</v>
                </pt>
                <pt idx="18">
                  <v>40.54</v>
                </pt>
                <pt idx="19">
                  <v>40.44</v>
                </pt>
                <pt idx="20">
                  <v>40.84</v>
                </pt>
              </numCache>
            </numRef>
          </val>
          <smooth val="1"/>
        </ser>
        <ser>
          <idx val="1"/>
          <order val="1"/>
          <tx>
            <strRef>
              <f>'AR, Ring, 0x0, 8nodes'!$F$456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8nodes'!$A$457:$A$477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8nodes'!$F$457:$F$477</f>
              <numCache>
                <formatCode>General</formatCode>
                <ptCount val="21"/>
                <pt idx="0">
                  <v>0.006442498907666051</v>
                </pt>
                <pt idx="1">
                  <v>0.01288408971841382</v>
                </pt>
                <pt idx="2">
                  <v>0.02576454781704639</v>
                </pt>
                <pt idx="3">
                  <v>0.05151457529507368</v>
                </pt>
                <pt idx="4">
                  <v>0.1029711183064991</v>
                </pt>
                <pt idx="5">
                  <v>0.2057104992847659</v>
                </pt>
                <pt idx="6">
                  <v>0.4104971713905181</v>
                </pt>
                <pt idx="7">
                  <v>0.817323815716838</v>
                </pt>
                <pt idx="8">
                  <v>1.620160701636902</v>
                </pt>
                <pt idx="9">
                  <v>3.183887522200021</v>
                </pt>
                <pt idx="10">
                  <v>6.153436847637366</v>
                </pt>
                <pt idx="11">
                  <v>11.53063534803616</v>
                </pt>
                <pt idx="12">
                  <v>20.47802658333567</v>
                </pt>
                <pt idx="13">
                  <v>33.4599226011677</v>
                </pt>
                <pt idx="14">
                  <v>48.98758385158326</v>
                </pt>
                <pt idx="15">
                  <v>63.78871797414462</v>
                </pt>
                <pt idx="16">
                  <v>75.14016180338459</v>
                </pt>
                <pt idx="17">
                  <v>75.14016180338459</v>
                </pt>
                <pt idx="18">
                  <v>75.14016180338459</v>
                </pt>
                <pt idx="19">
                  <v>75.14016180338459</v>
                </pt>
                <pt idx="20">
                  <v>75.9852785504243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3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LL128,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8nodes'!$E$495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8nodes'!$A$496:$A$516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8nodes'!$E$496:$E$516</f>
              <numCache>
                <formatCode>General</formatCode>
                <ptCount val="21"/>
                <pt idx="0">
                  <v>0</v>
                </pt>
                <pt idx="1">
                  <v>0.01</v>
                </pt>
                <pt idx="2">
                  <v>0.02</v>
                </pt>
                <pt idx="3">
                  <v>0.03</v>
                </pt>
                <pt idx="4">
                  <v>0.06</v>
                </pt>
                <pt idx="5">
                  <v>0.12</v>
                </pt>
                <pt idx="6">
                  <v>0.24</v>
                </pt>
                <pt idx="7">
                  <v>0.49</v>
                </pt>
                <pt idx="8">
                  <v>0.98</v>
                </pt>
                <pt idx="9">
                  <v>1.9</v>
                </pt>
                <pt idx="10">
                  <v>3.7</v>
                </pt>
                <pt idx="11">
                  <v>6.86</v>
                </pt>
                <pt idx="12">
                  <v>13.02</v>
                </pt>
                <pt idx="13">
                  <v>22.56</v>
                </pt>
                <pt idx="14">
                  <v>39.81</v>
                </pt>
                <pt idx="15">
                  <v>54.93</v>
                </pt>
                <pt idx="16">
                  <v>69.84</v>
                </pt>
                <pt idx="17">
                  <v>79.84999999999999</v>
                </pt>
                <pt idx="18">
                  <v>79.28</v>
                </pt>
                <pt idx="19">
                  <v>79.34</v>
                </pt>
                <pt idx="20">
                  <v>79.45</v>
                </pt>
              </numCache>
            </numRef>
          </val>
          <smooth val="1"/>
        </ser>
        <ser>
          <idx val="1"/>
          <order val="1"/>
          <tx>
            <strRef>
              <f>'AR, Ring, 0x0, 8nodes'!$F$495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8nodes'!$A$496:$A$516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8nodes'!$F$496:$F$516</f>
              <numCache>
                <formatCode>General</formatCode>
                <ptCount val="21"/>
                <pt idx="0">
                  <v>0.006442725955898166</v>
                </pt>
                <pt idx="1">
                  <v>0.0128849978153321</v>
                </pt>
                <pt idx="2">
                  <v>0.02576817943682764</v>
                </pt>
                <pt idx="3">
                  <v>0.05152909563409278</v>
                </pt>
                <pt idx="4">
                  <v>0.1030291505901474</v>
                </pt>
                <pt idx="5">
                  <v>0.2059422366129983</v>
                </pt>
                <pt idx="6">
                  <v>0.4114209985695318</v>
                </pt>
                <pt idx="7">
                  <v>0.8209943427810361</v>
                </pt>
                <pt idx="8">
                  <v>1.634647631433676</v>
                </pt>
                <pt idx="9">
                  <v>3.240321403273805</v>
                </pt>
                <pt idx="10">
                  <v>6.367775044400042</v>
                </pt>
                <pt idx="11">
                  <v>12.30687369527473</v>
                </pt>
                <pt idx="12">
                  <v>23.06127069607232</v>
                </pt>
                <pt idx="13">
                  <v>40.95605316667134</v>
                </pt>
                <pt idx="14">
                  <v>66.91984520233541</v>
                </pt>
                <pt idx="15">
                  <v>97.97516770316652</v>
                </pt>
                <pt idx="16">
                  <v>127.5774359482892</v>
                </pt>
                <pt idx="17">
                  <v>150.2803236067692</v>
                </pt>
                <pt idx="18">
                  <v>150.2803236067692</v>
                </pt>
                <pt idx="19">
                  <v>150.2803236067692</v>
                </pt>
                <pt idx="20">
                  <v>150.2803236067692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3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LL128,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8nodes'!$E$534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8nodes'!$A$535:$A$555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8nodes'!$E$535:$E$555</f>
              <numCache>
                <formatCode>General</formatCode>
                <ptCount val="21"/>
                <pt idx="0">
                  <v>0</v>
                </pt>
                <pt idx="1">
                  <v>0.01</v>
                </pt>
                <pt idx="2">
                  <v>0.02</v>
                </pt>
                <pt idx="3">
                  <v>0.03</v>
                </pt>
                <pt idx="4">
                  <v>0.06</v>
                </pt>
                <pt idx="5">
                  <v>0.12</v>
                </pt>
                <pt idx="6">
                  <v>0.24</v>
                </pt>
                <pt idx="7">
                  <v>0.48</v>
                </pt>
                <pt idx="8">
                  <v>0.96</v>
                </pt>
                <pt idx="9">
                  <v>1.93</v>
                </pt>
                <pt idx="10">
                  <v>3.7</v>
                </pt>
                <pt idx="11">
                  <v>7.17</v>
                </pt>
                <pt idx="12">
                  <v>13.29</v>
                </pt>
                <pt idx="13">
                  <v>25.71</v>
                </pt>
                <pt idx="14">
                  <v>45.36</v>
                </pt>
                <pt idx="15">
                  <v>78.56</v>
                </pt>
                <pt idx="16">
                  <v>109.48</v>
                </pt>
                <pt idx="17">
                  <v>137.98</v>
                </pt>
                <pt idx="18">
                  <v>151.08</v>
                </pt>
                <pt idx="19">
                  <v>150.4</v>
                </pt>
                <pt idx="20">
                  <v>151.62</v>
                </pt>
              </numCache>
            </numRef>
          </val>
          <smooth val="1"/>
        </ser>
        <ser>
          <idx val="1"/>
          <order val="1"/>
          <tx>
            <strRef>
              <f>'AR, Ring, 0x0, 8nodes'!$F$534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8nodes'!$A$535:$A$555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8nodes'!$F$535:$F$555</f>
              <numCache>
                <formatCode>General</formatCode>
                <ptCount val="21"/>
                <pt idx="0">
                  <v>0.006442839486015597</v>
                </pt>
                <pt idx="1">
                  <v>0.01288545191179633</v>
                </pt>
                <pt idx="2">
                  <v>0.02576999563066421</v>
                </pt>
                <pt idx="3">
                  <v>0.05153635887365527</v>
                </pt>
                <pt idx="4">
                  <v>0.1030581912681856</v>
                </pt>
                <pt idx="5">
                  <v>0.2060583011802947</v>
                </pt>
                <pt idx="6">
                  <v>0.4118844732259966</v>
                </pt>
                <pt idx="7">
                  <v>0.8228419971390637</v>
                </pt>
                <pt idx="8">
                  <v>1.641988685562072</v>
                </pt>
                <pt idx="9">
                  <v>3.269295262867352</v>
                </pt>
                <pt idx="10">
                  <v>6.48064280654761</v>
                </pt>
                <pt idx="11">
                  <v>12.73555008880008</v>
                </pt>
                <pt idx="12">
                  <v>24.61374739054946</v>
                </pt>
                <pt idx="13">
                  <v>46.12254139214463</v>
                </pt>
                <pt idx="14">
                  <v>81.91210633334268</v>
                </pt>
                <pt idx="15">
                  <v>133.8396904046708</v>
                </pt>
                <pt idx="16">
                  <v>195.950335406333</v>
                </pt>
                <pt idx="17">
                  <v>255.1548718965785</v>
                </pt>
                <pt idx="18">
                  <v>300.5606472135383</v>
                </pt>
                <pt idx="19">
                  <v>300.5606472135383</v>
                </pt>
                <pt idx="20">
                  <v>300.5606472135383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3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LL128,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8nodes'!$E$573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8nodes'!$A$574:$A$594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8nodes'!$E$574:$E$594</f>
              <numCache>
                <formatCode>General</formatCode>
                <ptCount val="21"/>
                <pt idx="0">
                  <v>0</v>
                </pt>
                <pt idx="1">
                  <v>0.01</v>
                </pt>
                <pt idx="2">
                  <v>0.02</v>
                </pt>
                <pt idx="3">
                  <v>0.03</v>
                </pt>
                <pt idx="4">
                  <v>0.06</v>
                </pt>
                <pt idx="5">
                  <v>0.12</v>
                </pt>
                <pt idx="6">
                  <v>0.25</v>
                </pt>
                <pt idx="7">
                  <v>0.49</v>
                </pt>
                <pt idx="8">
                  <v>0.8100000000000001</v>
                </pt>
                <pt idx="9">
                  <v>1.62</v>
                </pt>
                <pt idx="10">
                  <v>3.26</v>
                </pt>
                <pt idx="11">
                  <v>6.36</v>
                </pt>
                <pt idx="12">
                  <v>12.86</v>
                </pt>
                <pt idx="13">
                  <v>24.34</v>
                </pt>
                <pt idx="14">
                  <v>45.51</v>
                </pt>
                <pt idx="15">
                  <v>83.11</v>
                </pt>
                <pt idx="16">
                  <v>144.88</v>
                </pt>
                <pt idx="17">
                  <v>209.75</v>
                </pt>
                <pt idx="18">
                  <v>252.92</v>
                </pt>
                <pt idx="19">
                  <v>284.38</v>
                </pt>
                <pt idx="20">
                  <v>285.52</v>
                </pt>
              </numCache>
            </numRef>
          </val>
          <smooth val="1"/>
        </ser>
        <ser>
          <idx val="1"/>
          <order val="1"/>
          <tx>
            <strRef>
              <f>'AR, Ring, 0x0, 8nodes'!$F$573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8nodes'!$A$574:$A$594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8nodes'!$F$574:$F$594</f>
              <numCache>
                <formatCode>General</formatCode>
                <ptCount val="21"/>
                <pt idx="0">
                  <v>0.006442839486015597</v>
                </pt>
                <pt idx="1">
                  <v>0.01288545191179633</v>
                </pt>
                <pt idx="2">
                  <v>0.02576999563066421</v>
                </pt>
                <pt idx="3">
                  <v>0.05153635887365527</v>
                </pt>
                <pt idx="4">
                  <v>0.1030581912681856</v>
                </pt>
                <pt idx="5">
                  <v>0.2060583011802947</v>
                </pt>
                <pt idx="6">
                  <v>0.4118844732259966</v>
                </pt>
                <pt idx="7">
                  <v>0.8228419971390637</v>
                </pt>
                <pt idx="8">
                  <v>1.641988685562072</v>
                </pt>
                <pt idx="9">
                  <v>3.269295262867352</v>
                </pt>
                <pt idx="10">
                  <v>6.48064280654761</v>
                </pt>
                <pt idx="11">
                  <v>12.73555008880008</v>
                </pt>
                <pt idx="12">
                  <v>24.61374739054946</v>
                </pt>
                <pt idx="13">
                  <v>46.12254139214463</v>
                </pt>
                <pt idx="14">
                  <v>81.91210633334268</v>
                </pt>
                <pt idx="15">
                  <v>133.8396904046708</v>
                </pt>
                <pt idx="16">
                  <v>195.950335406333</v>
                </pt>
                <pt idx="17">
                  <v>255.1548718965785</v>
                </pt>
                <pt idx="18">
                  <v>300.5606472135383</v>
                </pt>
                <pt idx="19">
                  <v>329.9155035750122</v>
                </pt>
                <pt idx="20">
                  <v>329.9155035750122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3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8, Protocol: Simple,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8nodes'!$E$16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8nodes'!$A$17:$A$39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8nodes'!$E$17:$E$39</f>
              <numCache>
                <formatCode>General</formatCode>
                <ptCount val="23"/>
                <pt idx="0">
                  <v>0.01</v>
                </pt>
                <pt idx="1">
                  <v>0.02</v>
                </pt>
                <pt idx="2">
                  <v>0.04</v>
                </pt>
                <pt idx="3">
                  <v>0.08</v>
                </pt>
                <pt idx="4">
                  <v>0.14</v>
                </pt>
                <pt idx="5">
                  <v>0.24</v>
                </pt>
                <pt idx="6">
                  <v>0.42</v>
                </pt>
                <pt idx="7">
                  <v>0.66</v>
                </pt>
                <pt idx="8">
                  <v>0.99</v>
                </pt>
                <pt idx="9">
                  <v>1.29</v>
                </pt>
                <pt idx="10">
                  <v>1.52</v>
                </pt>
                <pt idx="11">
                  <v>2.85</v>
                </pt>
                <pt idx="12">
                  <v>5.06</v>
                </pt>
                <pt idx="13">
                  <v>7.37</v>
                </pt>
                <pt idx="14">
                  <v>10.17</v>
                </pt>
                <pt idx="15">
                  <v>12.4</v>
                </pt>
                <pt idx="16">
                  <v>13.91</v>
                </pt>
                <pt idx="17">
                  <v>14.73</v>
                </pt>
                <pt idx="18">
                  <v>15.17</v>
                </pt>
                <pt idx="19">
                  <v>15.4</v>
                </pt>
                <pt idx="20">
                  <v>15.52</v>
                </pt>
                <pt idx="21">
                  <v>15.58</v>
                </pt>
                <pt idx="22">
                  <v>15.62</v>
                </pt>
              </numCache>
            </numRef>
          </val>
          <smooth val="1"/>
        </ser>
        <ser>
          <idx val="1"/>
          <order val="1"/>
          <tx>
            <strRef>
              <f>'AR, Tree, 0x0, 8nodes'!$F$16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8nodes'!$A$17:$A$39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8nodes'!$F$17:$F$39</f>
              <numCache>
                <formatCode>General</formatCode>
                <ptCount val="23"/>
                <pt idx="0">
                  <v>0.01936915444417444</v>
                </pt>
                <pt idx="1">
                  <v>0.03871486959435066</v>
                </pt>
                <pt idx="2">
                  <v>0.07733615199528336</v>
                </pt>
                <pt idx="3">
                  <v>0.1542993093386761</v>
                </pt>
                <pt idx="4">
                  <v>0.3071173820493124</v>
                </pt>
                <pt idx="5">
                  <v>0.6083943234636785</v>
                </pt>
                <pt idx="6">
                  <v>1.194080852641525</v>
                </pt>
                <pt idx="7">
                  <v>2.302232846545811</v>
                </pt>
                <pt idx="8">
                  <v>4.295361411628046</v>
                </pt>
                <pt idx="9">
                  <v>7.573837957241288</v>
                </pt>
                <pt idx="10">
                  <v>12.24806592133122</v>
                </pt>
                <pt idx="11">
                  <v>17.71429371056247</v>
                </pt>
                <pt idx="12">
                  <v>22.80262018217292</v>
                </pt>
                <pt idx="13">
                  <v>26.62681853327133</v>
                </pt>
                <pt idx="14">
                  <v>29.06395821728513</v>
                </pt>
                <pt idx="15">
                  <v>30.4578544831505</v>
                </pt>
                <pt idx="16">
                  <v>31.20617250299273</v>
                </pt>
                <pt idx="17">
                  <v>31.59429206156018</v>
                </pt>
                <pt idx="18">
                  <v>31.79199485590752</v>
                </pt>
                <pt idx="19">
                  <v>31.89177701625043</v>
                </pt>
                <pt idx="20">
                  <v>31.94190334735846</v>
                </pt>
                <pt idx="21">
                  <v>31.96702564944007</v>
                </pt>
                <pt idx="22">
                  <v>31.97960162532578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3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8, Protocol: Simple,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8nodes'!$E$56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8nodes'!$A$57:$A$79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8nodes'!$E$57:$E$79</f>
              <numCache>
                <formatCode>General</formatCode>
                <ptCount val="23"/>
                <pt idx="0">
                  <v>0.01</v>
                </pt>
                <pt idx="1">
                  <v>0.02</v>
                </pt>
                <pt idx="2">
                  <v>0.04</v>
                </pt>
                <pt idx="3">
                  <v>0.08</v>
                </pt>
                <pt idx="4">
                  <v>0.14</v>
                </pt>
                <pt idx="5">
                  <v>0.24</v>
                </pt>
                <pt idx="6">
                  <v>0.49</v>
                </pt>
                <pt idx="7">
                  <v>0.83</v>
                </pt>
                <pt idx="8">
                  <v>1.3</v>
                </pt>
                <pt idx="9">
                  <v>1.97</v>
                </pt>
                <pt idx="10">
                  <v>2.57</v>
                </pt>
                <pt idx="11">
                  <v>3.02</v>
                </pt>
                <pt idx="12">
                  <v>5.65</v>
                </pt>
                <pt idx="13">
                  <v>9.91</v>
                </pt>
                <pt idx="14">
                  <v>14.62</v>
                </pt>
                <pt idx="15">
                  <v>19.91</v>
                </pt>
                <pt idx="16">
                  <v>24.17</v>
                </pt>
                <pt idx="17">
                  <v>27.16</v>
                </pt>
                <pt idx="18">
                  <v>28.82</v>
                </pt>
                <pt idx="19">
                  <v>29.86</v>
                </pt>
                <pt idx="20">
                  <v>30.43</v>
                </pt>
                <pt idx="21">
                  <v>30.75</v>
                </pt>
                <pt idx="22">
                  <v>30.9</v>
                </pt>
              </numCache>
            </numRef>
          </val>
          <smooth val="1"/>
        </ser>
        <ser>
          <idx val="1"/>
          <order val="1"/>
          <tx>
            <strRef>
              <f>'AR, Tree, 0x0, 8nodes'!$F$56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8nodes'!$A$57:$A$79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8nodes'!$F$57:$F$79</f>
              <numCache>
                <formatCode>General</formatCode>
                <ptCount val="23"/>
                <pt idx="0">
                  <v>0.01937501959088901</v>
                </pt>
                <pt idx="1">
                  <v>0.03873830888834889</v>
                </pt>
                <pt idx="2">
                  <v>0.07742973918870133</v>
                </pt>
                <pt idx="3">
                  <v>0.1546723039905667</v>
                </pt>
                <pt idx="4">
                  <v>0.3085986186773521</v>
                </pt>
                <pt idx="5">
                  <v>0.6142347640986249</v>
                </pt>
                <pt idx="6">
                  <v>1.216788646927357</v>
                </pt>
                <pt idx="7">
                  <v>2.388161705283049</v>
                </pt>
                <pt idx="8">
                  <v>4.604465693091622</v>
                </pt>
                <pt idx="9">
                  <v>8.590722823256092</v>
                </pt>
                <pt idx="10">
                  <v>15.14767591448258</v>
                </pt>
                <pt idx="11">
                  <v>24.49613184266244</v>
                </pt>
                <pt idx="12">
                  <v>35.42858742112494</v>
                </pt>
                <pt idx="13">
                  <v>45.60524036434583</v>
                </pt>
                <pt idx="14">
                  <v>53.25363706654266</v>
                </pt>
                <pt idx="15">
                  <v>58.12791643457026</v>
                </pt>
                <pt idx="16">
                  <v>60.915708966301</v>
                </pt>
                <pt idx="17">
                  <v>62.41234500598546</v>
                </pt>
                <pt idx="18">
                  <v>63.18858412312036</v>
                </pt>
                <pt idx="19">
                  <v>63.58398971181504</v>
                </pt>
                <pt idx="20">
                  <v>63.78355403250087</v>
                </pt>
                <pt idx="21">
                  <v>63.88380669471692</v>
                </pt>
                <pt idx="22">
                  <v>63.93405129888014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3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8, Protocol: Simple,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8nodes'!$E$96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8nodes'!$A$97:$A$119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8nodes'!$E$97:$E$119</f>
              <numCache>
                <formatCode>General</formatCode>
                <ptCount val="23"/>
                <pt idx="0">
                  <v>0.01</v>
                </pt>
                <pt idx="1">
                  <v>0.02</v>
                </pt>
                <pt idx="2">
                  <v>0.04</v>
                </pt>
                <pt idx="3">
                  <v>0.08</v>
                </pt>
                <pt idx="4">
                  <v>0.14</v>
                </pt>
                <pt idx="5">
                  <v>0.24</v>
                </pt>
                <pt idx="6">
                  <v>0.48</v>
                </pt>
                <pt idx="7">
                  <v>0.97</v>
                </pt>
                <pt idx="8">
                  <v>1.64</v>
                </pt>
                <pt idx="9">
                  <v>2.58</v>
                </pt>
                <pt idx="10">
                  <v>3.9</v>
                </pt>
                <pt idx="11">
                  <v>5.09</v>
                </pt>
                <pt idx="12">
                  <v>5.99</v>
                </pt>
                <pt idx="13">
                  <v>11.23</v>
                </pt>
                <pt idx="14">
                  <v>19.76</v>
                </pt>
                <pt idx="15">
                  <v>28.7</v>
                </pt>
                <pt idx="16">
                  <v>39.19</v>
                </pt>
                <pt idx="17">
                  <v>47.86</v>
                </pt>
                <pt idx="18">
                  <v>53.72</v>
                </pt>
                <pt idx="19">
                  <v>57.27</v>
                </pt>
                <pt idx="20">
                  <v>59.27</v>
                </pt>
                <pt idx="21">
                  <v>60.41</v>
                </pt>
                <pt idx="22">
                  <v>60.97</v>
                </pt>
              </numCache>
            </numRef>
          </val>
          <smooth val="1"/>
        </ser>
        <ser>
          <idx val="1"/>
          <order val="1"/>
          <tx>
            <strRef>
              <f>'AR, Tree, 0x0, 8nodes'!$F$96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8nodes'!$A$97:$A$119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8nodes'!$F$97:$F$119</f>
              <numCache>
                <formatCode>General</formatCode>
                <ptCount val="23"/>
                <pt idx="0">
                  <v>0.01937795349646068</v>
                </pt>
                <pt idx="1">
                  <v>0.03875003918177802</v>
                </pt>
                <pt idx="2">
                  <v>0.07747661777669777</v>
                </pt>
                <pt idx="3">
                  <v>0.1548594783774027</v>
                </pt>
                <pt idx="4">
                  <v>0.3093446079811334</v>
                </pt>
                <pt idx="5">
                  <v>0.6171972373547042</v>
                </pt>
                <pt idx="6">
                  <v>1.22846952819725</v>
                </pt>
                <pt idx="7">
                  <v>2.433577293854714</v>
                </pt>
                <pt idx="8">
                  <v>4.776323410566098</v>
                </pt>
                <pt idx="9">
                  <v>9.208931386183243</v>
                </pt>
                <pt idx="10">
                  <v>17.18144564651218</v>
                </pt>
                <pt idx="11">
                  <v>30.29535182896515</v>
                </pt>
                <pt idx="12">
                  <v>48.99226368532488</v>
                </pt>
                <pt idx="13">
                  <v>70.85717484224988</v>
                </pt>
                <pt idx="14">
                  <v>91.21048072869166</v>
                </pt>
                <pt idx="15">
                  <v>106.5072741330853</v>
                </pt>
                <pt idx="16">
                  <v>116.2558328691405</v>
                </pt>
                <pt idx="17">
                  <v>121.831417932602</v>
                </pt>
                <pt idx="18">
                  <v>124.8246900119709</v>
                </pt>
                <pt idx="19">
                  <v>126.3771682462407</v>
                </pt>
                <pt idx="20">
                  <v>127.1679794236301</v>
                </pt>
                <pt idx="21">
                  <v>127.5671080650017</v>
                </pt>
                <pt idx="22">
                  <v>127.7676133894338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3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Simple,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8nodes'!$E$136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8nodes'!$A$137:$A$159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8nodes'!$E$137:$E$159</f>
              <numCache>
                <formatCode>General</formatCode>
                <ptCount val="23"/>
                <pt idx="0">
                  <v>0.01</v>
                </pt>
                <pt idx="1">
                  <v>0.02</v>
                </pt>
                <pt idx="2">
                  <v>0.04</v>
                </pt>
                <pt idx="3">
                  <v>0.08</v>
                </pt>
                <pt idx="4">
                  <v>0.14</v>
                </pt>
                <pt idx="5">
                  <v>0.24</v>
                </pt>
                <pt idx="6">
                  <v>0.48</v>
                </pt>
                <pt idx="7">
                  <v>0.97</v>
                </pt>
                <pt idx="8">
                  <v>1.9</v>
                </pt>
                <pt idx="9">
                  <v>3.23</v>
                </pt>
                <pt idx="10">
                  <v>5.12</v>
                </pt>
                <pt idx="11">
                  <v>7.74</v>
                </pt>
                <pt idx="12">
                  <v>10.12</v>
                </pt>
                <pt idx="13">
                  <v>11.78</v>
                </pt>
                <pt idx="14">
                  <v>22.26</v>
                </pt>
                <pt idx="15">
                  <v>39.06</v>
                </pt>
                <pt idx="16">
                  <v>56.94</v>
                </pt>
                <pt idx="17">
                  <v>77.17</v>
                </pt>
                <pt idx="18">
                  <v>94.73999999999999</v>
                </pt>
                <pt idx="19">
                  <v>106.62</v>
                </pt>
                <pt idx="20">
                  <v>113.73</v>
                </pt>
                <pt idx="21">
                  <v>117.61</v>
                </pt>
                <pt idx="22">
                  <v>120.11</v>
                </pt>
              </numCache>
            </numRef>
          </val>
          <smooth val="1"/>
        </ser>
        <ser>
          <idx val="1"/>
          <order val="1"/>
          <tx>
            <strRef>
              <f>'AR, Tree, 0x0, 8nodes'!$F$136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8nodes'!$A$137:$A$159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8nodes'!$F$137:$F$159</f>
              <numCache>
                <formatCode>General</formatCode>
                <ptCount val="23"/>
                <pt idx="0">
                  <v>0.01937942078247665</v>
                </pt>
                <pt idx="1">
                  <v>0.03875590699292137</v>
                </pt>
                <pt idx="2">
                  <v>0.07750007836355603</v>
                </pt>
                <pt idx="3">
                  <v>0.1549532355533955</v>
                </pt>
                <pt idx="4">
                  <v>0.3097189567548053</v>
                </pt>
                <pt idx="5">
                  <v>0.6186892159622669</v>
                </pt>
                <pt idx="6">
                  <v>1.234394474709408</v>
                </pt>
                <pt idx="7">
                  <v>2.456939056394499</v>
                </pt>
                <pt idx="8">
                  <v>4.867154587709428</v>
                </pt>
                <pt idx="9">
                  <v>9.552646821132196</v>
                </pt>
                <pt idx="10">
                  <v>18.41786277236649</v>
                </pt>
                <pt idx="11">
                  <v>34.36289129302437</v>
                </pt>
                <pt idx="12">
                  <v>60.59070365793031</v>
                </pt>
                <pt idx="13">
                  <v>97.98452737064976</v>
                </pt>
                <pt idx="14">
                  <v>141.7143496844998</v>
                </pt>
                <pt idx="15">
                  <v>182.4209614573833</v>
                </pt>
                <pt idx="16">
                  <v>213.0145482661706</v>
                </pt>
                <pt idx="17">
                  <v>232.511665738281</v>
                </pt>
                <pt idx="18">
                  <v>243.662835865204</v>
                </pt>
                <pt idx="19">
                  <v>249.6493800239419</v>
                </pt>
                <pt idx="20">
                  <v>252.7543364924814</v>
                </pt>
                <pt idx="21">
                  <v>254.3359588472601</v>
                </pt>
                <pt idx="22">
                  <v>255.1342161300035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4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Simple,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8nodes'!$E$176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8nodes'!$A$177:$A$199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8nodes'!$E$177:$E$199</f>
              <numCache>
                <formatCode>General</formatCode>
                <ptCount val="23"/>
                <pt idx="0">
                  <v>0.01</v>
                </pt>
                <pt idx="1">
                  <v>0.02</v>
                </pt>
                <pt idx="2">
                  <v>0.04</v>
                </pt>
                <pt idx="3">
                  <v>0.08</v>
                </pt>
                <pt idx="4">
                  <v>0.14</v>
                </pt>
                <pt idx="5">
                  <v>0.24</v>
                </pt>
                <pt idx="6">
                  <v>0.48</v>
                </pt>
                <pt idx="7">
                  <v>0.97</v>
                </pt>
                <pt idx="8">
                  <v>1.9</v>
                </pt>
                <pt idx="9">
                  <v>3.62</v>
                </pt>
                <pt idx="10">
                  <v>6.18</v>
                </pt>
                <pt idx="11">
                  <v>9.890000000000001</v>
                </pt>
                <pt idx="12">
                  <v>15.05</v>
                </pt>
                <pt idx="13">
                  <v>19.79</v>
                </pt>
                <pt idx="14">
                  <v>23.04</v>
                </pt>
                <pt idx="15">
                  <v>43.97</v>
                </pt>
                <pt idx="16">
                  <v>76.53</v>
                </pt>
                <pt idx="17">
                  <v>111.25</v>
                </pt>
                <pt idx="18">
                  <v>150.74</v>
                </pt>
                <pt idx="19">
                  <v>184.67</v>
                </pt>
                <pt idx="20">
                  <v>208.69</v>
                </pt>
                <pt idx="21">
                  <v>222.43</v>
                </pt>
                <pt idx="22">
                  <v>230.23</v>
                </pt>
              </numCache>
            </numRef>
          </val>
          <smooth val="1"/>
        </ser>
        <ser>
          <idx val="1"/>
          <order val="1"/>
          <tx>
            <strRef>
              <f>'AR, Tree, 0x0, 8nodes'!$F$176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8nodes'!$A$177:$A$199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8nodes'!$F$177:$F$199</f>
              <numCache>
                <formatCode>General</formatCode>
                <ptCount val="23"/>
                <pt idx="0">
                  <v>0.01937942078247665</v>
                </pt>
                <pt idx="1">
                  <v>0.03875590699292137</v>
                </pt>
                <pt idx="2">
                  <v>0.07750007836355603</v>
                </pt>
                <pt idx="3">
                  <v>0.1549532355533955</v>
                </pt>
                <pt idx="4">
                  <v>0.3097189567548053</v>
                </pt>
                <pt idx="5">
                  <v>0.6186892159622669</v>
                </pt>
                <pt idx="6">
                  <v>1.234394474709408</v>
                </pt>
                <pt idx="7">
                  <v>2.456939056394499</v>
                </pt>
                <pt idx="8">
                  <v>4.867154587709428</v>
                </pt>
                <pt idx="9">
                  <v>9.552646821132196</v>
                </pt>
                <pt idx="10">
                  <v>18.41786277236649</v>
                </pt>
                <pt idx="11">
                  <v>34.36289129302437</v>
                </pt>
                <pt idx="12">
                  <v>60.59070365793031</v>
                </pt>
                <pt idx="13">
                  <v>97.98452737064976</v>
                </pt>
                <pt idx="14">
                  <v>141.7143496844998</v>
                </pt>
                <pt idx="15">
                  <v>182.4209614573833</v>
                </pt>
                <pt idx="16">
                  <v>213.0145482661706</v>
                </pt>
                <pt idx="17">
                  <v>232.511665738281</v>
                </pt>
                <pt idx="18">
                  <v>243.662835865204</v>
                </pt>
                <pt idx="19">
                  <v>249.6493800239419</v>
                </pt>
                <pt idx="20">
                  <v>252.7543364924814</v>
                </pt>
                <pt idx="21">
                  <v>254.3359588472601</v>
                </pt>
                <pt idx="22">
                  <v>255.1342161300035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4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8nodes'!$E$216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8nodes'!$A$217:$A$237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8nodes'!$E$217:$E$237</f>
              <numCache>
                <formatCode>General</formatCode>
                <ptCount val="21"/>
                <pt idx="0">
                  <v>0.02</v>
                </pt>
                <pt idx="1">
                  <v>0.04</v>
                </pt>
                <pt idx="2">
                  <v>0.07000000000000001</v>
                </pt>
                <pt idx="3">
                  <v>0.12</v>
                </pt>
                <pt idx="4">
                  <v>0.22</v>
                </pt>
                <pt idx="5">
                  <v>0.35</v>
                </pt>
                <pt idx="6">
                  <v>0.65</v>
                </pt>
                <pt idx="7">
                  <v>1.16</v>
                </pt>
                <pt idx="8">
                  <v>1.85</v>
                </pt>
                <pt idx="9">
                  <v>2.36</v>
                </pt>
                <pt idx="10">
                  <v>2.77</v>
                </pt>
                <pt idx="11">
                  <v>3.01</v>
                </pt>
                <pt idx="12">
                  <v>3.16</v>
                </pt>
                <pt idx="13">
                  <v>3.25</v>
                </pt>
                <pt idx="14">
                  <v>3.3</v>
                </pt>
                <pt idx="15">
                  <v>3.33</v>
                </pt>
                <pt idx="16">
                  <v>3.35</v>
                </pt>
                <pt idx="17">
                  <v>3.36</v>
                </pt>
                <pt idx="18">
                  <v>3.36</v>
                </pt>
                <pt idx="19">
                  <v>3.37</v>
                </pt>
                <pt idx="20">
                  <v>3.37</v>
                </pt>
              </numCache>
            </numRef>
          </val>
          <smooth val="1"/>
        </ser>
        <ser>
          <idx val="1"/>
          <order val="1"/>
          <tx>
            <strRef>
              <f>'AR, Tree, 0x0, 8nodes'!$F$216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8nodes'!$A$217:$A$237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8nodes'!$F$217:$F$237</f>
              <numCache>
                <formatCode>General</formatCode>
                <ptCount val="21"/>
                <pt idx="0">
                  <v>0.01935743479717533</v>
                </pt>
                <pt idx="1">
                  <v>0.03866807599764168</v>
                </pt>
                <pt idx="2">
                  <v>0.07714965466933803</v>
                </pt>
                <pt idx="3">
                  <v>0.1535586910246562</v>
                </pt>
                <pt idx="4">
                  <v>0.3041971617318392</v>
                </pt>
                <pt idx="5">
                  <v>0.5970404263207623</v>
                </pt>
                <pt idx="6">
                  <v>1.151116423272905</v>
                </pt>
                <pt idx="7">
                  <v>2.147680705814023</v>
                </pt>
                <pt idx="8">
                  <v>3.786918978620644</v>
                </pt>
                <pt idx="9">
                  <v>6.12403296066561</v>
                </pt>
                <pt idx="10">
                  <v>8.857146855281234</v>
                </pt>
                <pt idx="11">
                  <v>11.40131009108646</v>
                </pt>
                <pt idx="12">
                  <v>13.31340926663566</v>
                </pt>
                <pt idx="13">
                  <v>14.53197910864256</v>
                </pt>
                <pt idx="14">
                  <v>15.22892724157525</v>
                </pt>
                <pt idx="15">
                  <v>15.60308625149637</v>
                </pt>
                <pt idx="16">
                  <v>15.79714603078009</v>
                </pt>
                <pt idx="17">
                  <v>15.89599742795376</v>
                </pt>
                <pt idx="18">
                  <v>15.94588850812522</v>
                </pt>
                <pt idx="19">
                  <v>15.97095167367923</v>
                </pt>
                <pt idx="20">
                  <v>15.98351282472003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4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8nodes'!$E$254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8nodes'!$A$255:$A$275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8nodes'!$E$255:$E$275</f>
              <numCache>
                <formatCode>General</formatCode>
                <ptCount val="21"/>
                <pt idx="0">
                  <v>0.01</v>
                </pt>
                <pt idx="1">
                  <v>0.04</v>
                </pt>
                <pt idx="2">
                  <v>0.07000000000000001</v>
                </pt>
                <pt idx="3">
                  <v>0.14</v>
                </pt>
                <pt idx="4">
                  <v>0.25</v>
                </pt>
                <pt idx="5">
                  <v>0.43</v>
                </pt>
                <pt idx="6">
                  <v>0.6899999999999999</v>
                </pt>
                <pt idx="7">
                  <v>1.27</v>
                </pt>
                <pt idx="8">
                  <v>2.24</v>
                </pt>
                <pt idx="9">
                  <v>3.51</v>
                </pt>
                <pt idx="10">
                  <v>4.51</v>
                </pt>
                <pt idx="11">
                  <v>5.19</v>
                </pt>
                <pt idx="12">
                  <v>5.66</v>
                </pt>
                <pt idx="13">
                  <v>5.98</v>
                </pt>
                <pt idx="14">
                  <v>6.14</v>
                </pt>
                <pt idx="15">
                  <v>6.22</v>
                </pt>
                <pt idx="16">
                  <v>6.29</v>
                </pt>
                <pt idx="17">
                  <v>6.32</v>
                </pt>
                <pt idx="18">
                  <v>6.34</v>
                </pt>
                <pt idx="19">
                  <v>6.36</v>
                </pt>
                <pt idx="20">
                  <v>6.37</v>
                </pt>
              </numCache>
            </numRef>
          </val>
          <smooth val="1"/>
        </ser>
        <ser>
          <idx val="1"/>
          <order val="1"/>
          <tx>
            <strRef>
              <f>'AR, Tree, 0x0, 8nodes'!$F$254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8nodes'!$A$255:$A$275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8nodes'!$F$255:$F$275</f>
              <numCache>
                <formatCode>General</formatCode>
                <ptCount val="21"/>
                <pt idx="0">
                  <v>0.01936915444417444</v>
                </pt>
                <pt idx="1">
                  <v>0.03871486959435066</v>
                </pt>
                <pt idx="2">
                  <v>0.07733615199528336</v>
                </pt>
                <pt idx="3">
                  <v>0.1542993093386761</v>
                </pt>
                <pt idx="4">
                  <v>0.3071173820493124</v>
                </pt>
                <pt idx="5">
                  <v>0.6083943234636785</v>
                </pt>
                <pt idx="6">
                  <v>1.194080852641525</v>
                </pt>
                <pt idx="7">
                  <v>2.302232846545811</v>
                </pt>
                <pt idx="8">
                  <v>4.295361411628046</v>
                </pt>
                <pt idx="9">
                  <v>7.573837957241288</v>
                </pt>
                <pt idx="10">
                  <v>12.24806592133122</v>
                </pt>
                <pt idx="11">
                  <v>17.71429371056247</v>
                </pt>
                <pt idx="12">
                  <v>22.80262018217292</v>
                </pt>
                <pt idx="13">
                  <v>26.62681853327133</v>
                </pt>
                <pt idx="14">
                  <v>29.06395821728513</v>
                </pt>
                <pt idx="15">
                  <v>30.4578544831505</v>
                </pt>
                <pt idx="16">
                  <v>31.20617250299273</v>
                </pt>
                <pt idx="17">
                  <v>31.59429206156018</v>
                </pt>
                <pt idx="18">
                  <v>31.79199485590752</v>
                </pt>
                <pt idx="19">
                  <v>31.89177701625043</v>
                </pt>
                <pt idx="20">
                  <v>31.94190334735846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4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8nodes'!$E$292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8nodes'!$A$293:$A$313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8nodes'!$E$293:$E$313</f>
              <numCache>
                <formatCode>General</formatCode>
                <ptCount val="21"/>
                <pt idx="0">
                  <v>0.02</v>
                </pt>
                <pt idx="1">
                  <v>0.04</v>
                </pt>
                <pt idx="2">
                  <v>0.07000000000000001</v>
                </pt>
                <pt idx="3">
                  <v>0.14</v>
                </pt>
                <pt idx="4">
                  <v>0.27</v>
                </pt>
                <pt idx="5">
                  <v>0.49</v>
                </pt>
                <pt idx="6">
                  <v>0.86</v>
                </pt>
                <pt idx="7">
                  <v>1.35</v>
                </pt>
                <pt idx="8">
                  <v>2.44</v>
                </pt>
                <pt idx="9">
                  <v>4.23</v>
                </pt>
                <pt idx="10">
                  <v>6.58</v>
                </pt>
                <pt idx="11">
                  <v>8.33</v>
                </pt>
                <pt idx="12">
                  <v>9.470000000000001</v>
                </pt>
                <pt idx="13">
                  <v>10.42</v>
                </pt>
                <pt idx="14">
                  <v>10.95</v>
                </pt>
                <pt idx="15">
                  <v>11.26</v>
                </pt>
                <pt idx="16">
                  <v>11.42</v>
                </pt>
                <pt idx="17">
                  <v>11.52</v>
                </pt>
                <pt idx="18">
                  <v>11.59</v>
                </pt>
                <pt idx="19">
                  <v>11.63</v>
                </pt>
                <pt idx="20">
                  <v>11.66</v>
                </pt>
              </numCache>
            </numRef>
          </val>
          <smooth val="1"/>
        </ser>
        <ser>
          <idx val="1"/>
          <order val="1"/>
          <tx>
            <strRef>
              <f>'AR, Tree, 0x0, 8nodes'!$F$292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8nodes'!$A$293:$A$313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8nodes'!$F$293:$F$313</f>
              <numCache>
                <formatCode>General</formatCode>
                <ptCount val="21"/>
                <pt idx="0">
                  <v>0.01937501959088901</v>
                </pt>
                <pt idx="1">
                  <v>0.03873830888834889</v>
                </pt>
                <pt idx="2">
                  <v>0.07742973918870133</v>
                </pt>
                <pt idx="3">
                  <v>0.1546723039905667</v>
                </pt>
                <pt idx="4">
                  <v>0.3085986186773521</v>
                </pt>
                <pt idx="5">
                  <v>0.6142347640986249</v>
                </pt>
                <pt idx="6">
                  <v>1.216788646927357</v>
                </pt>
                <pt idx="7">
                  <v>2.388161705283049</v>
                </pt>
                <pt idx="8">
                  <v>4.604465693091622</v>
                </pt>
                <pt idx="9">
                  <v>8.590722823256092</v>
                </pt>
                <pt idx="10">
                  <v>15.14767591448258</v>
                </pt>
                <pt idx="11">
                  <v>24.49613184266244</v>
                </pt>
                <pt idx="12">
                  <v>35.42858742112494</v>
                </pt>
                <pt idx="13">
                  <v>45.60524036434583</v>
                </pt>
                <pt idx="14">
                  <v>53.25363706654266</v>
                </pt>
                <pt idx="15">
                  <v>58.12791643457026</v>
                </pt>
                <pt idx="16">
                  <v>60.915708966301</v>
                </pt>
                <pt idx="17">
                  <v>62.41234500598546</v>
                </pt>
                <pt idx="18">
                  <v>63.18858412312036</v>
                </pt>
                <pt idx="19">
                  <v>63.58398971181504</v>
                </pt>
                <pt idx="20">
                  <v>63.78355403250087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4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8nodes'!$E$330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8nodes'!$A$331:$A$351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8nodes'!$E$331:$E$351</f>
              <numCache>
                <formatCode>General</formatCode>
                <ptCount val="21"/>
                <pt idx="0">
                  <v>0.02</v>
                </pt>
                <pt idx="1">
                  <v>0.04</v>
                </pt>
                <pt idx="2">
                  <v>0.07000000000000001</v>
                </pt>
                <pt idx="3">
                  <v>0.14</v>
                </pt>
                <pt idx="4">
                  <v>0.27</v>
                </pt>
                <pt idx="5">
                  <v>0.54</v>
                </pt>
                <pt idx="6">
                  <v>0.97</v>
                </pt>
                <pt idx="7">
                  <v>1.69</v>
                </pt>
                <pt idx="8">
                  <v>2.61</v>
                </pt>
                <pt idx="9">
                  <v>4.72</v>
                </pt>
                <pt idx="10">
                  <v>8.390000000000001</v>
                </pt>
                <pt idx="11">
                  <v>12.95</v>
                </pt>
                <pt idx="12">
                  <v>16.43</v>
                </pt>
                <pt idx="13">
                  <v>18.8</v>
                </pt>
                <pt idx="14">
                  <v>20.63</v>
                </pt>
                <pt idx="15">
                  <v>21.5</v>
                </pt>
                <pt idx="16">
                  <v>22.12</v>
                </pt>
                <pt idx="17">
                  <v>22.58</v>
                </pt>
                <pt idx="18">
                  <v>22.91</v>
                </pt>
                <pt idx="19">
                  <v>23.04</v>
                </pt>
                <pt idx="20">
                  <v>23.14</v>
                </pt>
              </numCache>
            </numRef>
          </val>
          <smooth val="1"/>
        </ser>
        <ser>
          <idx val="1"/>
          <order val="1"/>
          <tx>
            <strRef>
              <f>'AR, Tree, 0x0, 8nodes'!$F$330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8nodes'!$A$331:$A$351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8nodes'!$F$331:$F$351</f>
              <numCache>
                <formatCode>General</formatCode>
                <ptCount val="21"/>
                <pt idx="0">
                  <v>0.01937795349646068</v>
                </pt>
                <pt idx="1">
                  <v>0.03875003918177802</v>
                </pt>
                <pt idx="2">
                  <v>0.07747661777669777</v>
                </pt>
                <pt idx="3">
                  <v>0.1548594783774027</v>
                </pt>
                <pt idx="4">
                  <v>0.3093446079811334</v>
                </pt>
                <pt idx="5">
                  <v>0.6171972373547042</v>
                </pt>
                <pt idx="6">
                  <v>1.22846952819725</v>
                </pt>
                <pt idx="7">
                  <v>2.433577293854714</v>
                </pt>
                <pt idx="8">
                  <v>4.776323410566098</v>
                </pt>
                <pt idx="9">
                  <v>9.208931386183243</v>
                </pt>
                <pt idx="10">
                  <v>17.18144564651218</v>
                </pt>
                <pt idx="11">
                  <v>30.29535182896515</v>
                </pt>
                <pt idx="12">
                  <v>48.99226368532488</v>
                </pt>
                <pt idx="13">
                  <v>70.85717484224988</v>
                </pt>
                <pt idx="14">
                  <v>91.21048072869166</v>
                </pt>
                <pt idx="15">
                  <v>106.5072741330853</v>
                </pt>
                <pt idx="16">
                  <v>116.2558328691405</v>
                </pt>
                <pt idx="17">
                  <v>121.831417932602</v>
                </pt>
                <pt idx="18">
                  <v>124.8246900119709</v>
                </pt>
                <pt idx="19">
                  <v>126.3771682462407</v>
                </pt>
                <pt idx="20">
                  <v>127.1679794236301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4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8nodes'!$E$368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8nodes'!$A$369:$A$389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8nodes'!$E$369:$E$389</f>
              <numCache>
                <formatCode>General</formatCode>
                <ptCount val="21"/>
                <pt idx="0">
                  <v>0.02</v>
                </pt>
                <pt idx="1">
                  <v>0.04</v>
                </pt>
                <pt idx="2">
                  <v>0.07000000000000001</v>
                </pt>
                <pt idx="3">
                  <v>0.14</v>
                </pt>
                <pt idx="4">
                  <v>0.27</v>
                </pt>
                <pt idx="5">
                  <v>0.54</v>
                </pt>
                <pt idx="6">
                  <v>1</v>
                </pt>
                <pt idx="7">
                  <v>1.83</v>
                </pt>
                <pt idx="8">
                  <v>3.12</v>
                </pt>
                <pt idx="9">
                  <v>4.92</v>
                </pt>
                <pt idx="10">
                  <v>8.890000000000001</v>
                </pt>
                <pt idx="11">
                  <v>15.92</v>
                </pt>
                <pt idx="12">
                  <v>23.53</v>
                </pt>
                <pt idx="13">
                  <v>28.8</v>
                </pt>
                <pt idx="14">
                  <v>31.58</v>
                </pt>
                <pt idx="15">
                  <v>33.2</v>
                </pt>
                <pt idx="16">
                  <v>34.24</v>
                </pt>
                <pt idx="17">
                  <v>34.8</v>
                </pt>
                <pt idx="18">
                  <v>35.08</v>
                </pt>
                <pt idx="19">
                  <v>35.35</v>
                </pt>
                <pt idx="20">
                  <v>35.5</v>
                </pt>
              </numCache>
            </numRef>
          </val>
          <smooth val="1"/>
        </ser>
        <ser>
          <idx val="1"/>
          <order val="1"/>
          <tx>
            <strRef>
              <f>'AR, Tree, 0x0, 8nodes'!$F$368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8nodes'!$A$369:$A$389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8nodes'!$F$369:$F$389</f>
              <numCache>
                <formatCode>General</formatCode>
                <ptCount val="21"/>
                <pt idx="0">
                  <v>0.01937795349646068</v>
                </pt>
                <pt idx="1">
                  <v>0.03875003918177802</v>
                </pt>
                <pt idx="2">
                  <v>0.07747661777669777</v>
                </pt>
                <pt idx="3">
                  <v>0.1548594783774027</v>
                </pt>
                <pt idx="4">
                  <v>0.3093446079811334</v>
                </pt>
                <pt idx="5">
                  <v>0.6171972373547042</v>
                </pt>
                <pt idx="6">
                  <v>1.22846952819725</v>
                </pt>
                <pt idx="7">
                  <v>2.433577293854714</v>
                </pt>
                <pt idx="8">
                  <v>4.776323410566098</v>
                </pt>
                <pt idx="9">
                  <v>9.208931386183243</v>
                </pt>
                <pt idx="10">
                  <v>17.18144564651218</v>
                </pt>
                <pt idx="11">
                  <v>30.29535182896515</v>
                </pt>
                <pt idx="12">
                  <v>48.99226368532488</v>
                </pt>
                <pt idx="13">
                  <v>70.85717484224988</v>
                </pt>
                <pt idx="14">
                  <v>91.21048072869166</v>
                </pt>
                <pt idx="15">
                  <v>106.5072741330853</v>
                </pt>
                <pt idx="16">
                  <v>116.2558328691405</v>
                </pt>
                <pt idx="17">
                  <v>121.831417932602</v>
                </pt>
                <pt idx="18">
                  <v>124.8246900119709</v>
                </pt>
                <pt idx="19">
                  <v>126.3771682462407</v>
                </pt>
                <pt idx="20">
                  <v>127.1679794236301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4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LL128,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8nodes'!$E$406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8nodes'!$A$407:$A$427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8nodes'!$E$407:$E$427</f>
              <numCache>
                <formatCode>General</formatCode>
                <ptCount val="21"/>
                <pt idx="0">
                  <v>0.02</v>
                </pt>
                <pt idx="1">
                  <v>0.03</v>
                </pt>
                <pt idx="2">
                  <v>0.06</v>
                </pt>
                <pt idx="3">
                  <v>0.12</v>
                </pt>
                <pt idx="4">
                  <v>0.22</v>
                </pt>
                <pt idx="5">
                  <v>0.43</v>
                </pt>
                <pt idx="6">
                  <v>0.8</v>
                </pt>
                <pt idx="7">
                  <v>1.43</v>
                </pt>
                <pt idx="8">
                  <v>2.27</v>
                </pt>
                <pt idx="9">
                  <v>3.75</v>
                </pt>
                <pt idx="10">
                  <v>5.57</v>
                </pt>
                <pt idx="11">
                  <v>7.21</v>
                </pt>
                <pt idx="12">
                  <v>8.449999999999999</v>
                </pt>
                <pt idx="13">
                  <v>10.25</v>
                </pt>
                <pt idx="14">
                  <v>11.21</v>
                </pt>
                <pt idx="15">
                  <v>11.59</v>
                </pt>
                <pt idx="16">
                  <v>12</v>
                </pt>
                <pt idx="17">
                  <v>12.27</v>
                </pt>
                <pt idx="18">
                  <v>12.43</v>
                </pt>
                <pt idx="19">
                  <v>12.52</v>
                </pt>
                <pt idx="20">
                  <v>12.55</v>
                </pt>
              </numCache>
            </numRef>
          </val>
          <smooth val="1"/>
        </ser>
        <ser>
          <idx val="1"/>
          <order val="1"/>
          <tx>
            <strRef>
              <f>'AR, Tree, 0x0, 8nodes'!$F$406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8nodes'!$A$407:$A$427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8nodes'!$F$407:$F$427</f>
              <numCache>
                <formatCode>General</formatCode>
                <ptCount val="21"/>
                <pt idx="0">
                  <v>0.01936837269289632</v>
                </pt>
                <pt idx="1">
                  <v>0.03871174649808964</v>
                </pt>
                <pt idx="2">
                  <v>0.07732369079319766</v>
                </pt>
                <pt idx="3">
                  <v>0.1542497125965145</v>
                </pt>
                <pt idx="4">
                  <v>0.3069209575087562</v>
                </pt>
                <pt idx="5">
                  <v>0.6076239791835617</v>
                </pt>
                <pt idx="6">
                  <v>1.191117024816188</v>
                </pt>
                <pt idx="7">
                  <v>2.291240643177278</v>
                </pt>
                <pt idx="8">
                  <v>4.257255336941848</v>
                </pt>
                <pt idx="9">
                  <v>7.456159756833638</v>
                </pt>
                <pt idx="10">
                  <v>11.94323823139944</v>
                </pt>
                <pt idx="11">
                  <v>17.08367066684387</v>
                </pt>
                <pt idx="12">
                  <v>21.76825663517674</v>
                </pt>
                <pt idx="13">
                  <v>25.22706733059935</v>
                </pt>
                <pt idx="14">
                  <v>27.40422931073249</v>
                </pt>
                <pt idx="15">
                  <v>28.64008654942752</v>
                </pt>
                <pt idx="16">
                  <v>29.30077983975457</v>
                </pt>
                <pt idx="17">
                  <v>29.64269094008511</v>
                </pt>
                <pt idx="18">
                  <v>29.81665637453684</v>
                </pt>
                <pt idx="19">
                  <v>29.90440706453862</v>
                </pt>
                <pt idx="20">
                  <v>29.94847638327986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4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LL128,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8nodes'!$E$444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8nodes'!$A$445:$A$465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8nodes'!$E$445:$E$465</f>
              <numCache>
                <formatCode>General</formatCode>
                <ptCount val="21"/>
                <pt idx="0">
                  <v>0.02</v>
                </pt>
                <pt idx="1">
                  <v>0.03</v>
                </pt>
                <pt idx="2">
                  <v>0.06</v>
                </pt>
                <pt idx="3">
                  <v>0.12</v>
                </pt>
                <pt idx="4">
                  <v>0.22</v>
                </pt>
                <pt idx="5">
                  <v>0.39</v>
                </pt>
                <pt idx="6">
                  <v>0.84</v>
                </pt>
                <pt idx="7">
                  <v>1.58</v>
                </pt>
                <pt idx="8">
                  <v>2.82</v>
                </pt>
                <pt idx="9">
                  <v>4.45</v>
                </pt>
                <pt idx="10">
                  <v>7.42</v>
                </pt>
                <pt idx="11">
                  <v>11.01</v>
                </pt>
                <pt idx="12">
                  <v>14.29</v>
                </pt>
                <pt idx="13">
                  <v>16.59</v>
                </pt>
                <pt idx="14">
                  <v>20.2</v>
                </pt>
                <pt idx="15">
                  <v>22.09</v>
                </pt>
                <pt idx="16">
                  <v>22.91</v>
                </pt>
                <pt idx="17">
                  <v>23.84</v>
                </pt>
                <pt idx="18">
                  <v>24.3</v>
                </pt>
                <pt idx="19">
                  <v>24.65</v>
                </pt>
                <pt idx="20">
                  <v>24.82</v>
                </pt>
              </numCache>
            </numRef>
          </val>
          <smooth val="1"/>
        </ser>
        <ser>
          <idx val="1"/>
          <order val="1"/>
          <tx>
            <strRef>
              <f>'AR, Tree, 0x0, 8nodes'!$F$444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8nodes'!$A$445:$A$465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8nodes'!$F$445:$F$465</f>
              <numCache>
                <formatCode>General</formatCode>
                <ptCount val="21"/>
                <pt idx="0">
                  <v>0.01937462847060255</v>
                </pt>
                <pt idx="1">
                  <v>0.03873674538579264</v>
                </pt>
                <pt idx="2">
                  <v>0.07742349299617929</v>
                </pt>
                <pt idx="3">
                  <v>0.1546473815863953</v>
                </pt>
                <pt idx="4">
                  <v>0.3084994251930289</v>
                </pt>
                <pt idx="5">
                  <v>0.6138419150175124</v>
                </pt>
                <pt idx="6">
                  <v>1.215247958367123</v>
                </pt>
                <pt idx="7">
                  <v>2.382234049632376</v>
                </pt>
                <pt idx="8">
                  <v>4.582481286354557</v>
                </pt>
                <pt idx="9">
                  <v>8.514510673883697</v>
                </pt>
                <pt idx="10">
                  <v>14.91231951366728</v>
                </pt>
                <pt idx="11">
                  <v>23.88647646279887</v>
                </pt>
                <pt idx="12">
                  <v>34.16734133368773</v>
                </pt>
                <pt idx="13">
                  <v>43.53651327035347</v>
                </pt>
                <pt idx="14">
                  <v>50.45413466119871</v>
                </pt>
                <pt idx="15">
                  <v>54.80845862146498</v>
                </pt>
                <pt idx="16">
                  <v>57.28017309885504</v>
                </pt>
                <pt idx="17">
                  <v>58.60155967950914</v>
                </pt>
                <pt idx="18">
                  <v>59.28538188017021</v>
                </pt>
                <pt idx="19">
                  <v>59.63331274907368</v>
                </pt>
                <pt idx="20">
                  <v>59.80881412907725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4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LL128,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8nodes'!$E$482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8nodes'!$A$483:$A$503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8nodes'!$E$483:$E$503</f>
              <numCache>
                <formatCode>General</formatCode>
                <ptCount val="21"/>
                <pt idx="0">
                  <v>0.02</v>
                </pt>
                <pt idx="1">
                  <v>0.03</v>
                </pt>
                <pt idx="2">
                  <v>0.06</v>
                </pt>
                <pt idx="3">
                  <v>0.12</v>
                </pt>
                <pt idx="4">
                  <v>0.22</v>
                </pt>
                <pt idx="5">
                  <v>0.44</v>
                </pt>
                <pt idx="6">
                  <v>0.88</v>
                </pt>
                <pt idx="7">
                  <v>1.67</v>
                </pt>
                <pt idx="8">
                  <v>3.14</v>
                </pt>
                <pt idx="9">
                  <v>5.65</v>
                </pt>
                <pt idx="10">
                  <v>8.81</v>
                </pt>
                <pt idx="11">
                  <v>14.67</v>
                </pt>
                <pt idx="12">
                  <v>21.83</v>
                </pt>
                <pt idx="13">
                  <v>28.4</v>
                </pt>
                <pt idx="14">
                  <v>33.17</v>
                </pt>
                <pt idx="15">
                  <v>40.01</v>
                </pt>
                <pt idx="16">
                  <v>43.36</v>
                </pt>
                <pt idx="17">
                  <v>45.73</v>
                </pt>
                <pt idx="18">
                  <v>47.44</v>
                </pt>
                <pt idx="19">
                  <v>48.39</v>
                </pt>
                <pt idx="20">
                  <v>48.99</v>
                </pt>
              </numCache>
            </numRef>
          </val>
          <smooth val="1"/>
        </ser>
        <ser>
          <idx val="1"/>
          <order val="1"/>
          <tx>
            <strRef>
              <f>'AR, Tree, 0x0, 8nodes'!$F$482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8nodes'!$A$483:$A$503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8nodes'!$F$483:$F$503</f>
              <numCache>
                <formatCode>General</formatCode>
                <ptCount val="21"/>
                <pt idx="0">
                  <v>0.01937775787511252</v>
                </pt>
                <pt idx="1">
                  <v>0.0387492569412051</v>
                </pt>
                <pt idx="2">
                  <v>0.07747349077158529</v>
                </pt>
                <pt idx="3">
                  <v>0.1548469859923586</v>
                </pt>
                <pt idx="4">
                  <v>0.3092947631727906</v>
                </pt>
                <pt idx="5">
                  <v>0.6169988503860578</v>
                </pt>
                <pt idx="6">
                  <v>1.227683830035025</v>
                </pt>
                <pt idx="7">
                  <v>2.430495916734247</v>
                </pt>
                <pt idx="8">
                  <v>4.764468099264752</v>
                </pt>
                <pt idx="9">
                  <v>9.164962572709113</v>
                </pt>
                <pt idx="10">
                  <v>17.02902134776739</v>
                </pt>
                <pt idx="11">
                  <v>29.82463902733455</v>
                </pt>
                <pt idx="12">
                  <v>47.77295292559774</v>
                </pt>
                <pt idx="13">
                  <v>68.33468266737546</v>
                </pt>
                <pt idx="14">
                  <v>87.07302654070695</v>
                </pt>
                <pt idx="15">
                  <v>100.9082693223974</v>
                </pt>
                <pt idx="16">
                  <v>109.61691724293</v>
                </pt>
                <pt idx="17">
                  <v>114.5603461977101</v>
                </pt>
                <pt idx="18">
                  <v>117.2031193590183</v>
                </pt>
                <pt idx="19">
                  <v>118.5707637603404</v>
                </pt>
                <pt idx="20">
                  <v>119.2666254981474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4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LL128,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8nodes'!$E$520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8nodes'!$A$521:$A$541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8nodes'!$E$521:$E$541</f>
              <numCache>
                <formatCode>General</formatCode>
                <ptCount val="21"/>
                <pt idx="0">
                  <v>0.02</v>
                </pt>
                <pt idx="1">
                  <v>0.03</v>
                </pt>
                <pt idx="2">
                  <v>0.06</v>
                </pt>
                <pt idx="3">
                  <v>0.12</v>
                </pt>
                <pt idx="4">
                  <v>0.22</v>
                </pt>
                <pt idx="5">
                  <v>0.42</v>
                </pt>
                <pt idx="6">
                  <v>0.87</v>
                </pt>
                <pt idx="7">
                  <v>1.72</v>
                </pt>
                <pt idx="8">
                  <v>2.41</v>
                </pt>
                <pt idx="9">
                  <v>6.17</v>
                </pt>
                <pt idx="10">
                  <v>11.15</v>
                </pt>
                <pt idx="11">
                  <v>17.56</v>
                </pt>
                <pt idx="12">
                  <v>29.1</v>
                </pt>
                <pt idx="13">
                  <v>43.38</v>
                </pt>
                <pt idx="14">
                  <v>56.38</v>
                </pt>
                <pt idx="15">
                  <v>65.63</v>
                </pt>
                <pt idx="16">
                  <v>77.83</v>
                </pt>
                <pt idx="17">
                  <v>85.84999999999999</v>
                </pt>
                <pt idx="18">
                  <v>90.59999999999999</v>
                </pt>
                <pt idx="19">
                  <v>94.44</v>
                </pt>
                <pt idx="20">
                  <v>96.2</v>
                </pt>
              </numCache>
            </numRef>
          </val>
          <smooth val="1"/>
        </ser>
        <ser>
          <idx val="1"/>
          <order val="1"/>
          <tx>
            <strRef>
              <f>'AR, Tree, 0x0, 8nodes'!$F$520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8nodes'!$A$521:$A$541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8nodes'!$F$521:$F$541</f>
              <numCache>
                <formatCode>General</formatCode>
                <ptCount val="21"/>
                <pt idx="0">
                  <v>0.01937932295649595</v>
                </pt>
                <pt idx="1">
                  <v>0.03875551575022504</v>
                </pt>
                <pt idx="2">
                  <v>0.07749851388241021</v>
                </pt>
                <pt idx="3">
                  <v>0.1549469815431706</v>
                </pt>
                <pt idx="4">
                  <v>0.3096939719847172</v>
                </pt>
                <pt idx="5">
                  <v>0.6185895263455813</v>
                </pt>
                <pt idx="6">
                  <v>1.233997700772116</v>
                </pt>
                <pt idx="7">
                  <v>2.45536766007005</v>
                </pt>
                <pt idx="8">
                  <v>4.860991833468494</v>
                </pt>
                <pt idx="9">
                  <v>9.528936198529504</v>
                </pt>
                <pt idx="10">
                  <v>18.32992514541823</v>
                </pt>
                <pt idx="11">
                  <v>34.05804269553479</v>
                </pt>
                <pt idx="12">
                  <v>59.6492780546691</v>
                </pt>
                <pt idx="13">
                  <v>95.54590585119549</v>
                </pt>
                <pt idx="14">
                  <v>136.6693653347509</v>
                </pt>
                <pt idx="15">
                  <v>174.1460530814139</v>
                </pt>
                <pt idx="16">
                  <v>201.8165386447948</v>
                </pt>
                <pt idx="17">
                  <v>219.2338344858599</v>
                </pt>
                <pt idx="18">
                  <v>229.1206923954201</v>
                </pt>
                <pt idx="19">
                  <v>234.4062387180366</v>
                </pt>
                <pt idx="20">
                  <v>237.1415275206809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5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8, Protocol: LL128,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8nodes'!$E$558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8nodes'!$A$559:$A$579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8nodes'!$E$559:$E$579</f>
              <numCache>
                <formatCode>General</formatCode>
                <ptCount val="21"/>
                <pt idx="0">
                  <v>0.02</v>
                </pt>
                <pt idx="1">
                  <v>0.03</v>
                </pt>
                <pt idx="2">
                  <v>0.06</v>
                </pt>
                <pt idx="3">
                  <v>0.12</v>
                </pt>
                <pt idx="4">
                  <v>0.22</v>
                </pt>
                <pt idx="5">
                  <v>0.44</v>
                </pt>
                <pt idx="6">
                  <v>0.88</v>
                </pt>
                <pt idx="7">
                  <v>1.74</v>
                </pt>
                <pt idx="8">
                  <v>3.31</v>
                </pt>
                <pt idx="9">
                  <v>6.37</v>
                </pt>
                <pt idx="10">
                  <v>11.93</v>
                </pt>
                <pt idx="11">
                  <v>21.34</v>
                </pt>
                <pt idx="12">
                  <v>33.06</v>
                </pt>
                <pt idx="13">
                  <v>55.9</v>
                </pt>
                <pt idx="14">
                  <v>83.55</v>
                </pt>
                <pt idx="15">
                  <v>107.31</v>
                </pt>
                <pt idx="16">
                  <v>126.24</v>
                </pt>
                <pt idx="17">
                  <v>151.79</v>
                </pt>
                <pt idx="18">
                  <v>168.43</v>
                </pt>
                <pt idx="19">
                  <v>178.49</v>
                </pt>
                <pt idx="20">
                  <v>185.6</v>
                </pt>
              </numCache>
            </numRef>
          </val>
          <smooth val="1"/>
        </ser>
        <ser>
          <idx val="1"/>
          <order val="1"/>
          <tx>
            <strRef>
              <f>'AR, Tree, 0x0, 8nodes'!$F$558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8nodes'!$A$559:$A$579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8nodes'!$F$559:$F$579</f>
              <numCache>
                <formatCode>General</formatCode>
                <ptCount val="21"/>
                <pt idx="0">
                  <v>0.01937932295649595</v>
                </pt>
                <pt idx="1">
                  <v>0.03875551575022504</v>
                </pt>
                <pt idx="2">
                  <v>0.07749851388241021</v>
                </pt>
                <pt idx="3">
                  <v>0.1549469815431706</v>
                </pt>
                <pt idx="4">
                  <v>0.3096939719847172</v>
                </pt>
                <pt idx="5">
                  <v>0.6185895263455813</v>
                </pt>
                <pt idx="6">
                  <v>1.233997700772116</v>
                </pt>
                <pt idx="7">
                  <v>2.45536766007005</v>
                </pt>
                <pt idx="8">
                  <v>4.860991833468494</v>
                </pt>
                <pt idx="9">
                  <v>9.528936198529504</v>
                </pt>
                <pt idx="10">
                  <v>18.32992514541823</v>
                </pt>
                <pt idx="11">
                  <v>34.05804269553479</v>
                </pt>
                <pt idx="12">
                  <v>59.6492780546691</v>
                </pt>
                <pt idx="13">
                  <v>95.54590585119549</v>
                </pt>
                <pt idx="14">
                  <v>136.6693653347509</v>
                </pt>
                <pt idx="15">
                  <v>174.1460530814139</v>
                </pt>
                <pt idx="16">
                  <v>201.8165386447948</v>
                </pt>
                <pt idx="17">
                  <v>219.2338344858599</v>
                </pt>
                <pt idx="18">
                  <v>229.1206923954201</v>
                </pt>
                <pt idx="19">
                  <v>234.4062387180366</v>
                </pt>
                <pt idx="20">
                  <v>237.1415275206809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5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16, Protocol: Simple,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16nodes'!$E$17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16nodes'!$A$18:$A$40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16nodes'!$E$18:$E$40</f>
              <numCache>
                <formatCode>General</formatCode>
                <ptCount val="2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0.01</v>
                </pt>
                <pt idx="5">
                  <v>0.02</v>
                </pt>
                <pt idx="6">
                  <v>0.03</v>
                </pt>
                <pt idx="7">
                  <v>0.06</v>
                </pt>
                <pt idx="8">
                  <v>0.13</v>
                </pt>
                <pt idx="9">
                  <v>0.25</v>
                </pt>
                <pt idx="10">
                  <v>0.47</v>
                </pt>
                <pt idx="11">
                  <v>0.8100000000000001</v>
                </pt>
                <pt idx="12">
                  <v>1.51</v>
                </pt>
                <pt idx="13">
                  <v>2.79</v>
                </pt>
                <pt idx="14">
                  <v>5.51</v>
                </pt>
                <pt idx="15">
                  <v>9.539999999999999</v>
                </pt>
                <pt idx="16">
                  <v>16.63</v>
                </pt>
                <pt idx="17">
                  <v>22.89</v>
                </pt>
                <pt idx="18">
                  <v>25.91</v>
                </pt>
                <pt idx="19">
                  <v>27.68</v>
                </pt>
                <pt idx="20">
                  <v>27.68</v>
                </pt>
                <pt idx="21">
                  <v>27.68</v>
                </pt>
                <pt idx="22">
                  <v>27.64</v>
                </pt>
              </numCache>
            </numRef>
          </val>
          <smooth val="1"/>
        </ser>
        <ser>
          <idx val="1"/>
          <order val="1"/>
          <tx>
            <strRef>
              <f>'AR, Ring, 0x0, 16nodes'!$F$17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16nodes'!$A$18:$A$40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16nodes'!$F$18:$F$40</f>
              <numCache>
                <formatCode>General</formatCode>
                <ptCount val="23"/>
                <pt idx="0">
                  <v>0.0006395283237804462</v>
                </pt>
                <pt idx="1">
                  <v>0.001279039868438367</v>
                </pt>
                <pt idx="2">
                  <v>0.002558012623027938</v>
                </pt>
                <pt idx="3">
                  <v>0.005115756811789191</v>
                </pt>
                <pt idx="4">
                  <v>0.01023044005550861</v>
                </pt>
                <pt idx="5">
                  <v>0.02045658719021742</v>
                </pt>
                <pt idx="6">
                  <v>0.04089601350113396</v>
                </pt>
                <pt idx="7">
                  <v>0.08172346978947058</v>
                </pt>
                <pt idx="8">
                  <v>0.1631733991408871</v>
                </pt>
                <pt idx="9">
                  <v>0.3252581116831795</v>
                </pt>
                <pt idx="10">
                  <v>0.6462047701703331</v>
                </pt>
                <pt idx="11">
                  <v>1.275502144036282</v>
                </pt>
                <pt idx="12">
                  <v>2.485961234041567</v>
                </pt>
                <pt idx="13">
                  <v>4.730685527921995</v>
                </pt>
                <pt idx="14">
                  <v>8.624456369983935</v>
                </pt>
                <pt idx="15">
                  <v>14.65607779620464</v>
                </pt>
                <pt idx="16">
                  <v>22.53676043048807</v>
                </pt>
                <pt idx="17">
                  <v>30.82387428890409</v>
                </pt>
                <pt idx="18">
                  <v>47.08552177498785</v>
                </pt>
                <pt idx="19">
                  <v>47.90330649881724</v>
                </pt>
                <pt idx="20">
                  <v>48.32294468572407</v>
                </pt>
                <pt idx="21">
                  <v>48.53553296556159</v>
                </pt>
                <pt idx="22">
                  <v>48.64253008530493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5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16, Protocol: Simple,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16nodes'!$E$58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16nodes'!$A$59:$A$81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16nodes'!$E$59:$E$81</f>
              <numCache>
                <formatCode>General</formatCode>
                <ptCount val="2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0.01</v>
                </pt>
                <pt idx="5">
                  <v>0.02</v>
                </pt>
                <pt idx="6">
                  <v>0.03</v>
                </pt>
                <pt idx="7">
                  <v>0.06</v>
                </pt>
                <pt idx="8">
                  <v>0.13</v>
                </pt>
                <pt idx="9">
                  <v>0.25</v>
                </pt>
                <pt idx="10">
                  <v>0.49</v>
                </pt>
                <pt idx="11">
                  <v>0.93</v>
                </pt>
                <pt idx="12">
                  <v>1.6</v>
                </pt>
                <pt idx="13">
                  <v>2.96</v>
                </pt>
                <pt idx="14">
                  <v>5.49</v>
                </pt>
                <pt idx="15">
                  <v>10.86</v>
                </pt>
                <pt idx="16">
                  <v>18.73</v>
                </pt>
                <pt idx="17">
                  <v>32.88</v>
                </pt>
                <pt idx="18">
                  <v>45.41</v>
                </pt>
                <pt idx="19">
                  <v>51.66</v>
                </pt>
                <pt idx="20">
                  <v>55.04</v>
                </pt>
                <pt idx="21">
                  <v>55.06</v>
                </pt>
                <pt idx="22">
                  <v>55.08</v>
                </pt>
              </numCache>
            </numRef>
          </val>
          <smooth val="1"/>
        </ser>
        <ser>
          <idx val="1"/>
          <order val="1"/>
          <tx>
            <strRef>
              <f>'AR, Ring, 0x0, 16nodes'!$F$58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16nodes'!$A$59:$A$81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16nodes'!$F$59:$F$81</f>
              <numCache>
                <formatCode>General</formatCode>
                <ptCount val="23"/>
                <pt idx="0">
                  <v>0.0006395325186436221</v>
                </pt>
                <pt idx="1">
                  <v>0.001279056647560892</v>
                </pt>
                <pt idx="2">
                  <v>0.002558079736876734</v>
                </pt>
                <pt idx="3">
                  <v>0.005116025246055876</v>
                </pt>
                <pt idx="4">
                  <v>0.01023151362357838</v>
                </pt>
                <pt idx="5">
                  <v>0.02046088011101722</v>
                </pt>
                <pt idx="6">
                  <v>0.04091317438043483</v>
                </pt>
                <pt idx="7">
                  <v>0.08179202700226791</v>
                </pt>
                <pt idx="8">
                  <v>0.1634469395789412</v>
                </pt>
                <pt idx="9">
                  <v>0.3263467982817742</v>
                </pt>
                <pt idx="10">
                  <v>0.6505162233663591</v>
                </pt>
                <pt idx="11">
                  <v>1.292409540340666</v>
                </pt>
                <pt idx="12">
                  <v>2.551004288072563</v>
                </pt>
                <pt idx="13">
                  <v>4.971922468083134</v>
                </pt>
                <pt idx="14">
                  <v>9.461371055843991</v>
                </pt>
                <pt idx="15">
                  <v>17.24891273996787</v>
                </pt>
                <pt idx="16">
                  <v>29.31215559240929</v>
                </pt>
                <pt idx="17">
                  <v>45.07352086097613</v>
                </pt>
                <pt idx="18">
                  <v>61.64774857780817</v>
                </pt>
                <pt idx="19">
                  <v>94.17104354997571</v>
                </pt>
                <pt idx="20">
                  <v>95.80661299763447</v>
                </pt>
                <pt idx="21">
                  <v>96.64588937144813</v>
                </pt>
                <pt idx="22">
                  <v>97.07106593112317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5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16, Protocol: Simple,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16nodes'!$E$99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16nodes'!$A$100:$A$122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16nodes'!$E$100:$E$122</f>
              <numCache>
                <formatCode>General</formatCode>
                <ptCount val="2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0.01</v>
                </pt>
                <pt idx="5">
                  <v>0.02</v>
                </pt>
                <pt idx="6">
                  <v>0.03</v>
                </pt>
                <pt idx="7">
                  <v>0.06</v>
                </pt>
                <pt idx="8">
                  <v>0.13</v>
                </pt>
                <pt idx="9">
                  <v>0.25</v>
                </pt>
                <pt idx="10">
                  <v>0.5</v>
                </pt>
                <pt idx="11">
                  <v>0.97</v>
                </pt>
                <pt idx="12">
                  <v>1.84</v>
                </pt>
                <pt idx="13">
                  <v>3.17</v>
                </pt>
                <pt idx="14">
                  <v>5.92</v>
                </pt>
                <pt idx="15">
                  <v>10.94</v>
                </pt>
                <pt idx="16">
                  <v>21.57</v>
                </pt>
                <pt idx="17">
                  <v>36.84</v>
                </pt>
                <pt idx="18">
                  <v>64.56</v>
                </pt>
                <pt idx="19">
                  <v>90.34999999999999</v>
                </pt>
                <pt idx="20">
                  <v>102.47</v>
                </pt>
                <pt idx="21">
                  <v>109.28</v>
                </pt>
                <pt idx="22">
                  <v>109.15</v>
                </pt>
              </numCache>
            </numRef>
          </val>
          <smooth val="1"/>
        </ser>
        <ser>
          <idx val="1"/>
          <order val="1"/>
          <tx>
            <strRef>
              <f>'AR, Ring, 0x0, 16nodes'!$F$99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16nodes'!$A$100:$A$122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16nodes'!$F$100:$F$122</f>
              <numCache>
                <formatCode>General</formatCode>
                <ptCount val="23"/>
                <pt idx="0">
                  <v>0.0006395346160958467</v>
                </pt>
                <pt idx="1">
                  <v>0.001279065037287244</v>
                </pt>
                <pt idx="2">
                  <v>0.002558113295121785</v>
                </pt>
                <pt idx="3">
                  <v>0.005116159473753468</v>
                </pt>
                <pt idx="4">
                  <v>0.01023205049211175</v>
                </pt>
                <pt idx="5">
                  <v>0.02046302724715676</v>
                </pt>
                <pt idx="6">
                  <v>0.04092176022203443</v>
                </pt>
                <pt idx="7">
                  <v>0.08182634876086967</v>
                </pt>
                <pt idx="8">
                  <v>0.1635840540045358</v>
                </pt>
                <pt idx="9">
                  <v>0.3268938791578823</v>
                </pt>
                <pt idx="10">
                  <v>0.6526935965635483</v>
                </pt>
                <pt idx="11">
                  <v>1.301032446732718</v>
                </pt>
                <pt idx="12">
                  <v>2.584819080681332</v>
                </pt>
                <pt idx="13">
                  <v>5.102008576145127</v>
                </pt>
                <pt idx="14">
                  <v>9.943844936166268</v>
                </pt>
                <pt idx="15">
                  <v>18.92274211168798</v>
                </pt>
                <pt idx="16">
                  <v>34.49782547993574</v>
                </pt>
                <pt idx="17">
                  <v>58.62431118481857</v>
                </pt>
                <pt idx="18">
                  <v>90.14704172195226</v>
                </pt>
                <pt idx="19">
                  <v>123.2954971556163</v>
                </pt>
                <pt idx="20">
                  <v>188.3420870999514</v>
                </pt>
                <pt idx="21">
                  <v>191.6132259952689</v>
                </pt>
                <pt idx="22">
                  <v>193.2917787428963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5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Simple,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16nodes'!$E$140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16nodes'!$A$141:$A$163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16nodes'!$E$141:$E$163</f>
              <numCache>
                <formatCode>General</formatCode>
                <ptCount val="2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0.01</v>
                </pt>
                <pt idx="5">
                  <v>0.02</v>
                </pt>
                <pt idx="6">
                  <v>0.03</v>
                </pt>
                <pt idx="7">
                  <v>0.06</v>
                </pt>
                <pt idx="8">
                  <v>0.13</v>
                </pt>
                <pt idx="9">
                  <v>0.25</v>
                </pt>
                <pt idx="10">
                  <v>0.5</v>
                </pt>
                <pt idx="11">
                  <v>0.99</v>
                </pt>
                <pt idx="12">
                  <v>1.91</v>
                </pt>
                <pt idx="13">
                  <v>3.66</v>
                </pt>
                <pt idx="14">
                  <v>6.37</v>
                </pt>
                <pt idx="15">
                  <v>11.74</v>
                </pt>
                <pt idx="16">
                  <v>21.74</v>
                </pt>
                <pt idx="17">
                  <v>42.7</v>
                </pt>
                <pt idx="18">
                  <v>73.89</v>
                </pt>
                <pt idx="19">
                  <v>127.74</v>
                </pt>
                <pt idx="20">
                  <v>177.75</v>
                </pt>
                <pt idx="21">
                  <v>200.91</v>
                </pt>
                <pt idx="22">
                  <v>214.15</v>
                </pt>
              </numCache>
            </numRef>
          </val>
          <smooth val="1"/>
        </ser>
        <ser>
          <idx val="1"/>
          <order val="1"/>
          <tx>
            <strRef>
              <f>'AR, Ring, 0x0, 16nodes'!$F$140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16nodes'!$A$141:$A$163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16nodes'!$F$141:$F$163</f>
              <numCache>
                <formatCode>General</formatCode>
                <ptCount val="23"/>
                <pt idx="0">
                  <v>0.0006395356648271182</v>
                </pt>
                <pt idx="1">
                  <v>0.001279069232191693</v>
                </pt>
                <pt idx="2">
                  <v>0.002558130074574489</v>
                </pt>
                <pt idx="3">
                  <v>0.00511622659024357</v>
                </pt>
                <pt idx="4">
                  <v>0.01023231894750694</v>
                </pt>
                <pt idx="5">
                  <v>0.0204641009842235</v>
                </pt>
                <pt idx="6">
                  <v>0.04092605449431352</v>
                </pt>
                <pt idx="7">
                  <v>0.08184352044406887</v>
                </pt>
                <pt idx="8">
                  <v>0.1636526975217393</v>
                </pt>
                <pt idx="9">
                  <v>0.3271681080090716</v>
                </pt>
                <pt idx="10">
                  <v>0.6537877583157646</v>
                </pt>
                <pt idx="11">
                  <v>1.305387193127097</v>
                </pt>
                <pt idx="12">
                  <v>2.602064893465436</v>
                </pt>
                <pt idx="13">
                  <v>5.169638161362665</v>
                </pt>
                <pt idx="14">
                  <v>10.20401715229025</v>
                </pt>
                <pt idx="15">
                  <v>19.88768987233254</v>
                </pt>
                <pt idx="16">
                  <v>37.84548422337596</v>
                </pt>
                <pt idx="17">
                  <v>68.99565095987148</v>
                </pt>
                <pt idx="18">
                  <v>117.2486223696371</v>
                </pt>
                <pt idx="19">
                  <v>180.2940834439045</v>
                </pt>
                <pt idx="20">
                  <v>246.5909943112327</v>
                </pt>
                <pt idx="21">
                  <v>376.6841741999028</v>
                </pt>
                <pt idx="22">
                  <v>383.2264519905379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5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Simple,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16nodes'!$E$181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16nodes'!$A$182:$A$204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16nodes'!$E$182:$E$204</f>
              <numCache>
                <formatCode>General</formatCode>
                <ptCount val="2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0.01</v>
                </pt>
                <pt idx="5">
                  <v>0.02</v>
                </pt>
                <pt idx="6">
                  <v>0.03</v>
                </pt>
                <pt idx="7">
                  <v>0.06</v>
                </pt>
                <pt idx="8">
                  <v>0.13</v>
                </pt>
                <pt idx="9">
                  <v>0.24</v>
                </pt>
                <pt idx="10">
                  <v>0.48</v>
                </pt>
                <pt idx="11">
                  <v>0.97</v>
                </pt>
                <pt idx="12">
                  <v>1.92</v>
                </pt>
                <pt idx="13">
                  <v>3.75</v>
                </pt>
                <pt idx="14">
                  <v>7.02</v>
                </pt>
                <pt idx="15">
                  <v>12.01</v>
                </pt>
                <pt idx="16">
                  <v>22.5</v>
                </pt>
                <pt idx="17">
                  <v>41.43</v>
                </pt>
                <pt idx="18">
                  <v>80.7</v>
                </pt>
                <pt idx="19">
                  <v>137.34</v>
                </pt>
                <pt idx="20">
                  <v>221.64</v>
                </pt>
                <pt idx="21">
                  <v>303.14</v>
                </pt>
                <pt idx="22">
                  <v>353.3</v>
                </pt>
              </numCache>
            </numRef>
          </val>
          <smooth val="1"/>
        </ser>
        <ser>
          <idx val="1"/>
          <order val="1"/>
          <tx>
            <strRef>
              <f>'AR, Ring, 0x0, 16nodes'!$F$181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16nodes'!$A$182:$A$204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Ring, 0x0, 16nodes'!$F$182:$F$204</f>
              <numCache>
                <formatCode>General</formatCode>
                <ptCount val="23"/>
                <pt idx="0">
                  <v>0.0006395356648271182</v>
                </pt>
                <pt idx="1">
                  <v>0.001279069232191693</v>
                </pt>
                <pt idx="2">
                  <v>0.002558130074574489</v>
                </pt>
                <pt idx="3">
                  <v>0.00511622659024357</v>
                </pt>
                <pt idx="4">
                  <v>0.01023231894750694</v>
                </pt>
                <pt idx="5">
                  <v>0.0204641009842235</v>
                </pt>
                <pt idx="6">
                  <v>0.04092605449431352</v>
                </pt>
                <pt idx="7">
                  <v>0.08184352044406887</v>
                </pt>
                <pt idx="8">
                  <v>0.1636526975217393</v>
                </pt>
                <pt idx="9">
                  <v>0.3271681080090716</v>
                </pt>
                <pt idx="10">
                  <v>0.6537877583157646</v>
                </pt>
                <pt idx="11">
                  <v>1.305387193127097</v>
                </pt>
                <pt idx="12">
                  <v>2.602064893465436</v>
                </pt>
                <pt idx="13">
                  <v>5.169638161362665</v>
                </pt>
                <pt idx="14">
                  <v>10.20401715229025</v>
                </pt>
                <pt idx="15">
                  <v>19.88768987233254</v>
                </pt>
                <pt idx="16">
                  <v>37.84548422337596</v>
                </pt>
                <pt idx="17">
                  <v>68.99565095987148</v>
                </pt>
                <pt idx="18">
                  <v>117.2486223696371</v>
                </pt>
                <pt idx="19">
                  <v>180.2940834439045</v>
                </pt>
                <pt idx="20">
                  <v>246.5909943112327</v>
                </pt>
                <pt idx="21">
                  <v>302.1421560807142</v>
                </pt>
                <pt idx="22">
                  <v>383.2264519905379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5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16nodes'!$E$222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16nodes'!$A$223:$A$243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16nodes'!$E$223:$E$243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0.01</v>
                </pt>
                <pt idx="3">
                  <v>0.02</v>
                </pt>
                <pt idx="4">
                  <v>0.04</v>
                </pt>
                <pt idx="5">
                  <v>0.07000000000000001</v>
                </pt>
                <pt idx="6">
                  <v>0.14</v>
                </pt>
                <pt idx="7">
                  <v>0.27</v>
                </pt>
                <pt idx="8">
                  <v>0.53</v>
                </pt>
                <pt idx="9">
                  <v>0.99</v>
                </pt>
                <pt idx="10">
                  <v>1.79</v>
                </pt>
                <pt idx="11">
                  <v>3.12</v>
                </pt>
                <pt idx="12">
                  <v>4.85</v>
                </pt>
                <pt idx="13">
                  <v>4.92</v>
                </pt>
                <pt idx="14">
                  <v>4.94</v>
                </pt>
                <pt idx="15">
                  <v>4.95</v>
                </pt>
                <pt idx="16">
                  <v>4.95</v>
                </pt>
                <pt idx="17">
                  <v>4.95</v>
                </pt>
                <pt idx="18">
                  <v>4.95</v>
                </pt>
                <pt idx="19">
                  <v>4.95</v>
                </pt>
                <pt idx="20">
                  <v>4.95</v>
                </pt>
              </numCache>
            </numRef>
          </val>
          <smooth val="1"/>
        </ser>
        <ser>
          <idx val="1"/>
          <order val="1"/>
          <tx>
            <strRef>
              <f>'AR, Ring, 0x0, 16nodes'!$F$222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16nodes'!$A$223:$A$243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16nodes'!$F$223:$F$243</f>
              <numCache>
                <formatCode>General</formatCode>
                <ptCount val="21"/>
                <pt idx="0">
                  <v>0.003141895398988206</v>
                </pt>
                <pt idx="1">
                  <v>0.006282980932586299</v>
                </pt>
                <pt idx="2">
                  <v>0.01256272365581092</v>
                </pt>
                <pt idx="3">
                  <v>0.02511250448273479</v>
                </pt>
                <pt idx="4">
                  <v>0.05017331757418772</v>
                </pt>
                <pt idx="5">
                  <v>0.1001405066788928</v>
                </pt>
                <pt idx="6">
                  <v>0.1994615597513665</v>
                </pt>
                <pt idx="7">
                  <v>0.3956852122369552</v>
                </pt>
                <pt idx="8">
                  <v>0.7787291280510195</v>
                </pt>
                <pt idx="9">
                  <v>1.50924122619065</v>
                </pt>
                <pt idx="10">
                  <v>2.842482772967968</v>
                </pt>
                <pt idx="11">
                  <v>5.091250955794314</v>
                </pt>
                <pt idx="12">
                  <v>8.42314431066659</v>
                </pt>
                <pt idx="13">
                  <v>8.42314431066659</v>
                </pt>
                <pt idx="14">
                  <v>8.42314431066659</v>
                </pt>
                <pt idx="15">
                  <v>8.42314431066659</v>
                </pt>
                <pt idx="16">
                  <v>8.42314431066659</v>
                </pt>
                <pt idx="17">
                  <v>8.42314431066659</v>
                </pt>
                <pt idx="18">
                  <v>8.42314431066659</v>
                </pt>
                <pt idx="19">
                  <v>8.42314431066659</v>
                </pt>
                <pt idx="20">
                  <v>8.42314431066659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5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16nodes'!$E$261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16nodes'!$A$262:$A$282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16nodes'!$E$262:$E$282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0.01</v>
                </pt>
                <pt idx="3">
                  <v>0.02</v>
                </pt>
                <pt idx="4">
                  <v>0.04</v>
                </pt>
                <pt idx="5">
                  <v>0.07000000000000001</v>
                </pt>
                <pt idx="6">
                  <v>0.13</v>
                </pt>
                <pt idx="7">
                  <v>0.28</v>
                </pt>
                <pt idx="8">
                  <v>0.53</v>
                </pt>
                <pt idx="9">
                  <v>0.99</v>
                </pt>
                <pt idx="10">
                  <v>1.91</v>
                </pt>
                <pt idx="11">
                  <v>3.25</v>
                </pt>
                <pt idx="12">
                  <v>5.46</v>
                </pt>
                <pt idx="13">
                  <v>8.289999999999999</v>
                </pt>
                <pt idx="14">
                  <v>8.300000000000001</v>
                </pt>
                <pt idx="15">
                  <v>8.27</v>
                </pt>
                <pt idx="16">
                  <v>8.289999999999999</v>
                </pt>
                <pt idx="17">
                  <v>8.289999999999999</v>
                </pt>
                <pt idx="18">
                  <v>8.289999999999999</v>
                </pt>
                <pt idx="19">
                  <v>8.24</v>
                </pt>
                <pt idx="20">
                  <v>8.279999999999999</v>
                </pt>
              </numCache>
            </numRef>
          </val>
          <smooth val="1"/>
        </ser>
        <ser>
          <idx val="1"/>
          <order val="1"/>
          <tx>
            <strRef>
              <f>'AR, Ring, 0x0, 16nodes'!$F$261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16nodes'!$A$262:$A$282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16nodes'!$F$262:$F$282</f>
              <numCache>
                <formatCode>General</formatCode>
                <ptCount val="21"/>
                <pt idx="0">
                  <v>0.003142097904484601</v>
                </pt>
                <pt idx="1">
                  <v>0.006283790797976412</v>
                </pt>
                <pt idx="2">
                  <v>0.0125659618651726</v>
                </pt>
                <pt idx="3">
                  <v>0.02512544731162184</v>
                </pt>
                <pt idx="4">
                  <v>0.05022500896546957</v>
                </pt>
                <pt idx="5">
                  <v>0.1003466351483754</v>
                </pt>
                <pt idx="6">
                  <v>0.2002810133577855</v>
                </pt>
                <pt idx="7">
                  <v>0.398923119502733</v>
                </pt>
                <pt idx="8">
                  <v>0.7913704244739104</v>
                </pt>
                <pt idx="9">
                  <v>1.557458256102039</v>
                </pt>
                <pt idx="10">
                  <v>3.018482452381301</v>
                </pt>
                <pt idx="11">
                  <v>5.684965545935937</v>
                </pt>
                <pt idx="12">
                  <v>10.18250191158863</v>
                </pt>
                <pt idx="13">
                  <v>16.84628862133318</v>
                </pt>
                <pt idx="14">
                  <v>16.84628862133318</v>
                </pt>
                <pt idx="15">
                  <v>16.84628862133318</v>
                </pt>
                <pt idx="16">
                  <v>16.84628862133318</v>
                </pt>
                <pt idx="17">
                  <v>16.84628862133318</v>
                </pt>
                <pt idx="18">
                  <v>16.84628862133318</v>
                </pt>
                <pt idx="19">
                  <v>16.84628862133318</v>
                </pt>
                <pt idx="20">
                  <v>16.84628862133318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5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16nodes'!$E$300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16nodes'!$A$301:$A$321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16nodes'!$E$301:$E$321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0.01</v>
                </pt>
                <pt idx="3">
                  <v>0.02</v>
                </pt>
                <pt idx="4">
                  <v>0.04</v>
                </pt>
                <pt idx="5">
                  <v>0.07000000000000001</v>
                </pt>
                <pt idx="6">
                  <v>0.14</v>
                </pt>
                <pt idx="7">
                  <v>0.27</v>
                </pt>
                <pt idx="8">
                  <v>0.53</v>
                </pt>
                <pt idx="9">
                  <v>0.99</v>
                </pt>
                <pt idx="10">
                  <v>1.91</v>
                </pt>
                <pt idx="11">
                  <v>3.82</v>
                </pt>
                <pt idx="12">
                  <v>6.42</v>
                </pt>
                <pt idx="13">
                  <v>10.73</v>
                </pt>
                <pt idx="14">
                  <v>15.92</v>
                </pt>
                <pt idx="15">
                  <v>16.06</v>
                </pt>
                <pt idx="16">
                  <v>16.02</v>
                </pt>
                <pt idx="17">
                  <v>16.07</v>
                </pt>
                <pt idx="18">
                  <v>16.11</v>
                </pt>
                <pt idx="19">
                  <v>16.09</v>
                </pt>
                <pt idx="20">
                  <v>16.14</v>
                </pt>
              </numCache>
            </numRef>
          </val>
          <smooth val="1"/>
        </ser>
        <ser>
          <idx val="1"/>
          <order val="1"/>
          <tx>
            <strRef>
              <f>'AR, Ring, 0x0, 16nodes'!$F$300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16nodes'!$A$301:$A$321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16nodes'!$F$301:$F$321</f>
              <numCache>
                <formatCode>General</formatCode>
                <ptCount val="21"/>
                <pt idx="0">
                  <v>0.003142199167022223</v>
                </pt>
                <pt idx="1">
                  <v>0.006284195808969202</v>
                </pt>
                <pt idx="2">
                  <v>0.01256758159595282</v>
                </pt>
                <pt idx="3">
                  <v>0.02513192373034519</v>
                </pt>
                <pt idx="4">
                  <v>0.05025089462324368</v>
                </pt>
                <pt idx="5">
                  <v>0.1004500179309391</v>
                </pt>
                <pt idx="6">
                  <v>0.2006932702967509</v>
                </pt>
                <pt idx="7">
                  <v>0.400562026715571</v>
                </pt>
                <pt idx="8">
                  <v>0.7978462390054659</v>
                </pt>
                <pt idx="9">
                  <v>1.582740848947821</v>
                </pt>
                <pt idx="10">
                  <v>3.114916512204078</v>
                </pt>
                <pt idx="11">
                  <v>6.036964904762601</v>
                </pt>
                <pt idx="12">
                  <v>11.36993109187187</v>
                </pt>
                <pt idx="13">
                  <v>20.36500382317725</v>
                </pt>
                <pt idx="14">
                  <v>33.69257724266636</v>
                </pt>
                <pt idx="15">
                  <v>33.69257724266636</v>
                </pt>
                <pt idx="16">
                  <v>33.69257724266636</v>
                </pt>
                <pt idx="17">
                  <v>33.69257724266636</v>
                </pt>
                <pt idx="18">
                  <v>33.69257724266636</v>
                </pt>
                <pt idx="19">
                  <v>33.69257724266636</v>
                </pt>
                <pt idx="20">
                  <v>33.69257724266636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5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16nodes'!$E$339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16nodes'!$A$340:$A$360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16nodes'!$E$340:$E$360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0.01</v>
                </pt>
                <pt idx="3">
                  <v>0.02</v>
                </pt>
                <pt idx="4">
                  <v>0.04</v>
                </pt>
                <pt idx="5">
                  <v>0.07000000000000001</v>
                </pt>
                <pt idx="6">
                  <v>0.14</v>
                </pt>
                <pt idx="7">
                  <v>0.27</v>
                </pt>
                <pt idx="8">
                  <v>0.53</v>
                </pt>
                <pt idx="9">
                  <v>0.99</v>
                </pt>
                <pt idx="10">
                  <v>1.9</v>
                </pt>
                <pt idx="11">
                  <v>3.8</v>
                </pt>
                <pt idx="12">
                  <v>7.31</v>
                </pt>
                <pt idx="13">
                  <v>12.19</v>
                </pt>
                <pt idx="14">
                  <v>21.5</v>
                </pt>
                <pt idx="15">
                  <v>30.94</v>
                </pt>
                <pt idx="16">
                  <v>31.43</v>
                </pt>
                <pt idx="17">
                  <v>31.53</v>
                </pt>
                <pt idx="18">
                  <v>31.5</v>
                </pt>
                <pt idx="19">
                  <v>31.85</v>
                </pt>
                <pt idx="20">
                  <v>31.8</v>
                </pt>
              </numCache>
            </numRef>
          </val>
          <smooth val="1"/>
        </ser>
        <ser>
          <idx val="1"/>
          <order val="1"/>
          <tx>
            <strRef>
              <f>'AR, Ring, 0x0, 16nodes'!$F$339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16nodes'!$A$340:$A$360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16nodes'!$F$340:$F$360</f>
              <numCache>
                <formatCode>General</formatCode>
                <ptCount val="21"/>
                <pt idx="0">
                  <v>0.003142249800738667</v>
                </pt>
                <pt idx="1">
                  <v>0.006284398334044446</v>
                </pt>
                <pt idx="2">
                  <v>0.0125683916179384</v>
                </pt>
                <pt idx="3">
                  <v>0.02513516319190565</v>
                </pt>
                <pt idx="4">
                  <v>0.05026384746069039</v>
                </pt>
                <pt idx="5">
                  <v>0.1005017892464874</v>
                </pt>
                <pt idx="6">
                  <v>0.2009000358618783</v>
                </pt>
                <pt idx="7">
                  <v>0.4013865405935018</v>
                </pt>
                <pt idx="8">
                  <v>0.801124053431142</v>
                </pt>
                <pt idx="9">
                  <v>1.595692478010932</v>
                </pt>
                <pt idx="10">
                  <v>3.165481697895641</v>
                </pt>
                <pt idx="11">
                  <v>6.229833024408156</v>
                </pt>
                <pt idx="12">
                  <v>12.0739298095252</v>
                </pt>
                <pt idx="13">
                  <v>22.73986218374375</v>
                </pt>
                <pt idx="14">
                  <v>40.73000764635451</v>
                </pt>
                <pt idx="15">
                  <v>67.38515448533272</v>
                </pt>
                <pt idx="16">
                  <v>67.38515448533272</v>
                </pt>
                <pt idx="17">
                  <v>67.38515448533272</v>
                </pt>
                <pt idx="18">
                  <v>67.38515448533272</v>
                </pt>
                <pt idx="19">
                  <v>67.38515448533272</v>
                </pt>
                <pt idx="20">
                  <v>67.38515448533272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6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16nodes'!$E$378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16nodes'!$A$379:$A$399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16nodes'!$E$379:$E$399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0.01</v>
                </pt>
                <pt idx="3">
                  <v>0.02</v>
                </pt>
                <pt idx="4">
                  <v>0.04</v>
                </pt>
                <pt idx="5">
                  <v>0.07000000000000001</v>
                </pt>
                <pt idx="6">
                  <v>0.14</v>
                </pt>
                <pt idx="7">
                  <v>0.28</v>
                </pt>
                <pt idx="8">
                  <v>0.5</v>
                </pt>
                <pt idx="9">
                  <v>0.99</v>
                </pt>
                <pt idx="10">
                  <v>1.88</v>
                </pt>
                <pt idx="11">
                  <v>3.81</v>
                </pt>
                <pt idx="12">
                  <v>7.54</v>
                </pt>
                <pt idx="13">
                  <v>10.9</v>
                </pt>
                <pt idx="14">
                  <v>16.58</v>
                </pt>
                <pt idx="15">
                  <v>25.6</v>
                </pt>
                <pt idx="16">
                  <v>33.21</v>
                </pt>
                <pt idx="17">
                  <v>32.97</v>
                </pt>
                <pt idx="18">
                  <v>33.23</v>
                </pt>
                <pt idx="19">
                  <v>33.3</v>
                </pt>
                <pt idx="20">
                  <v>33.36</v>
                </pt>
              </numCache>
            </numRef>
          </val>
          <smooth val="1"/>
        </ser>
        <ser>
          <idx val="1"/>
          <order val="1"/>
          <tx>
            <strRef>
              <f>'AR, Ring, 0x0, 16nodes'!$F$378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16nodes'!$A$379:$A$399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16nodes'!$F$379:$F$399</f>
              <numCache>
                <formatCode>General</formatCode>
                <ptCount val="21"/>
                <pt idx="0">
                  <v>0.003142249800738667</v>
                </pt>
                <pt idx="1">
                  <v>0.006284398334044446</v>
                </pt>
                <pt idx="2">
                  <v>0.0125683916179384</v>
                </pt>
                <pt idx="3">
                  <v>0.02513516319190565</v>
                </pt>
                <pt idx="4">
                  <v>0.05026384746069039</v>
                </pt>
                <pt idx="5">
                  <v>0.1005017892464874</v>
                </pt>
                <pt idx="6">
                  <v>0.2009000358618783</v>
                </pt>
                <pt idx="7">
                  <v>0.4013865405935018</v>
                </pt>
                <pt idx="8">
                  <v>0.801124053431142</v>
                </pt>
                <pt idx="9">
                  <v>1.595692478010932</v>
                </pt>
                <pt idx="10">
                  <v>3.165481697895641</v>
                </pt>
                <pt idx="11">
                  <v>6.229833024408156</v>
                </pt>
                <pt idx="12">
                  <v>12.0739298095252</v>
                </pt>
                <pt idx="13">
                  <v>22.73986218374375</v>
                </pt>
                <pt idx="14">
                  <v>40.73000764635451</v>
                </pt>
                <pt idx="15">
                  <v>67.38515448533272</v>
                </pt>
                <pt idx="16">
                  <v>100.1589068589962</v>
                </pt>
                <pt idx="17">
                  <v>100.1589068589962</v>
                </pt>
                <pt idx="18">
                  <v>100.1589068589962</v>
                </pt>
                <pt idx="19">
                  <v>100.1589068589962</v>
                </pt>
                <pt idx="20">
                  <v>100.1589068589962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6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LL128,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16nodes'!$E$417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16nodes'!$A$418:$A$438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16nodes'!$E$418:$E$438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0.01</v>
                </pt>
                <pt idx="3">
                  <v>0.02</v>
                </pt>
                <pt idx="4">
                  <v>0.03</v>
                </pt>
                <pt idx="5">
                  <v>0.06</v>
                </pt>
                <pt idx="6">
                  <v>0.13</v>
                </pt>
                <pt idx="7">
                  <v>0.25</v>
                </pt>
                <pt idx="8">
                  <v>0.5</v>
                </pt>
                <pt idx="9">
                  <v>0.96</v>
                </pt>
                <pt idx="10">
                  <v>1.79</v>
                </pt>
                <pt idx="11">
                  <v>3.37</v>
                </pt>
                <pt idx="12">
                  <v>5.98</v>
                </pt>
                <pt idx="13">
                  <v>10.42</v>
                </pt>
                <pt idx="14">
                  <v>14.31</v>
                </pt>
                <pt idx="15">
                  <v>18.06</v>
                </pt>
                <pt idx="16">
                  <v>20.48</v>
                </pt>
                <pt idx="17">
                  <v>20.51</v>
                </pt>
                <pt idx="18">
                  <v>20.62</v>
                </pt>
                <pt idx="19">
                  <v>20.63</v>
                </pt>
                <pt idx="20">
                  <v>20.78</v>
                </pt>
              </numCache>
            </numRef>
          </val>
          <smooth val="1"/>
        </ser>
        <ser>
          <idx val="1"/>
          <order val="1"/>
          <tx>
            <strRef>
              <f>'AR, Ring, 0x0, 16nodes'!$F$417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16nodes'!$A$418:$A$438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16nodes'!$F$418:$F$438</f>
              <numCache>
                <formatCode>General</formatCode>
                <ptCount val="21"/>
                <pt idx="0">
                  <v>0.003142084403306045</v>
                </pt>
                <pt idx="1">
                  <v>0.006283736800455067</v>
                </pt>
                <pt idx="2">
                  <v>0.01256574593261301</v>
                </pt>
                <pt idx="3">
                  <v>0.02512458404131408</v>
                </pt>
                <pt idx="4">
                  <v>0.05022155955927591</v>
                </pt>
                <pt idx="5">
                  <v>0.1003328668535603</v>
                </pt>
                <pt idx="6">
                  <v>0.2002261736983406</v>
                </pt>
                <pt idx="7">
                  <v>0.3987056112822667</v>
                </pt>
                <pt idx="8">
                  <v>0.7905149166105107</v>
                </pt>
                <pt idx="9">
                  <v>1.554148142112107</v>
                </pt>
                <pt idx="10">
                  <v>3.006073862699087</v>
                </pt>
                <pt idx="11">
                  <v>5.641109799133996</v>
                </pt>
                <pt idx="12">
                  <v>10.04265999083093</v>
                </pt>
                <pt idx="13">
                  <v>16.46692911289841</v>
                </pt>
                <pt idx="14">
                  <v>24.2106953372201</v>
                </pt>
                <pt idx="15">
                  <v>31.6533821209257</v>
                </pt>
                <pt idx="16">
                  <v>37.40237333839229</v>
                </pt>
                <pt idx="17">
                  <v>37.40237333839229</v>
                </pt>
                <pt idx="18">
                  <v>37.40237333839229</v>
                </pt>
                <pt idx="19">
                  <v>37.40237333839229</v>
                </pt>
                <pt idx="20">
                  <v>37.83181954550891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6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LL128,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16nodes'!$E$456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16nodes'!$A$457:$A$477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16nodes'!$E$457:$E$477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0.01</v>
                </pt>
                <pt idx="3">
                  <v>0.02</v>
                </pt>
                <pt idx="4">
                  <v>0.03</v>
                </pt>
                <pt idx="5">
                  <v>0.06</v>
                </pt>
                <pt idx="6">
                  <v>0.13</v>
                </pt>
                <pt idx="7">
                  <v>0.24</v>
                </pt>
                <pt idx="8">
                  <v>0.5</v>
                </pt>
                <pt idx="9">
                  <v>0.98</v>
                </pt>
                <pt idx="10">
                  <v>1.91</v>
                </pt>
                <pt idx="11">
                  <v>3.53</v>
                </pt>
                <pt idx="12">
                  <v>6.69</v>
                </pt>
                <pt idx="13">
                  <v>11.76</v>
                </pt>
                <pt idx="14">
                  <v>20.21</v>
                </pt>
                <pt idx="15">
                  <v>28.16</v>
                </pt>
                <pt idx="16">
                  <v>35.69</v>
                </pt>
                <pt idx="17">
                  <v>40.46</v>
                </pt>
                <pt idx="18">
                  <v>40.37</v>
                </pt>
                <pt idx="19">
                  <v>40.63</v>
                </pt>
                <pt idx="20">
                  <v>40.55</v>
                </pt>
              </numCache>
            </numRef>
          </val>
          <smooth val="1"/>
        </ser>
        <ser>
          <idx val="1"/>
          <order val="1"/>
          <tx>
            <strRef>
              <f>'AR, Ring, 0x0, 16nodes'!$F$456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16nodes'!$A$457:$A$477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16nodes'!$F$457:$F$477</f>
              <numCache>
                <formatCode>General</formatCode>
                <ptCount val="21"/>
                <pt idx="0">
                  <v>0.003142192415983323</v>
                </pt>
                <pt idx="1">
                  <v>0.006284168806612089</v>
                </pt>
                <pt idx="2">
                  <v>0.01256747360091013</v>
                </pt>
                <pt idx="3">
                  <v>0.02513149186522603</v>
                </pt>
                <pt idx="4">
                  <v>0.05024916808262815</v>
                </pt>
                <pt idx="5">
                  <v>0.1004431191185518</v>
                </pt>
                <pt idx="6">
                  <v>0.2006657337071206</v>
                </pt>
                <pt idx="7">
                  <v>0.4004523473966812</v>
                </pt>
                <pt idx="8">
                  <v>0.7974112225645333</v>
                </pt>
                <pt idx="9">
                  <v>1.581029833221021</v>
                </pt>
                <pt idx="10">
                  <v>3.108296284224213</v>
                </pt>
                <pt idx="11">
                  <v>6.012147725398173</v>
                </pt>
                <pt idx="12">
                  <v>11.28221959826799</v>
                </pt>
                <pt idx="13">
                  <v>20.08531998166185</v>
                </pt>
                <pt idx="14">
                  <v>32.93385822579683</v>
                </pt>
                <pt idx="15">
                  <v>48.4213906744402</v>
                </pt>
                <pt idx="16">
                  <v>63.3067642418514</v>
                </pt>
                <pt idx="17">
                  <v>74.80474667678459</v>
                </pt>
                <pt idx="18">
                  <v>74.80474667678459</v>
                </pt>
                <pt idx="19">
                  <v>74.80474667678459</v>
                </pt>
                <pt idx="20">
                  <v>74.80474667678459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6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LL128,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16nodes'!$E$495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16nodes'!$A$496:$A$516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16nodes'!$E$496:$E$516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0.01</v>
                </pt>
                <pt idx="3">
                  <v>0.02</v>
                </pt>
                <pt idx="4">
                  <v>0.03</v>
                </pt>
                <pt idx="5">
                  <v>0.06</v>
                </pt>
                <pt idx="6">
                  <v>0.12</v>
                </pt>
                <pt idx="7">
                  <v>0.25</v>
                </pt>
                <pt idx="8">
                  <v>0.5</v>
                </pt>
                <pt idx="9">
                  <v>1</v>
                </pt>
                <pt idx="10">
                  <v>1.95</v>
                </pt>
                <pt idx="11">
                  <v>3.79</v>
                </pt>
                <pt idx="12">
                  <v>7.08</v>
                </pt>
                <pt idx="13">
                  <v>13.32</v>
                </pt>
                <pt idx="14">
                  <v>23.44</v>
                </pt>
                <pt idx="15">
                  <v>40.08</v>
                </pt>
                <pt idx="16">
                  <v>55.32</v>
                </pt>
                <pt idx="17">
                  <v>70.59999999999999</v>
                </pt>
                <pt idx="18">
                  <v>78.72</v>
                </pt>
                <pt idx="19">
                  <v>79.68000000000001</v>
                </pt>
                <pt idx="20">
                  <v>79.76000000000001</v>
                </pt>
              </numCache>
            </numRef>
          </val>
          <smooth val="1"/>
        </ser>
        <ser>
          <idx val="1"/>
          <order val="1"/>
          <tx>
            <strRef>
              <f>'AR, Ring, 0x0, 16nodes'!$F$495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16nodes'!$A$496:$A$516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16nodes'!$F$496:$F$516</f>
              <numCache>
                <formatCode>General</formatCode>
                <ptCount val="21"/>
                <pt idx="0">
                  <v>0.003142246425106803</v>
                </pt>
                <pt idx="1">
                  <v>0.006284384831966645</v>
                </pt>
                <pt idx="2">
                  <v>0.01256833761322418</v>
                </pt>
                <pt idx="3">
                  <v>0.02513494720182027</v>
                </pt>
                <pt idx="4">
                  <v>0.05026298373045205</v>
                </pt>
                <pt idx="5">
                  <v>0.1004983361652563</v>
                </pt>
                <pt idx="6">
                  <v>0.2008862382371036</v>
                </pt>
                <pt idx="7">
                  <v>0.4013314674142412</v>
                </pt>
                <pt idx="8">
                  <v>0.8009046947933625</v>
                </pt>
                <pt idx="9">
                  <v>1.594822445129067</v>
                </pt>
                <pt idx="10">
                  <v>3.162059666442043</v>
                </pt>
                <pt idx="11">
                  <v>6.216592568448426</v>
                </pt>
                <pt idx="12">
                  <v>12.02429545079635</v>
                </pt>
                <pt idx="13">
                  <v>22.56443919653599</v>
                </pt>
                <pt idx="14">
                  <v>40.1706399633237</v>
                </pt>
                <pt idx="15">
                  <v>65.86771645159365</v>
                </pt>
                <pt idx="16">
                  <v>96.84278134888039</v>
                </pt>
                <pt idx="17">
                  <v>126.6135284837028</v>
                </pt>
                <pt idx="18">
                  <v>149.6094933535692</v>
                </pt>
                <pt idx="19">
                  <v>149.6094933535692</v>
                </pt>
                <pt idx="20">
                  <v>149.6094933535692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6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LL128,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16nodes'!$E$534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16nodes'!$A$535:$A$555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16nodes'!$E$535:$E$555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0.01</v>
                </pt>
                <pt idx="3">
                  <v>0.02</v>
                </pt>
                <pt idx="4">
                  <v>0.03</v>
                </pt>
                <pt idx="5">
                  <v>0.06</v>
                </pt>
                <pt idx="6">
                  <v>0.12</v>
                </pt>
                <pt idx="7">
                  <v>0.24</v>
                </pt>
                <pt idx="8">
                  <v>0.5</v>
                </pt>
                <pt idx="9">
                  <v>0.95</v>
                </pt>
                <pt idx="10">
                  <v>1.99</v>
                </pt>
                <pt idx="11">
                  <v>3.88</v>
                </pt>
                <pt idx="12">
                  <v>7.53</v>
                </pt>
                <pt idx="13">
                  <v>14.04</v>
                </pt>
                <pt idx="14">
                  <v>25.61</v>
                </pt>
                <pt idx="15">
                  <v>45.95</v>
                </pt>
                <pt idx="16">
                  <v>79.05</v>
                </pt>
                <pt idx="17">
                  <v>108.43</v>
                </pt>
                <pt idx="18">
                  <v>138.1</v>
                </pt>
                <pt idx="19">
                  <v>149.55</v>
                </pt>
                <pt idx="20">
                  <v>149.58</v>
                </pt>
              </numCache>
            </numRef>
          </val>
          <smooth val="1"/>
        </ser>
        <ser>
          <idx val="1"/>
          <order val="1"/>
          <tx>
            <strRef>
              <f>'AR, Ring, 0x0, 16nodes'!$F$534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16nodes'!$A$535:$A$555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16nodes'!$F$535:$F$555</f>
              <numCache>
                <formatCode>General</formatCode>
                <ptCount val="21"/>
                <pt idx="0">
                  <v>0.003142273430364795</v>
                </pt>
                <pt idx="1">
                  <v>0.006284492850213605</v>
                </pt>
                <pt idx="2">
                  <v>0.01256876966393329</v>
                </pt>
                <pt idx="3">
                  <v>0.02513667522644836</v>
                </pt>
                <pt idx="4">
                  <v>0.05026989440364053</v>
                </pt>
                <pt idx="5">
                  <v>0.1005259674609041</v>
                </pt>
                <pt idx="6">
                  <v>0.2009966723305126</v>
                </pt>
                <pt idx="7">
                  <v>0.4017724764742073</v>
                </pt>
                <pt idx="8">
                  <v>0.8026629348284825</v>
                </pt>
                <pt idx="9">
                  <v>1.601809389586725</v>
                </pt>
                <pt idx="10">
                  <v>3.189644890258133</v>
                </pt>
                <pt idx="11">
                  <v>6.324119332884085</v>
                </pt>
                <pt idx="12">
                  <v>12.43318513689685</v>
                </pt>
                <pt idx="13">
                  <v>24.04859090159269</v>
                </pt>
                <pt idx="14">
                  <v>45.12887839307197</v>
                </pt>
                <pt idx="15">
                  <v>80.3412799266474</v>
                </pt>
                <pt idx="16">
                  <v>131.7354329031873</v>
                </pt>
                <pt idx="17">
                  <v>193.6855626977608</v>
                </pt>
                <pt idx="18">
                  <v>253.2270569674056</v>
                </pt>
                <pt idx="19">
                  <v>299.2189867071384</v>
                </pt>
                <pt idx="20">
                  <v>299.2189867071384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6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LL128,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Ring, 0x0, 16nodes'!$E$573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16nodes'!$A$574:$A$594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16nodes'!$E$574:$E$594</f>
              <numCache>
                <formatCode>General</formatCode>
                <ptCount val="21"/>
                <pt idx="0">
                  <v>0</v>
                </pt>
                <pt idx="1">
                  <v>0</v>
                </pt>
                <pt idx="2">
                  <v>0.01</v>
                </pt>
                <pt idx="3">
                  <v>0.02</v>
                </pt>
                <pt idx="4">
                  <v>0.03</v>
                </pt>
                <pt idx="5">
                  <v>0.06</v>
                </pt>
                <pt idx="6">
                  <v>0.13</v>
                </pt>
                <pt idx="7">
                  <v>0.24</v>
                </pt>
                <pt idx="8">
                  <v>0.4</v>
                </pt>
                <pt idx="9">
                  <v>0.8</v>
                </pt>
                <pt idx="10">
                  <v>1.63</v>
                </pt>
                <pt idx="11">
                  <v>3.29</v>
                </pt>
                <pt idx="12">
                  <v>6.49</v>
                </pt>
                <pt idx="13">
                  <v>12.49</v>
                </pt>
                <pt idx="14">
                  <v>24.51</v>
                </pt>
                <pt idx="15">
                  <v>46.56</v>
                </pt>
                <pt idx="16">
                  <v>85.04000000000001</v>
                </pt>
                <pt idx="17">
                  <v>146.35</v>
                </pt>
                <pt idx="18">
                  <v>210.93</v>
                </pt>
                <pt idx="19">
                  <v>255.68</v>
                </pt>
                <pt idx="20">
                  <v>285.64</v>
                </pt>
              </numCache>
            </numRef>
          </val>
          <smooth val="1"/>
        </ser>
        <ser>
          <idx val="1"/>
          <order val="1"/>
          <tx>
            <strRef>
              <f>'AR, Ring, 0x0, 16nodes'!$F$573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Ring, 0x0, 16nodes'!$A$574:$A$594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Ring, 0x0, 16nodes'!$F$574:$F$594</f>
              <numCache>
                <formatCode>General</formatCode>
                <ptCount val="21"/>
                <pt idx="0">
                  <v>0.003142273430364795</v>
                </pt>
                <pt idx="1">
                  <v>0.006284492850213605</v>
                </pt>
                <pt idx="2">
                  <v>0.01256876966393329</v>
                </pt>
                <pt idx="3">
                  <v>0.02513667522644836</v>
                </pt>
                <pt idx="4">
                  <v>0.05026989440364053</v>
                </pt>
                <pt idx="5">
                  <v>0.1005259674609041</v>
                </pt>
                <pt idx="6">
                  <v>0.2009966723305126</v>
                </pt>
                <pt idx="7">
                  <v>0.4017724764742073</v>
                </pt>
                <pt idx="8">
                  <v>0.8026629348284825</v>
                </pt>
                <pt idx="9">
                  <v>1.601809389586725</v>
                </pt>
                <pt idx="10">
                  <v>3.189644890258133</v>
                </pt>
                <pt idx="11">
                  <v>6.324119332884085</v>
                </pt>
                <pt idx="12">
                  <v>12.43318513689685</v>
                </pt>
                <pt idx="13">
                  <v>24.04859090159269</v>
                </pt>
                <pt idx="14">
                  <v>45.12887839307197</v>
                </pt>
                <pt idx="15">
                  <v>80.3412799266474</v>
                </pt>
                <pt idx="16">
                  <v>131.7354329031873</v>
                </pt>
                <pt idx="17">
                  <v>193.6855626977608</v>
                </pt>
                <pt idx="18">
                  <v>253.2270569674056</v>
                </pt>
                <pt idx="19">
                  <v>299.2189867071384</v>
                </pt>
                <pt idx="20">
                  <v>329.1056073369846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6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16, Protocol: Simple,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16nodes'!$E$16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16nodes'!$A$17:$A$39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16nodes'!$E$17:$E$39</f>
              <numCache>
                <formatCode>General</formatCode>
                <ptCount val="23"/>
                <pt idx="0">
                  <v>0.01</v>
                </pt>
                <pt idx="1">
                  <v>0.02</v>
                </pt>
                <pt idx="2">
                  <v>0.03</v>
                </pt>
                <pt idx="3">
                  <v>0.06</v>
                </pt>
                <pt idx="4">
                  <v>0.11</v>
                </pt>
                <pt idx="5">
                  <v>0.19</v>
                </pt>
                <pt idx="6">
                  <v>0.33</v>
                </pt>
                <pt idx="7">
                  <v>0.51</v>
                </pt>
                <pt idx="8">
                  <v>0.8100000000000001</v>
                </pt>
                <pt idx="9">
                  <v>1.06</v>
                </pt>
                <pt idx="10">
                  <v>1.26</v>
                </pt>
                <pt idx="11">
                  <v>2.39</v>
                </pt>
                <pt idx="12">
                  <v>4.32</v>
                </pt>
                <pt idx="13">
                  <v>6.5</v>
                </pt>
                <pt idx="14">
                  <v>9.369999999999999</v>
                </pt>
                <pt idx="15">
                  <v>11.85</v>
                </pt>
                <pt idx="16">
                  <v>13.63</v>
                </pt>
                <pt idx="17">
                  <v>14.62</v>
                </pt>
                <pt idx="18">
                  <v>15.17</v>
                </pt>
                <pt idx="19">
                  <v>15.45</v>
                </pt>
                <pt idx="20">
                  <v>15.59</v>
                </pt>
                <pt idx="21">
                  <v>15.66</v>
                </pt>
                <pt idx="22">
                  <v>15.68</v>
                </pt>
              </numCache>
            </numRef>
          </val>
          <smooth val="1"/>
        </ser>
        <ser>
          <idx val="1"/>
          <order val="1"/>
          <tx>
            <strRef>
              <f>'AR, Tree, 0x0, 16nodes'!$F$16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16nodes'!$A$17:$A$39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16nodes'!$F$17:$F$39</f>
              <numCache>
                <formatCode>General</formatCode>
                <ptCount val="23"/>
                <pt idx="0">
                  <v>0.01575156979037818</v>
                </pt>
                <pt idx="1">
                  <v>0.03148775844254795</v>
                </pt>
                <pt idx="2">
                  <v>0.06291408236085951</v>
                </pt>
                <pt idx="3">
                  <v>0.1255831443992228</v>
                </pt>
                <pt idx="4">
                  <v>0.2501919107204335</v>
                </pt>
                <pt idx="5">
                  <v>0.4965313200908063</v>
                </pt>
                <pt idx="6">
                  <v>0.9780031664037252</v>
                </pt>
                <pt idx="7">
                  <v>1.898428232436363</v>
                </pt>
                <pt idx="8">
                  <v>3.5857520449271</v>
                </pt>
                <pt idx="9">
                  <v>6.453839819847813</v>
                </pt>
                <pt idx="10">
                  <v>10.75511530285627</v>
                </pt>
                <pt idx="11">
                  <v>16.13026535703543</v>
                </pt>
                <pt idx="12">
                  <v>21.50381130438142</v>
                </pt>
                <pt idx="13">
                  <v>25.80149358782428</v>
                </pt>
                <pt idx="14">
                  <v>28.66604519774311</v>
                </pt>
                <pt idx="15">
                  <v>30.35086263121321</v>
                </pt>
                <pt idx="16">
                  <v>31.26978749060082</v>
                </pt>
                <pt idx="17">
                  <v>31.75043719050046</v>
                </pt>
                <pt idx="18">
                  <v>31.996346026951</v>
                </pt>
                <pt idx="19">
                  <v>32.12073443115644</v>
                </pt>
                <pt idx="20">
                  <v>32.18329201714952</v>
                </pt>
                <pt idx="21">
                  <v>32.21466227597544</v>
                </pt>
                <pt idx="22">
                  <v>32.23037034989454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6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16, Protocol: Simple,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16nodes'!$E$56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16nodes'!$A$57:$A$79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16nodes'!$E$57:$E$79</f>
              <numCache>
                <formatCode>General</formatCode>
                <ptCount val="23"/>
                <pt idx="0">
                  <v>0.01</v>
                </pt>
                <pt idx="1">
                  <v>0.02</v>
                </pt>
                <pt idx="2">
                  <v>0.03</v>
                </pt>
                <pt idx="3">
                  <v>0.06</v>
                </pt>
                <pt idx="4">
                  <v>0.11</v>
                </pt>
                <pt idx="5">
                  <v>0.19</v>
                </pt>
                <pt idx="6">
                  <v>0.38</v>
                </pt>
                <pt idx="7">
                  <v>0.66</v>
                </pt>
                <pt idx="8">
                  <v>1.04</v>
                </pt>
                <pt idx="9">
                  <v>1.6</v>
                </pt>
                <pt idx="10">
                  <v>2.12</v>
                </pt>
                <pt idx="11">
                  <v>2.52</v>
                </pt>
                <pt idx="12">
                  <v>4.76</v>
                </pt>
                <pt idx="13">
                  <v>8.5</v>
                </pt>
                <pt idx="14">
                  <v>12.94</v>
                </pt>
                <pt idx="15">
                  <v>18.37</v>
                </pt>
                <pt idx="16">
                  <v>23.25</v>
                </pt>
                <pt idx="17">
                  <v>26.78</v>
                </pt>
                <pt idx="18">
                  <v>28.88</v>
                </pt>
                <pt idx="19">
                  <v>30.04</v>
                </pt>
                <pt idx="20">
                  <v>30.43</v>
                </pt>
                <pt idx="21">
                  <v>30.87</v>
                </pt>
                <pt idx="22">
                  <v>31.04</v>
                </pt>
              </numCache>
            </numRef>
          </val>
          <smooth val="1"/>
        </ser>
        <ser>
          <idx val="1"/>
          <order val="1"/>
          <tx>
            <strRef>
              <f>'AR, Tree, 0x0, 16nodes'!$F$56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16nodes'!$A$57:$A$79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16nodes'!$F$57:$F$79</f>
              <numCache>
                <formatCode>General</formatCode>
                <ptCount val="23"/>
                <pt idx="0">
                  <v>0.01575541789313513</v>
                </pt>
                <pt idx="1">
                  <v>0.03150313958075636</v>
                </pt>
                <pt idx="2">
                  <v>0.06297551688509589</v>
                </pt>
                <pt idx="3">
                  <v>0.125828164721719</v>
                </pt>
                <pt idx="4">
                  <v>0.2511662887984456</v>
                </pt>
                <pt idx="5">
                  <v>0.500383821440867</v>
                </pt>
                <pt idx="6">
                  <v>0.9930626401816126</v>
                </pt>
                <pt idx="7">
                  <v>1.95600633280745</v>
                </pt>
                <pt idx="8">
                  <v>3.796856464872726</v>
                </pt>
                <pt idx="9">
                  <v>7.1715040898542</v>
                </pt>
                <pt idx="10">
                  <v>12.90767963969563</v>
                </pt>
                <pt idx="11">
                  <v>21.51023060571255</v>
                </pt>
                <pt idx="12">
                  <v>32.26053071407087</v>
                </pt>
                <pt idx="13">
                  <v>43.00762260876284</v>
                </pt>
                <pt idx="14">
                  <v>51.60298717564856</v>
                </pt>
                <pt idx="15">
                  <v>57.33209039548622</v>
                </pt>
                <pt idx="16">
                  <v>60.70172526242643</v>
                </pt>
                <pt idx="17">
                  <v>62.53957498120163</v>
                </pt>
                <pt idx="18">
                  <v>63.50087438100091</v>
                </pt>
                <pt idx="19">
                  <v>63.992692053902</v>
                </pt>
                <pt idx="20">
                  <v>64.24146886231289</v>
                </pt>
                <pt idx="21">
                  <v>64.36658403429904</v>
                </pt>
                <pt idx="22">
                  <v>64.42932455195087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6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Nodes: 16, Protocol: Simple,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16nodes'!$E$96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16nodes'!$A$97:$A$119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16nodes'!$E$97:$E$119</f>
              <numCache>
                <formatCode>General</formatCode>
                <ptCount val="23"/>
                <pt idx="0">
                  <v>0.01</v>
                </pt>
                <pt idx="1">
                  <v>0.02</v>
                </pt>
                <pt idx="2">
                  <v>0.03</v>
                </pt>
                <pt idx="3">
                  <v>0.06</v>
                </pt>
                <pt idx="4">
                  <v>0.11</v>
                </pt>
                <pt idx="5">
                  <v>0.19</v>
                </pt>
                <pt idx="6">
                  <v>0.36</v>
                </pt>
                <pt idx="7">
                  <v>0.72</v>
                </pt>
                <pt idx="8">
                  <v>1.3</v>
                </pt>
                <pt idx="9">
                  <v>2.07</v>
                </pt>
                <pt idx="10">
                  <v>3.17</v>
                </pt>
                <pt idx="11">
                  <v>4.21</v>
                </pt>
                <pt idx="12">
                  <v>4.95</v>
                </pt>
                <pt idx="13">
                  <v>9.43</v>
                </pt>
                <pt idx="14">
                  <v>17.03</v>
                </pt>
                <pt idx="15">
                  <v>25.57</v>
                </pt>
                <pt idx="16">
                  <v>35.87</v>
                </pt>
                <pt idx="17">
                  <v>45.79</v>
                </pt>
                <pt idx="18">
                  <v>52.76</v>
                </pt>
                <pt idx="19">
                  <v>56.84</v>
                </pt>
                <pt idx="20">
                  <v>58.51</v>
                </pt>
                <pt idx="21">
                  <v>60.66</v>
                </pt>
                <pt idx="22">
                  <v>61.31</v>
                </pt>
              </numCache>
            </numRef>
          </val>
          <smooth val="1"/>
        </ser>
        <ser>
          <idx val="1"/>
          <order val="1"/>
          <tx>
            <strRef>
              <f>'AR, Tree, 0x0, 16nodes'!$F$96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16nodes'!$A$97:$A$119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16nodes'!$F$97:$F$119</f>
              <numCache>
                <formatCode>General</formatCode>
                <ptCount val="23"/>
                <pt idx="0">
                  <v>0.01575734264966731</v>
                </pt>
                <pt idx="1">
                  <v>0.03151083578627027</v>
                </pt>
                <pt idx="2">
                  <v>0.06300627916151272</v>
                </pt>
                <pt idx="3">
                  <v>0.1259510337701918</v>
                </pt>
                <pt idx="4">
                  <v>0.251656329443438</v>
                </pt>
                <pt idx="5">
                  <v>0.5023325775968912</v>
                </pt>
                <pt idx="6">
                  <v>1.000767642881734</v>
                </pt>
                <pt idx="7">
                  <v>1.986125280363225</v>
                </pt>
                <pt idx="8">
                  <v>3.912012665614901</v>
                </pt>
                <pt idx="9">
                  <v>7.593712929745451</v>
                </pt>
                <pt idx="10">
                  <v>14.3430081797084</v>
                </pt>
                <pt idx="11">
                  <v>25.81535927939125</v>
                </pt>
                <pt idx="12">
                  <v>43.02046121142509</v>
                </pt>
                <pt idx="13">
                  <v>64.52106142814173</v>
                </pt>
                <pt idx="14">
                  <v>86.01524521752567</v>
                </pt>
                <pt idx="15">
                  <v>103.2059743512971</v>
                </pt>
                <pt idx="16">
                  <v>114.6641807909724</v>
                </pt>
                <pt idx="17">
                  <v>121.4034505248529</v>
                </pt>
                <pt idx="18">
                  <v>125.0791499624033</v>
                </pt>
                <pt idx="19">
                  <v>127.0017487620018</v>
                </pt>
                <pt idx="20">
                  <v>127.985384107804</v>
                </pt>
                <pt idx="21">
                  <v>128.4829377246258</v>
                </pt>
                <pt idx="22">
                  <v>128.7331680685981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6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Simple,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16nodes'!$E$136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16nodes'!$A$137:$A$159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16nodes'!$E$137:$E$159</f>
              <numCache>
                <formatCode>General</formatCode>
                <ptCount val="23"/>
                <pt idx="0">
                  <v>0.01</v>
                </pt>
                <pt idx="1">
                  <v>0.02</v>
                </pt>
                <pt idx="2">
                  <v>0.03</v>
                </pt>
                <pt idx="3">
                  <v>0.06</v>
                </pt>
                <pt idx="4">
                  <v>0.11</v>
                </pt>
                <pt idx="5">
                  <v>0.19</v>
                </pt>
                <pt idx="6">
                  <v>0.38</v>
                </pt>
                <pt idx="7">
                  <v>0.76</v>
                </pt>
                <pt idx="8">
                  <v>1.44</v>
                </pt>
                <pt idx="9">
                  <v>2.52</v>
                </pt>
                <pt idx="10">
                  <v>4.1</v>
                </pt>
                <pt idx="11">
                  <v>6.2</v>
                </pt>
                <pt idx="12">
                  <v>8.33</v>
                </pt>
                <pt idx="13">
                  <v>9.82</v>
                </pt>
                <pt idx="14">
                  <v>18.47</v>
                </pt>
                <pt idx="15">
                  <v>32.95</v>
                </pt>
                <pt idx="16">
                  <v>50.78</v>
                </pt>
                <pt idx="17">
                  <v>70.90000000000001</v>
                </pt>
                <pt idx="18">
                  <v>90.72</v>
                </pt>
                <pt idx="19">
                  <v>102.67</v>
                </pt>
                <pt idx="20">
                  <v>111.31</v>
                </pt>
                <pt idx="21">
                  <v>117.23</v>
                </pt>
                <pt idx="22">
                  <v>120.08</v>
                </pt>
              </numCache>
            </numRef>
          </val>
          <smooth val="1"/>
        </ser>
        <ser>
          <idx val="1"/>
          <order val="1"/>
          <tx>
            <strRef>
              <f>'AR, Tree, 0x0, 16nodes'!$F$136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16nodes'!$A$137:$A$159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16nodes'!$F$137:$F$159</f>
              <numCache>
                <formatCode>General</formatCode>
                <ptCount val="23"/>
                <pt idx="0">
                  <v>0.01575830520429721</v>
                </pt>
                <pt idx="1">
                  <v>0.03151468529933463</v>
                </pt>
                <pt idx="2">
                  <v>0.06302167157254053</v>
                </pt>
                <pt idx="3">
                  <v>0.1260125583230254</v>
                </pt>
                <pt idx="4">
                  <v>0.2519020675403836</v>
                </pt>
                <pt idx="5">
                  <v>0.503312658886876</v>
                </pt>
                <pt idx="6">
                  <v>1.004665155193782</v>
                </pt>
                <pt idx="7">
                  <v>2.001535285763468</v>
                </pt>
                <pt idx="8">
                  <v>3.97225056072645</v>
                </pt>
                <pt idx="9">
                  <v>7.824025331229802</v>
                </pt>
                <pt idx="10">
                  <v>15.1874258594909</v>
                </pt>
                <pt idx="11">
                  <v>28.6860163594168</v>
                </pt>
                <pt idx="12">
                  <v>51.6307185587825</v>
                </pt>
                <pt idx="13">
                  <v>86.04092242285019</v>
                </pt>
                <pt idx="14">
                  <v>129.0421228562835</v>
                </pt>
                <pt idx="15">
                  <v>172.0304904350513</v>
                </pt>
                <pt idx="16">
                  <v>206.4119487025943</v>
                </pt>
                <pt idx="17">
                  <v>229.3283615819449</v>
                </pt>
                <pt idx="18">
                  <v>242.8069010497057</v>
                </pt>
                <pt idx="19">
                  <v>250.1582999248065</v>
                </pt>
                <pt idx="20">
                  <v>254.0034975240036</v>
                </pt>
                <pt idx="21">
                  <v>255.970768215608</v>
                </pt>
                <pt idx="22">
                  <v>256.9658754492515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7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Simple,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16nodes'!$E$176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16nodes'!$A$177:$A$199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16nodes'!$E$177:$E$199</f>
              <numCache>
                <formatCode>General</formatCode>
                <ptCount val="23"/>
                <pt idx="0">
                  <v>0.01</v>
                </pt>
                <pt idx="1">
                  <v>0.02</v>
                </pt>
                <pt idx="2">
                  <v>0.03</v>
                </pt>
                <pt idx="3">
                  <v>0.06</v>
                </pt>
                <pt idx="4">
                  <v>0.11</v>
                </pt>
                <pt idx="5">
                  <v>0.18</v>
                </pt>
                <pt idx="6">
                  <v>0.38</v>
                </pt>
                <pt idx="7">
                  <v>0.76</v>
                </pt>
                <pt idx="8">
                  <v>1.21</v>
                </pt>
                <pt idx="9">
                  <v>2.93</v>
                </pt>
                <pt idx="10">
                  <v>5.04</v>
                </pt>
                <pt idx="11">
                  <v>8.09</v>
                </pt>
                <pt idx="12">
                  <v>12.33</v>
                </pt>
                <pt idx="13">
                  <v>16.37</v>
                </pt>
                <pt idx="14">
                  <v>19.58</v>
                </pt>
                <pt idx="15">
                  <v>37.29</v>
                </pt>
                <pt idx="16">
                  <v>65.55</v>
                </pt>
                <pt idx="17">
                  <v>98.34</v>
                </pt>
                <pt idx="18">
                  <v>138.84</v>
                </pt>
                <pt idx="19">
                  <v>176.02</v>
                </pt>
                <pt idx="20">
                  <v>203.99</v>
                </pt>
                <pt idx="21">
                  <v>220.17</v>
                </pt>
                <pt idx="22">
                  <v>228.5</v>
                </pt>
              </numCache>
            </numRef>
          </val>
          <smooth val="1"/>
        </ser>
        <ser>
          <idx val="1"/>
          <order val="1"/>
          <tx>
            <strRef>
              <f>'AR, Tree, 0x0, 16nodes'!$F$176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16nodes'!$A$177:$A$199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  <pt idx="21">
                  <v>2097152</v>
                </pt>
                <pt idx="22">
                  <v>4194304</v>
                </pt>
              </numCache>
            </numRef>
          </cat>
          <val>
            <numRef>
              <f>'AR, Tree, 0x0, 16nodes'!$F$177:$F$199</f>
              <numCache>
                <formatCode>General</formatCode>
                <ptCount val="23"/>
                <pt idx="0">
                  <v>0.01575830520429721</v>
                </pt>
                <pt idx="1">
                  <v>0.03151468529933463</v>
                </pt>
                <pt idx="2">
                  <v>0.06302167157254053</v>
                </pt>
                <pt idx="3">
                  <v>0.1260125583230254</v>
                </pt>
                <pt idx="4">
                  <v>0.2519020675403836</v>
                </pt>
                <pt idx="5">
                  <v>0.503312658886876</v>
                </pt>
                <pt idx="6">
                  <v>1.004665155193782</v>
                </pt>
                <pt idx="7">
                  <v>2.001535285763468</v>
                </pt>
                <pt idx="8">
                  <v>3.97225056072645</v>
                </pt>
                <pt idx="9">
                  <v>7.824025331229802</v>
                </pt>
                <pt idx="10">
                  <v>15.1874258594909</v>
                </pt>
                <pt idx="11">
                  <v>28.6860163594168</v>
                </pt>
                <pt idx="12">
                  <v>51.6307185587825</v>
                </pt>
                <pt idx="13">
                  <v>86.04092242285019</v>
                </pt>
                <pt idx="14">
                  <v>129.0421228562835</v>
                </pt>
                <pt idx="15">
                  <v>172.0304904350513</v>
                </pt>
                <pt idx="16">
                  <v>206.4119487025943</v>
                </pt>
                <pt idx="17">
                  <v>229.3283615819449</v>
                </pt>
                <pt idx="18">
                  <v>242.8069010497057</v>
                </pt>
                <pt idx="19">
                  <v>250.1582999248065</v>
                </pt>
                <pt idx="20">
                  <v>254.0034975240036</v>
                </pt>
                <pt idx="21">
                  <v>255.970768215608</v>
                </pt>
                <pt idx="22">
                  <v>256.9658754492515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7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16nodes'!$E$216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16nodes'!$A$217:$A$237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16nodes'!$E$217:$E$237</f>
              <numCache>
                <formatCode>General</formatCode>
                <ptCount val="21"/>
                <pt idx="0">
                  <v>0.01</v>
                </pt>
                <pt idx="1">
                  <v>0.03</v>
                </pt>
                <pt idx="2">
                  <v>0.05</v>
                </pt>
                <pt idx="3">
                  <v>0.09</v>
                </pt>
                <pt idx="4">
                  <v>0.16</v>
                </pt>
                <pt idx="5">
                  <v>0.26</v>
                </pt>
                <pt idx="6">
                  <v>0.49</v>
                </pt>
                <pt idx="7">
                  <v>0.89</v>
                </pt>
                <pt idx="8">
                  <v>1.48</v>
                </pt>
                <pt idx="9">
                  <v>2.05</v>
                </pt>
                <pt idx="10">
                  <v>2.55</v>
                </pt>
                <pt idx="11">
                  <v>2.9</v>
                </pt>
                <pt idx="12">
                  <v>3.07</v>
                </pt>
                <pt idx="13">
                  <v>3.19</v>
                </pt>
                <pt idx="14">
                  <v>3.27</v>
                </pt>
                <pt idx="15">
                  <v>3.3</v>
                </pt>
                <pt idx="16">
                  <v>3.32</v>
                </pt>
                <pt idx="17">
                  <v>3.32</v>
                </pt>
                <pt idx="18">
                  <v>3.34</v>
                </pt>
                <pt idx="19">
                  <v>3.34</v>
                </pt>
                <pt idx="20">
                  <v>3.33</v>
                </pt>
              </numCache>
            </numRef>
          </val>
          <smooth val="1"/>
        </ser>
        <ser>
          <idx val="1"/>
          <order val="1"/>
          <tx>
            <strRef>
              <f>'AR, Tree, 0x0, 16nodes'!$F$216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16nodes'!$A$217:$A$237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16nodes'!$F$217:$F$237</f>
              <numCache>
                <formatCode>General</formatCode>
                <ptCount val="21"/>
                <pt idx="0">
                  <v>0.01574387922127397</v>
                </pt>
                <pt idx="1">
                  <v>0.03145704118042975</v>
                </pt>
                <pt idx="2">
                  <v>0.0627915721996114</v>
                </pt>
                <pt idx="3">
                  <v>0.1250959553602168</v>
                </pt>
                <pt idx="4">
                  <v>0.2482656600454032</v>
                </pt>
                <pt idx="5">
                  <v>0.4890015832018626</v>
                </pt>
                <pt idx="6">
                  <v>0.9492141162181814</v>
                </pt>
                <pt idx="7">
                  <v>1.79287602246355</v>
                </pt>
                <pt idx="8">
                  <v>3.226919909923907</v>
                </pt>
                <pt idx="9">
                  <v>5.377557651428137</v>
                </pt>
                <pt idx="10">
                  <v>8.065132678517717</v>
                </pt>
                <pt idx="11">
                  <v>10.75190565219071</v>
                </pt>
                <pt idx="12">
                  <v>12.90074679391214</v>
                </pt>
                <pt idx="13">
                  <v>14.33302259887155</v>
                </pt>
                <pt idx="14">
                  <v>15.17543131560661</v>
                </pt>
                <pt idx="15">
                  <v>15.63489374530041</v>
                </pt>
                <pt idx="16">
                  <v>15.87521859525023</v>
                </pt>
                <pt idx="17">
                  <v>15.9981730134755</v>
                </pt>
                <pt idx="18">
                  <v>16.06036721557822</v>
                </pt>
                <pt idx="19">
                  <v>16.09164600857476</v>
                </pt>
                <pt idx="20">
                  <v>16.10733113798772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7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16nodes'!$E$254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16nodes'!$A$255:$A$275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16nodes'!$E$255:$E$275</f>
              <numCache>
                <formatCode>General</formatCode>
                <ptCount val="21"/>
                <pt idx="0">
                  <v>0.01</v>
                </pt>
                <pt idx="1">
                  <v>0.03</v>
                </pt>
                <pt idx="2">
                  <v>0.05</v>
                </pt>
                <pt idx="3">
                  <v>0.1</v>
                </pt>
                <pt idx="4">
                  <v>0.18</v>
                </pt>
                <pt idx="5">
                  <v>0.32</v>
                </pt>
                <pt idx="6">
                  <v>0.5</v>
                </pt>
                <pt idx="7">
                  <v>0.96</v>
                </pt>
                <pt idx="8">
                  <v>1.71</v>
                </pt>
                <pt idx="9">
                  <v>2.85</v>
                </pt>
                <pt idx="10">
                  <v>3.9</v>
                </pt>
                <pt idx="11">
                  <v>4.83</v>
                </pt>
                <pt idx="12">
                  <v>5.39</v>
                </pt>
                <pt idx="13">
                  <v>5.85</v>
                </pt>
                <pt idx="14">
                  <v>6.08</v>
                </pt>
                <pt idx="15">
                  <v>6.21</v>
                </pt>
                <pt idx="16">
                  <v>6.27</v>
                </pt>
                <pt idx="17">
                  <v>6.31</v>
                </pt>
                <pt idx="18">
                  <v>6.34</v>
                </pt>
                <pt idx="19">
                  <v>6.33</v>
                </pt>
                <pt idx="20">
                  <v>6.35</v>
                </pt>
              </numCache>
            </numRef>
          </val>
          <smooth val="1"/>
        </ser>
        <ser>
          <idx val="1"/>
          <order val="1"/>
          <tx>
            <strRef>
              <f>'AR, Tree, 0x0, 16nodes'!$F$254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16nodes'!$A$255:$A$275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16nodes'!$F$255:$F$275</f>
              <numCache>
                <formatCode>General</formatCode>
                <ptCount val="21"/>
                <pt idx="0">
                  <v>0.01575156979037818</v>
                </pt>
                <pt idx="1">
                  <v>0.03148775844254795</v>
                </pt>
                <pt idx="2">
                  <v>0.06291408236085951</v>
                </pt>
                <pt idx="3">
                  <v>0.1255831443992228</v>
                </pt>
                <pt idx="4">
                  <v>0.2501919107204335</v>
                </pt>
                <pt idx="5">
                  <v>0.4965313200908063</v>
                </pt>
                <pt idx="6">
                  <v>0.9780031664037252</v>
                </pt>
                <pt idx="7">
                  <v>1.898428232436363</v>
                </pt>
                <pt idx="8">
                  <v>3.5857520449271</v>
                </pt>
                <pt idx="9">
                  <v>6.453839819847813</v>
                </pt>
                <pt idx="10">
                  <v>10.75511530285627</v>
                </pt>
                <pt idx="11">
                  <v>16.13026535703543</v>
                </pt>
                <pt idx="12">
                  <v>21.50381130438142</v>
                </pt>
                <pt idx="13">
                  <v>25.80149358782428</v>
                </pt>
                <pt idx="14">
                  <v>28.66604519774311</v>
                </pt>
                <pt idx="15">
                  <v>30.35086263121321</v>
                </pt>
                <pt idx="16">
                  <v>31.26978749060082</v>
                </pt>
                <pt idx="17">
                  <v>31.75043719050046</v>
                </pt>
                <pt idx="18">
                  <v>31.996346026951</v>
                </pt>
                <pt idx="19">
                  <v>32.12073443115644</v>
                </pt>
                <pt idx="20">
                  <v>32.18329201714952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7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16nodes'!$E$292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16nodes'!$A$293:$A$313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16nodes'!$E$293:$E$313</f>
              <numCache>
                <formatCode>General</formatCode>
                <ptCount val="21"/>
                <pt idx="0">
                  <v>0.01</v>
                </pt>
                <pt idx="1">
                  <v>0.03</v>
                </pt>
                <pt idx="2">
                  <v>0.05</v>
                </pt>
                <pt idx="3">
                  <v>0.1</v>
                </pt>
                <pt idx="4">
                  <v>0.2</v>
                </pt>
                <pt idx="5">
                  <v>0.36</v>
                </pt>
                <pt idx="6">
                  <v>0.63</v>
                </pt>
                <pt idx="7">
                  <v>1.01</v>
                </pt>
                <pt idx="8">
                  <v>1.84</v>
                </pt>
                <pt idx="9">
                  <v>3.29</v>
                </pt>
                <pt idx="10">
                  <v>5.31</v>
                </pt>
                <pt idx="11">
                  <v>7.29</v>
                </pt>
                <pt idx="12">
                  <v>8.9</v>
                </pt>
                <pt idx="13">
                  <v>10.05</v>
                </pt>
                <pt idx="14">
                  <v>10.76</v>
                </pt>
                <pt idx="15">
                  <v>11.11</v>
                </pt>
                <pt idx="16">
                  <v>11.34</v>
                </pt>
                <pt idx="17">
                  <v>11.53</v>
                </pt>
                <pt idx="18">
                  <v>11.48</v>
                </pt>
                <pt idx="19">
                  <v>11.6</v>
                </pt>
                <pt idx="20">
                  <v>11.69</v>
                </pt>
              </numCache>
            </numRef>
          </val>
          <smooth val="1"/>
        </ser>
        <ser>
          <idx val="1"/>
          <order val="1"/>
          <tx>
            <strRef>
              <f>'AR, Tree, 0x0, 16nodes'!$F$292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16nodes'!$A$293:$A$313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16nodes'!$F$293:$F$313</f>
              <numCache>
                <formatCode>General</formatCode>
                <ptCount val="21"/>
                <pt idx="0">
                  <v>0.01575541789313513</v>
                </pt>
                <pt idx="1">
                  <v>0.03150313958075636</v>
                </pt>
                <pt idx="2">
                  <v>0.06297551688509589</v>
                </pt>
                <pt idx="3">
                  <v>0.125828164721719</v>
                </pt>
                <pt idx="4">
                  <v>0.2511662887984456</v>
                </pt>
                <pt idx="5">
                  <v>0.500383821440867</v>
                </pt>
                <pt idx="6">
                  <v>0.9930626401816126</v>
                </pt>
                <pt idx="7">
                  <v>1.95600633280745</v>
                </pt>
                <pt idx="8">
                  <v>3.796856464872726</v>
                </pt>
                <pt idx="9">
                  <v>7.1715040898542</v>
                </pt>
                <pt idx="10">
                  <v>12.90767963969563</v>
                </pt>
                <pt idx="11">
                  <v>21.51023060571255</v>
                </pt>
                <pt idx="12">
                  <v>32.26053071407087</v>
                </pt>
                <pt idx="13">
                  <v>43.00762260876284</v>
                </pt>
                <pt idx="14">
                  <v>51.60298717564856</v>
                </pt>
                <pt idx="15">
                  <v>57.33209039548622</v>
                </pt>
                <pt idx="16">
                  <v>60.70172526242643</v>
                </pt>
                <pt idx="17">
                  <v>62.53957498120163</v>
                </pt>
                <pt idx="18">
                  <v>63.50087438100091</v>
                </pt>
                <pt idx="19">
                  <v>63.992692053902</v>
                </pt>
                <pt idx="20">
                  <v>64.24146886231289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7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16nodes'!$E$330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16nodes'!$A$331:$A$351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16nodes'!$E$331:$E$351</f>
              <numCache>
                <formatCode>General</formatCode>
                <ptCount val="21"/>
                <pt idx="0">
                  <v>0.01</v>
                </pt>
                <pt idx="1">
                  <v>0.03</v>
                </pt>
                <pt idx="2">
                  <v>0.05</v>
                </pt>
                <pt idx="3">
                  <v>0.1</v>
                </pt>
                <pt idx="4">
                  <v>0.2</v>
                </pt>
                <pt idx="5">
                  <v>0.39</v>
                </pt>
                <pt idx="6">
                  <v>0.45</v>
                </pt>
                <pt idx="7">
                  <v>1.05</v>
                </pt>
                <pt idx="8">
                  <v>1.9</v>
                </pt>
                <pt idx="9">
                  <v>3.59</v>
                </pt>
                <pt idx="10">
                  <v>6.51</v>
                </pt>
                <pt idx="11">
                  <v>10.41</v>
                </pt>
                <pt idx="12">
                  <v>14.32</v>
                </pt>
                <pt idx="13">
                  <v>17.63</v>
                </pt>
                <pt idx="14">
                  <v>19.89</v>
                </pt>
                <pt idx="15">
                  <v>21.41</v>
                </pt>
                <pt idx="16">
                  <v>22.11</v>
                </pt>
                <pt idx="17">
                  <v>22.44</v>
                </pt>
                <pt idx="18">
                  <v>22.82</v>
                </pt>
                <pt idx="19">
                  <v>23.06</v>
                </pt>
                <pt idx="20">
                  <v>23.01</v>
                </pt>
              </numCache>
            </numRef>
          </val>
          <smooth val="1"/>
        </ser>
        <ser>
          <idx val="1"/>
          <order val="1"/>
          <tx>
            <strRef>
              <f>'AR, Tree, 0x0, 16nodes'!$F$330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16nodes'!$A$331:$A$351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16nodes'!$F$331:$F$351</f>
              <numCache>
                <formatCode>General</formatCode>
                <ptCount val="21"/>
                <pt idx="0">
                  <v>0.01575734264966731</v>
                </pt>
                <pt idx="1">
                  <v>0.03151083578627027</v>
                </pt>
                <pt idx="2">
                  <v>0.06300627916151272</v>
                </pt>
                <pt idx="3">
                  <v>0.1259510337701918</v>
                </pt>
                <pt idx="4">
                  <v>0.251656329443438</v>
                </pt>
                <pt idx="5">
                  <v>0.5023325775968912</v>
                </pt>
                <pt idx="6">
                  <v>1.000767642881734</v>
                </pt>
                <pt idx="7">
                  <v>1.986125280363225</v>
                </pt>
                <pt idx="8">
                  <v>3.912012665614901</v>
                </pt>
                <pt idx="9">
                  <v>7.593712929745451</v>
                </pt>
                <pt idx="10">
                  <v>14.3430081797084</v>
                </pt>
                <pt idx="11">
                  <v>25.81535927939125</v>
                </pt>
                <pt idx="12">
                  <v>43.02046121142509</v>
                </pt>
                <pt idx="13">
                  <v>64.52106142814173</v>
                </pt>
                <pt idx="14">
                  <v>86.01524521752567</v>
                </pt>
                <pt idx="15">
                  <v>103.2059743512971</v>
                </pt>
                <pt idx="16">
                  <v>114.6641807909724</v>
                </pt>
                <pt idx="17">
                  <v>121.4034505248529</v>
                </pt>
                <pt idx="18">
                  <v>125.0791499624033</v>
                </pt>
                <pt idx="19">
                  <v>127.0017487620018</v>
                </pt>
                <pt idx="20">
                  <v>127.985384107804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7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16nodes'!$E$368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16nodes'!$A$369:$A$389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16nodes'!$E$369:$E$389</f>
              <numCache>
                <formatCode>General</formatCode>
                <ptCount val="21"/>
                <pt idx="0">
                  <v>0.01</v>
                </pt>
                <pt idx="1">
                  <v>0.02</v>
                </pt>
                <pt idx="2">
                  <v>0.05</v>
                </pt>
                <pt idx="3">
                  <v>0.09</v>
                </pt>
                <pt idx="4">
                  <v>0.2</v>
                </pt>
                <pt idx="5">
                  <v>0.39</v>
                </pt>
                <pt idx="6">
                  <v>0.78</v>
                </pt>
                <pt idx="7">
                  <v>1.42</v>
                </pt>
                <pt idx="8">
                  <v>2.42</v>
                </pt>
                <pt idx="9">
                  <v>3.71</v>
                </pt>
                <pt idx="10">
                  <v>7.05</v>
                </pt>
                <pt idx="11">
                  <v>11.92</v>
                </pt>
                <pt idx="12">
                  <v>18.38</v>
                </pt>
                <pt idx="13">
                  <v>25.9</v>
                </pt>
                <pt idx="14">
                  <v>29.94</v>
                </pt>
                <pt idx="15">
                  <v>32.48</v>
                </pt>
                <pt idx="16">
                  <v>34.33</v>
                </pt>
                <pt idx="17">
                  <v>35</v>
                </pt>
                <pt idx="18">
                  <v>35.47</v>
                </pt>
                <pt idx="19">
                  <v>35.91</v>
                </pt>
                <pt idx="20">
                  <v>35.95</v>
                </pt>
              </numCache>
            </numRef>
          </val>
          <smooth val="1"/>
        </ser>
        <ser>
          <idx val="1"/>
          <order val="1"/>
          <tx>
            <strRef>
              <f>'AR, Tree, 0x0, 16nodes'!$F$368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16nodes'!$A$369:$A$389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16nodes'!$F$369:$F$389</f>
              <numCache>
                <formatCode>General</formatCode>
                <ptCount val="21"/>
                <pt idx="0">
                  <v>0.01575734264966731</v>
                </pt>
                <pt idx="1">
                  <v>0.03151083578627027</v>
                </pt>
                <pt idx="2">
                  <v>0.06300627916151272</v>
                </pt>
                <pt idx="3">
                  <v>0.1259510337701918</v>
                </pt>
                <pt idx="4">
                  <v>0.251656329443438</v>
                </pt>
                <pt idx="5">
                  <v>0.5023325775968912</v>
                </pt>
                <pt idx="6">
                  <v>1.000767642881734</v>
                </pt>
                <pt idx="7">
                  <v>1.986125280363225</v>
                </pt>
                <pt idx="8">
                  <v>3.912012665614901</v>
                </pt>
                <pt idx="9">
                  <v>7.593712929745451</v>
                </pt>
                <pt idx="10">
                  <v>14.3430081797084</v>
                </pt>
                <pt idx="11">
                  <v>25.81535927939125</v>
                </pt>
                <pt idx="12">
                  <v>43.02046121142509</v>
                </pt>
                <pt idx="13">
                  <v>64.52106142814173</v>
                </pt>
                <pt idx="14">
                  <v>86.01524521752567</v>
                </pt>
                <pt idx="15">
                  <v>103.2059743512971</v>
                </pt>
                <pt idx="16">
                  <v>114.6641807909724</v>
                </pt>
                <pt idx="17">
                  <v>121.4034505248529</v>
                </pt>
                <pt idx="18">
                  <v>125.0791499624033</v>
                </pt>
                <pt idx="19">
                  <v>127.0017487620018</v>
                </pt>
                <pt idx="20">
                  <v>127.985384107804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7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LL128, Channels: 1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16nodes'!$E$406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16nodes'!$A$407:$A$427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16nodes'!$E$407:$E$427</f>
              <numCache>
                <formatCode>General</formatCode>
                <ptCount val="21"/>
                <pt idx="0">
                  <v>0.01</v>
                </pt>
                <pt idx="1">
                  <v>0.02</v>
                </pt>
                <pt idx="2">
                  <v>0.05</v>
                </pt>
                <pt idx="3">
                  <v>0.09</v>
                </pt>
                <pt idx="4">
                  <v>0.17</v>
                </pt>
                <pt idx="5">
                  <v>0.32</v>
                </pt>
                <pt idx="6">
                  <v>0.62</v>
                </pt>
                <pt idx="7">
                  <v>1.13</v>
                </pt>
                <pt idx="8">
                  <v>1.87</v>
                </pt>
                <pt idx="9">
                  <v>3.13</v>
                </pt>
                <pt idx="10">
                  <v>4.76</v>
                </pt>
                <pt idx="11">
                  <v>6.52</v>
                </pt>
                <pt idx="12">
                  <v>7.85</v>
                </pt>
                <pt idx="13">
                  <v>9.81</v>
                </pt>
                <pt idx="14">
                  <v>10.91</v>
                </pt>
                <pt idx="15">
                  <v>11.34</v>
                </pt>
                <pt idx="16">
                  <v>11.92</v>
                </pt>
                <pt idx="17">
                  <v>12.31</v>
                </pt>
                <pt idx="18">
                  <v>12.48</v>
                </pt>
                <pt idx="19">
                  <v>12.64</v>
                </pt>
                <pt idx="20">
                  <v>12.7</v>
                </pt>
              </numCache>
            </numRef>
          </val>
          <smooth val="1"/>
        </ser>
        <ser>
          <idx val="1"/>
          <order val="1"/>
          <tx>
            <strRef>
              <f>'AR, Tree, 0x0, 16nodes'!$F$406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16nodes'!$A$407:$A$427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16nodes'!$F$407:$F$427</f>
              <numCache>
                <formatCode>General</formatCode>
                <ptCount val="21"/>
                <pt idx="0">
                  <v>0.01575105685202933</v>
                </pt>
                <pt idx="1">
                  <v>0.03148570875884676</v>
                </pt>
                <pt idx="2">
                  <v>0.06290590014605968</v>
                </pt>
                <pt idx="3">
                  <v>0.1255505471020983</v>
                </pt>
                <pt idx="4">
                  <v>0.2500625645505076</v>
                </pt>
                <pt idx="5">
                  <v>0.4960221307188686</v>
                </pt>
                <pt idx="6">
                  <v>0.9760296764847978</v>
                </pt>
                <pt idx="7">
                  <v>1.891006269500189</v>
                </pt>
                <pt idx="8">
                  <v>3.559365382821513</v>
                </pt>
                <pt idx="9">
                  <v>6.368860828917606</v>
                </pt>
                <pt idx="10">
                  <v>10.52117189313331</v>
                </pt>
                <pt idx="11">
                  <v>15.6097087760216</v>
                </pt>
                <pt idx="12">
                  <v>20.58849404771189</v>
                </pt>
                <pt idx="13">
                  <v>24.49486679955217</v>
                </pt>
                <pt idx="14">
                  <v>27.06219978677642</v>
                </pt>
                <pt idx="15">
                  <v>28.55884100531917</v>
                </pt>
                <pt idx="16">
                  <v>29.37100439472374</v>
                </pt>
                <pt idx="17">
                  <v>29.79465832889493</v>
                </pt>
                <pt idx="18">
                  <v>30.01110174966096</v>
                </pt>
                <pt idx="19">
                  <v>30.1205070246545</v>
                </pt>
                <pt idx="20">
                  <v>30.17550933554038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7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LL128, Channels: 2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16nodes'!$E$444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16nodes'!$A$445:$A$465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16nodes'!$E$445:$E$465</f>
              <numCache>
                <formatCode>General</formatCode>
                <ptCount val="21"/>
                <pt idx="0">
                  <v>0.01</v>
                </pt>
                <pt idx="1">
                  <v>0.02</v>
                </pt>
                <pt idx="2">
                  <v>0.05</v>
                </pt>
                <pt idx="3">
                  <v>0.09</v>
                </pt>
                <pt idx="4">
                  <v>0.17</v>
                </pt>
                <pt idx="5">
                  <v>0.33</v>
                </pt>
                <pt idx="6">
                  <v>0.64</v>
                </pt>
                <pt idx="7">
                  <v>1.22</v>
                </pt>
                <pt idx="8">
                  <v>2.24</v>
                </pt>
                <pt idx="9">
                  <v>3.68</v>
                </pt>
                <pt idx="10">
                  <v>6.25</v>
                </pt>
                <pt idx="11">
                  <v>9.48</v>
                </pt>
                <pt idx="12">
                  <v>12.95</v>
                </pt>
                <pt idx="13">
                  <v>15.58</v>
                </pt>
                <pt idx="14">
                  <v>19.36</v>
                </pt>
                <pt idx="15">
                  <v>21.39</v>
                </pt>
                <pt idx="16">
                  <v>22.37</v>
                </pt>
                <pt idx="17">
                  <v>23.47</v>
                </pt>
                <pt idx="18">
                  <v>24.14</v>
                </pt>
                <pt idx="19">
                  <v>24.7</v>
                </pt>
                <pt idx="20">
                  <v>24.8</v>
                </pt>
              </numCache>
            </numRef>
          </val>
          <smooth val="1"/>
        </ser>
        <ser>
          <idx val="1"/>
          <order val="1"/>
          <tx>
            <strRef>
              <f>'AR, Tree, 0x0, 16nodes'!$F$444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16nodes'!$A$445:$A$465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16nodes'!$F$445:$F$465</f>
              <numCache>
                <formatCode>General</formatCode>
                <ptCount val="21"/>
                <pt idx="0">
                  <v>0.01575516129445779</v>
                </pt>
                <pt idx="1">
                  <v>0.03150211370405866</v>
                </pt>
                <pt idx="2">
                  <v>0.06297141751769353</v>
                </pt>
                <pt idx="3">
                  <v>0.1258118002921194</v>
                </pt>
                <pt idx="4">
                  <v>0.2511010942041965</v>
                </pt>
                <pt idx="5">
                  <v>0.5001251291010151</v>
                </pt>
                <pt idx="6">
                  <v>0.9920442614377373</v>
                </pt>
                <pt idx="7">
                  <v>1.952059352969596</v>
                </pt>
                <pt idx="8">
                  <v>3.782012539000378</v>
                </pt>
                <pt idx="9">
                  <v>7.118730765643027</v>
                </pt>
                <pt idx="10">
                  <v>12.73772165783521</v>
                </pt>
                <pt idx="11">
                  <v>21.04234378626662</v>
                </pt>
                <pt idx="12">
                  <v>31.21941755204321</v>
                </pt>
                <pt idx="13">
                  <v>41.17698809542379</v>
                </pt>
                <pt idx="14">
                  <v>48.98973359910435</v>
                </pt>
                <pt idx="15">
                  <v>54.12439957355284</v>
                </pt>
                <pt idx="16">
                  <v>57.11768201063833</v>
                </pt>
                <pt idx="17">
                  <v>58.74200878944747</v>
                </pt>
                <pt idx="18">
                  <v>59.58931665778986</v>
                </pt>
                <pt idx="19">
                  <v>60.02220349932193</v>
                </pt>
                <pt idx="20">
                  <v>60.24101404930901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7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LL128, Channels: 4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16nodes'!$E$482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16nodes'!$A$483:$A$503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16nodes'!$E$483:$E$503</f>
              <numCache>
                <formatCode>General</formatCode>
                <ptCount val="21"/>
                <pt idx="0">
                  <v>0.01</v>
                </pt>
                <pt idx="1">
                  <v>0.02</v>
                </pt>
                <pt idx="2">
                  <v>0.05</v>
                </pt>
                <pt idx="3">
                  <v>0.09</v>
                </pt>
                <pt idx="4">
                  <v>0.17</v>
                </pt>
                <pt idx="5">
                  <v>0.33</v>
                </pt>
                <pt idx="6">
                  <v>0.63</v>
                </pt>
                <pt idx="7">
                  <v>1.28</v>
                </pt>
                <pt idx="8">
                  <v>2.42</v>
                </pt>
                <pt idx="9">
                  <v>4.38</v>
                </pt>
                <pt idx="10">
                  <v>7.14</v>
                </pt>
                <pt idx="11">
                  <v>12.36</v>
                </pt>
                <pt idx="12">
                  <v>18.79</v>
                </pt>
                <pt idx="13">
                  <v>24.49</v>
                </pt>
                <pt idx="14">
                  <v>31.35</v>
                </pt>
                <pt idx="15">
                  <v>38.42</v>
                </pt>
                <pt idx="16">
                  <v>41.95</v>
                </pt>
                <pt idx="17">
                  <v>44.58</v>
                </pt>
                <pt idx="18">
                  <v>46.9</v>
                </pt>
                <pt idx="19">
                  <v>48.21</v>
                </pt>
                <pt idx="20">
                  <v>49</v>
                </pt>
              </numCache>
            </numRef>
          </val>
          <smooth val="1"/>
        </ser>
        <ser>
          <idx val="1"/>
          <order val="1"/>
          <tx>
            <strRef>
              <f>'AR, Tree, 0x0, 16nodes'!$F$482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16nodes'!$A$483:$A$503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16nodes'!$F$483:$F$503</f>
              <numCache>
                <formatCode>General</formatCode>
                <ptCount val="21"/>
                <pt idx="0">
                  <v>0.01575721431793452</v>
                </pt>
                <pt idx="1">
                  <v>0.03151032258891558</v>
                </pt>
                <pt idx="2">
                  <v>0.06300422740811731</v>
                </pt>
                <pt idx="3">
                  <v>0.1259428350353871</v>
                </pt>
                <pt idx="4">
                  <v>0.2516236005842387</v>
                </pt>
                <pt idx="5">
                  <v>0.502202188408393</v>
                </pt>
                <pt idx="6">
                  <v>1.00025025820203</v>
                </pt>
                <pt idx="7">
                  <v>1.984088522875475</v>
                </pt>
                <pt idx="8">
                  <v>3.904118705939191</v>
                </pt>
                <pt idx="9">
                  <v>7.564025078000755</v>
                </pt>
                <pt idx="10">
                  <v>14.23746153128605</v>
                </pt>
                <pt idx="11">
                  <v>25.47544331567043</v>
                </pt>
                <pt idx="12">
                  <v>42.08468757253324</v>
                </pt>
                <pt idx="13">
                  <v>62.43883510408642</v>
                </pt>
                <pt idx="14">
                  <v>82.35397619084758</v>
                </pt>
                <pt idx="15">
                  <v>97.9794671982087</v>
                </pt>
                <pt idx="16">
                  <v>108.2487991471057</v>
                </pt>
                <pt idx="17">
                  <v>114.2353640212767</v>
                </pt>
                <pt idx="18">
                  <v>117.4840175788949</v>
                </pt>
                <pt idx="19">
                  <v>119.1786333155797</v>
                </pt>
                <pt idx="20">
                  <v>120.0444069986439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7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LL128, Channels: 8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16nodes'!$E$520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16nodes'!$A$521:$A$541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16nodes'!$E$521:$E$541</f>
              <numCache>
                <formatCode>General</formatCode>
                <ptCount val="21"/>
                <pt idx="0">
                  <v>0.01</v>
                </pt>
                <pt idx="1">
                  <v>0.02</v>
                </pt>
                <pt idx="2">
                  <v>0.05</v>
                </pt>
                <pt idx="3">
                  <v>0.09</v>
                </pt>
                <pt idx="4">
                  <v>0.17</v>
                </pt>
                <pt idx="5">
                  <v>0.33</v>
                </pt>
                <pt idx="6">
                  <v>0.65</v>
                </pt>
                <pt idx="7">
                  <v>1.29</v>
                </pt>
                <pt idx="8">
                  <v>2.53</v>
                </pt>
                <pt idx="9">
                  <v>4.69</v>
                </pt>
                <pt idx="10">
                  <v>8.77</v>
                </pt>
                <pt idx="11">
                  <v>14.5</v>
                </pt>
                <pt idx="12">
                  <v>24.47</v>
                </pt>
                <pt idx="13">
                  <v>37.09</v>
                </pt>
                <pt idx="14">
                  <v>49</v>
                </pt>
                <pt idx="15">
                  <v>61.27</v>
                </pt>
                <pt idx="16">
                  <v>74.61</v>
                </pt>
                <pt idx="17">
                  <v>81.90000000000001</v>
                </pt>
                <pt idx="18">
                  <v>87.76000000000001</v>
                </pt>
                <pt idx="19">
                  <v>92.84999999999999</v>
                </pt>
                <pt idx="20">
                  <v>95.56999999999999</v>
                </pt>
              </numCache>
            </numRef>
          </val>
          <smooth val="1"/>
        </ser>
        <ser>
          <idx val="1"/>
          <order val="1"/>
          <tx>
            <strRef>
              <f>'AR, Tree, 0x0, 16nodes'!$F$520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16nodes'!$A$521:$A$541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16nodes'!$F$521:$F$541</f>
              <numCache>
                <formatCode>General</formatCode>
                <ptCount val="21"/>
                <pt idx="0">
                  <v>0.01575824103032998</v>
                </pt>
                <pt idx="1">
                  <v>0.03151442863586904</v>
                </pt>
                <pt idx="2">
                  <v>0.06302064517783117</v>
                </pt>
                <pt idx="3">
                  <v>0.1260084548162346</v>
                </pt>
                <pt idx="4">
                  <v>0.2518856700707741</v>
                </pt>
                <pt idx="5">
                  <v>0.5032472011684774</v>
                </pt>
                <pt idx="6">
                  <v>1.004404376816786</v>
                </pt>
                <pt idx="7">
                  <v>2.000500516404061</v>
                </pt>
                <pt idx="8">
                  <v>3.968177045750949</v>
                </pt>
                <pt idx="9">
                  <v>7.808237411878382</v>
                </pt>
                <pt idx="10">
                  <v>15.12805015600151</v>
                </pt>
                <pt idx="11">
                  <v>28.47492306257211</v>
                </pt>
                <pt idx="12">
                  <v>50.95088663134085</v>
                </pt>
                <pt idx="13">
                  <v>84.16937514506648</v>
                </pt>
                <pt idx="14">
                  <v>124.8776702081728</v>
                </pt>
                <pt idx="15">
                  <v>164.7079523816952</v>
                </pt>
                <pt idx="16">
                  <v>195.9589343964174</v>
                </pt>
                <pt idx="17">
                  <v>216.4975982942113</v>
                </pt>
                <pt idx="18">
                  <v>228.4707280425533</v>
                </pt>
                <pt idx="19">
                  <v>234.9680351577899</v>
                </pt>
                <pt idx="20">
                  <v>238.3572666311594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8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Nodes: 16, Protocol: LL128, Channels: 16</a:t>
            </a:r>
          </a:p>
        </rich>
      </tx>
      <overlay val="1"/>
    </title>
    <plotArea>
      <layout>
        <manualLayout>
          <xMode val="edge"/>
          <yMode val="edge"/>
          <wMode val="factor"/>
          <hMode val="factor"/>
          <x val="0.07000000000000001"/>
          <y val="0.03"/>
          <w val="0.9"/>
          <h val="0.82"/>
        </manualLayout>
      </layout>
      <lineChart>
        <grouping val="standard"/>
        <varyColors val="1"/>
        <ser>
          <idx val="0"/>
          <order val="0"/>
          <tx>
            <strRef>
              <f>'AR, Tree, 0x0, 16nodes'!$E$558</f>
              <strCache>
                <ptCount val="1"/>
                <pt idx="0">
                  <v>Actual busBW (GB/s)</v>
                </pt>
              </strCache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16nodes'!$A$559:$A$579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16nodes'!$E$559:$E$579</f>
              <numCache>
                <formatCode>General</formatCode>
                <ptCount val="21"/>
                <pt idx="0">
                  <v>0.01</v>
                </pt>
                <pt idx="1">
                  <v>0.02</v>
                </pt>
                <pt idx="2">
                  <v>0.05</v>
                </pt>
                <pt idx="3">
                  <v>0.09</v>
                </pt>
                <pt idx="4">
                  <v>0.17</v>
                </pt>
                <pt idx="5">
                  <v>0.33</v>
                </pt>
                <pt idx="6">
                  <v>0.66</v>
                </pt>
                <pt idx="7">
                  <v>1.3</v>
                </pt>
                <pt idx="8">
                  <v>2.6</v>
                </pt>
                <pt idx="9">
                  <v>4.63</v>
                </pt>
                <pt idx="10">
                  <v>9.43</v>
                </pt>
                <pt idx="11">
                  <v>17.25</v>
                </pt>
                <pt idx="12">
                  <v>27.51</v>
                </pt>
                <pt idx="13">
                  <v>47.96</v>
                </pt>
                <pt idx="14">
                  <v>70.11</v>
                </pt>
                <pt idx="15">
                  <v>98.84</v>
                </pt>
                <pt idx="16">
                  <v>115.83</v>
                </pt>
                <pt idx="17">
                  <v>145.77</v>
                </pt>
                <pt idx="18">
                  <v>162.05</v>
                </pt>
                <pt idx="19">
                  <v>173.22</v>
                </pt>
                <pt idx="20">
                  <v>181.99</v>
                </pt>
              </numCache>
            </numRef>
          </val>
          <smooth val="1"/>
        </ser>
        <ser>
          <idx val="1"/>
          <order val="1"/>
          <tx>
            <strRef>
              <f>'AR, Tree, 0x0, 16nodes'!$F$558</f>
              <strCache>
                <ptCount val="1"/>
                <pt idx="0">
                  <v>Roofline busBW (GB/s)</v>
                </pt>
              </strCache>
            </strRef>
          </tx>
          <spPr>
            <a:ln xmlns:a="http://schemas.openxmlformats.org/drawingml/2006/main" w="20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'AR, Tree, 0x0, 16nodes'!$A$559:$A$579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4</v>
                </pt>
                <pt idx="3">
                  <v>8</v>
                </pt>
                <pt idx="4">
                  <v>16</v>
                </pt>
                <pt idx="5">
                  <v>32</v>
                </pt>
                <pt idx="6">
                  <v>64</v>
                </pt>
                <pt idx="7">
                  <v>128</v>
                </pt>
                <pt idx="8">
                  <v>256</v>
                </pt>
                <pt idx="9">
                  <v>512</v>
                </pt>
                <pt idx="10">
                  <v>1024</v>
                </pt>
                <pt idx="11">
                  <v>2048</v>
                </pt>
                <pt idx="12">
                  <v>4096</v>
                </pt>
                <pt idx="13">
                  <v>8192</v>
                </pt>
                <pt idx="14">
                  <v>16384</v>
                </pt>
                <pt idx="15">
                  <v>32768</v>
                </pt>
                <pt idx="16">
                  <v>65536</v>
                </pt>
                <pt idx="17">
                  <v>131072</v>
                </pt>
                <pt idx="18">
                  <v>262144</v>
                </pt>
                <pt idx="19">
                  <v>524288</v>
                </pt>
                <pt idx="20">
                  <v>1048576</v>
                </pt>
              </numCache>
            </numRef>
          </cat>
          <val>
            <numRef>
              <f>'AR, Tree, 0x0, 16nodes'!$F$559:$F$579</f>
              <numCache>
                <formatCode>General</formatCode>
                <ptCount val="21"/>
                <pt idx="0">
                  <v>0.01575824103032998</v>
                </pt>
                <pt idx="1">
                  <v>0.03151442863586904</v>
                </pt>
                <pt idx="2">
                  <v>0.06302064517783117</v>
                </pt>
                <pt idx="3">
                  <v>0.1260084548162346</v>
                </pt>
                <pt idx="4">
                  <v>0.2518856700707741</v>
                </pt>
                <pt idx="5">
                  <v>0.5032472011684774</v>
                </pt>
                <pt idx="6">
                  <v>1.004404376816786</v>
                </pt>
                <pt idx="7">
                  <v>2.000500516404061</v>
                </pt>
                <pt idx="8">
                  <v>3.968177045750949</v>
                </pt>
                <pt idx="9">
                  <v>7.808237411878382</v>
                </pt>
                <pt idx="10">
                  <v>15.12805015600151</v>
                </pt>
                <pt idx="11">
                  <v>28.47492306257211</v>
                </pt>
                <pt idx="12">
                  <v>50.95088663134085</v>
                </pt>
                <pt idx="13">
                  <v>84.16937514506648</v>
                </pt>
                <pt idx="14">
                  <v>124.8776702081728</v>
                </pt>
                <pt idx="15">
                  <v>164.7079523816952</v>
                </pt>
                <pt idx="16">
                  <v>195.9589343964174</v>
                </pt>
                <pt idx="17">
                  <v>216.4975982942113</v>
                </pt>
                <pt idx="18">
                  <v>228.4707280425533</v>
                </pt>
                <pt idx="19">
                  <v>234.9680351577899</v>
                </pt>
                <pt idx="20">
                  <v>238.3572666311594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Size (KB)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Bus Bandwidth (GB/s)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6.xml" Id="rId1"/><Relationship Type="http://schemas.openxmlformats.org/officeDocument/2006/relationships/chart" Target="/xl/charts/chart17.xml" Id="rId2"/><Relationship Type="http://schemas.openxmlformats.org/officeDocument/2006/relationships/chart" Target="/xl/charts/chart18.xml" Id="rId3"/><Relationship Type="http://schemas.openxmlformats.org/officeDocument/2006/relationships/chart" Target="/xl/charts/chart19.xml" Id="rId4"/><Relationship Type="http://schemas.openxmlformats.org/officeDocument/2006/relationships/chart" Target="/xl/charts/chart20.xml" Id="rId5"/><Relationship Type="http://schemas.openxmlformats.org/officeDocument/2006/relationships/chart" Target="/xl/charts/chart21.xml" Id="rId6"/><Relationship Type="http://schemas.openxmlformats.org/officeDocument/2006/relationships/chart" Target="/xl/charts/chart22.xml" Id="rId7"/><Relationship Type="http://schemas.openxmlformats.org/officeDocument/2006/relationships/chart" Target="/xl/charts/chart23.xml" Id="rId8"/><Relationship Type="http://schemas.openxmlformats.org/officeDocument/2006/relationships/chart" Target="/xl/charts/chart24.xml" Id="rId9"/><Relationship Type="http://schemas.openxmlformats.org/officeDocument/2006/relationships/chart" Target="/xl/charts/chart25.xml" Id="rId10"/><Relationship Type="http://schemas.openxmlformats.org/officeDocument/2006/relationships/chart" Target="/xl/charts/chart26.xml" Id="rId11"/><Relationship Type="http://schemas.openxmlformats.org/officeDocument/2006/relationships/chart" Target="/xl/charts/chart27.xml" Id="rId12"/><Relationship Type="http://schemas.openxmlformats.org/officeDocument/2006/relationships/chart" Target="/xl/charts/chart28.xml" Id="rId13"/><Relationship Type="http://schemas.openxmlformats.org/officeDocument/2006/relationships/chart" Target="/xl/charts/chart29.xml" Id="rId14"/><Relationship Type="http://schemas.openxmlformats.org/officeDocument/2006/relationships/chart" Target="/xl/charts/chart30.xml" Id="rId15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1.xml" Id="rId1"/><Relationship Type="http://schemas.openxmlformats.org/officeDocument/2006/relationships/chart" Target="/xl/charts/chart32.xml" Id="rId2"/><Relationship Type="http://schemas.openxmlformats.org/officeDocument/2006/relationships/chart" Target="/xl/charts/chart33.xml" Id="rId3"/><Relationship Type="http://schemas.openxmlformats.org/officeDocument/2006/relationships/chart" Target="/xl/charts/chart34.xml" Id="rId4"/><Relationship Type="http://schemas.openxmlformats.org/officeDocument/2006/relationships/chart" Target="/xl/charts/chart35.xml" Id="rId5"/><Relationship Type="http://schemas.openxmlformats.org/officeDocument/2006/relationships/chart" Target="/xl/charts/chart36.xml" Id="rId6"/><Relationship Type="http://schemas.openxmlformats.org/officeDocument/2006/relationships/chart" Target="/xl/charts/chart37.xml" Id="rId7"/><Relationship Type="http://schemas.openxmlformats.org/officeDocument/2006/relationships/chart" Target="/xl/charts/chart38.xml" Id="rId8"/><Relationship Type="http://schemas.openxmlformats.org/officeDocument/2006/relationships/chart" Target="/xl/charts/chart39.xml" Id="rId9"/><Relationship Type="http://schemas.openxmlformats.org/officeDocument/2006/relationships/chart" Target="/xl/charts/chart40.xml" Id="rId10"/><Relationship Type="http://schemas.openxmlformats.org/officeDocument/2006/relationships/chart" Target="/xl/charts/chart41.xml" Id="rId11"/><Relationship Type="http://schemas.openxmlformats.org/officeDocument/2006/relationships/chart" Target="/xl/charts/chart42.xml" Id="rId12"/><Relationship Type="http://schemas.openxmlformats.org/officeDocument/2006/relationships/chart" Target="/xl/charts/chart43.xml" Id="rId13"/><Relationship Type="http://schemas.openxmlformats.org/officeDocument/2006/relationships/chart" Target="/xl/charts/chart44.xml" Id="rId14"/><Relationship Type="http://schemas.openxmlformats.org/officeDocument/2006/relationships/chart" Target="/xl/charts/chart45.xml" Id="rId15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6.xml" Id="rId1"/><Relationship Type="http://schemas.openxmlformats.org/officeDocument/2006/relationships/chart" Target="/xl/charts/chart47.xml" Id="rId2"/><Relationship Type="http://schemas.openxmlformats.org/officeDocument/2006/relationships/chart" Target="/xl/charts/chart48.xml" Id="rId3"/><Relationship Type="http://schemas.openxmlformats.org/officeDocument/2006/relationships/chart" Target="/xl/charts/chart49.xml" Id="rId4"/><Relationship Type="http://schemas.openxmlformats.org/officeDocument/2006/relationships/chart" Target="/xl/charts/chart50.xml" Id="rId5"/><Relationship Type="http://schemas.openxmlformats.org/officeDocument/2006/relationships/chart" Target="/xl/charts/chart51.xml" Id="rId6"/><Relationship Type="http://schemas.openxmlformats.org/officeDocument/2006/relationships/chart" Target="/xl/charts/chart52.xml" Id="rId7"/><Relationship Type="http://schemas.openxmlformats.org/officeDocument/2006/relationships/chart" Target="/xl/charts/chart53.xml" Id="rId8"/><Relationship Type="http://schemas.openxmlformats.org/officeDocument/2006/relationships/chart" Target="/xl/charts/chart54.xml" Id="rId9"/><Relationship Type="http://schemas.openxmlformats.org/officeDocument/2006/relationships/chart" Target="/xl/charts/chart55.xml" Id="rId10"/><Relationship Type="http://schemas.openxmlformats.org/officeDocument/2006/relationships/chart" Target="/xl/charts/chart56.xml" Id="rId11"/><Relationship Type="http://schemas.openxmlformats.org/officeDocument/2006/relationships/chart" Target="/xl/charts/chart57.xml" Id="rId12"/><Relationship Type="http://schemas.openxmlformats.org/officeDocument/2006/relationships/chart" Target="/xl/charts/chart58.xml" Id="rId13"/><Relationship Type="http://schemas.openxmlformats.org/officeDocument/2006/relationships/chart" Target="/xl/charts/chart59.xml" Id="rId14"/><Relationship Type="http://schemas.openxmlformats.org/officeDocument/2006/relationships/chart" Target="/xl/charts/chart60.xml" Id="rId1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1.xml" Id="rId1"/><Relationship Type="http://schemas.openxmlformats.org/officeDocument/2006/relationships/chart" Target="/xl/charts/chart62.xml" Id="rId2"/><Relationship Type="http://schemas.openxmlformats.org/officeDocument/2006/relationships/chart" Target="/xl/charts/chart63.xml" Id="rId3"/><Relationship Type="http://schemas.openxmlformats.org/officeDocument/2006/relationships/chart" Target="/xl/charts/chart64.xml" Id="rId4"/><Relationship Type="http://schemas.openxmlformats.org/officeDocument/2006/relationships/chart" Target="/xl/charts/chart65.xml" Id="rId5"/><Relationship Type="http://schemas.openxmlformats.org/officeDocument/2006/relationships/chart" Target="/xl/charts/chart66.xml" Id="rId6"/><Relationship Type="http://schemas.openxmlformats.org/officeDocument/2006/relationships/chart" Target="/xl/charts/chart67.xml" Id="rId7"/><Relationship Type="http://schemas.openxmlformats.org/officeDocument/2006/relationships/chart" Target="/xl/charts/chart68.xml" Id="rId8"/><Relationship Type="http://schemas.openxmlformats.org/officeDocument/2006/relationships/chart" Target="/xl/charts/chart69.xml" Id="rId9"/><Relationship Type="http://schemas.openxmlformats.org/officeDocument/2006/relationships/chart" Target="/xl/charts/chart70.xml" Id="rId10"/><Relationship Type="http://schemas.openxmlformats.org/officeDocument/2006/relationships/chart" Target="/xl/charts/chart71.xml" Id="rId11"/><Relationship Type="http://schemas.openxmlformats.org/officeDocument/2006/relationships/chart" Target="/xl/charts/chart72.xml" Id="rId12"/><Relationship Type="http://schemas.openxmlformats.org/officeDocument/2006/relationships/chart" Target="/xl/charts/chart73.xml" Id="rId13"/><Relationship Type="http://schemas.openxmlformats.org/officeDocument/2006/relationships/chart" Target="/xl/charts/chart74.xml" Id="rId14"/><Relationship Type="http://schemas.openxmlformats.org/officeDocument/2006/relationships/chart" Target="/xl/charts/chart75.xml" Id="rId15"/></Relationships>
</file>

<file path=xl/drawings/_rels/drawing6.xml.rels><Relationships xmlns="http://schemas.openxmlformats.org/package/2006/relationships"><Relationship Type="http://schemas.openxmlformats.org/officeDocument/2006/relationships/chart" Target="/xl/charts/chart76.xml" Id="rId1"/><Relationship Type="http://schemas.openxmlformats.org/officeDocument/2006/relationships/chart" Target="/xl/charts/chart77.xml" Id="rId2"/><Relationship Type="http://schemas.openxmlformats.org/officeDocument/2006/relationships/chart" Target="/xl/charts/chart78.xml" Id="rId3"/><Relationship Type="http://schemas.openxmlformats.org/officeDocument/2006/relationships/chart" Target="/xl/charts/chart79.xml" Id="rId4"/><Relationship Type="http://schemas.openxmlformats.org/officeDocument/2006/relationships/chart" Target="/xl/charts/chart80.xml" Id="rId5"/><Relationship Type="http://schemas.openxmlformats.org/officeDocument/2006/relationships/chart" Target="/xl/charts/chart81.xml" Id="rId6"/><Relationship Type="http://schemas.openxmlformats.org/officeDocument/2006/relationships/chart" Target="/xl/charts/chart82.xml" Id="rId7"/><Relationship Type="http://schemas.openxmlformats.org/officeDocument/2006/relationships/chart" Target="/xl/charts/chart83.xml" Id="rId8"/><Relationship Type="http://schemas.openxmlformats.org/officeDocument/2006/relationships/chart" Target="/xl/charts/chart84.xml" Id="rId9"/><Relationship Type="http://schemas.openxmlformats.org/officeDocument/2006/relationships/chart" Target="/xl/charts/chart85.xml" Id="rId10"/><Relationship Type="http://schemas.openxmlformats.org/officeDocument/2006/relationships/chart" Target="/xl/charts/chart86.xml" Id="rId11"/><Relationship Type="http://schemas.openxmlformats.org/officeDocument/2006/relationships/chart" Target="/xl/charts/chart87.xml" Id="rId12"/><Relationship Type="http://schemas.openxmlformats.org/officeDocument/2006/relationships/chart" Target="/xl/charts/chart88.xml" Id="rId13"/><Relationship Type="http://schemas.openxmlformats.org/officeDocument/2006/relationships/chart" Target="/xl/charts/chart89.xml" Id="rId14"/><Relationship Type="http://schemas.openxmlformats.org/officeDocument/2006/relationships/chart" Target="/xl/charts/chart90.xml" Id="rId15"/></Relationships>
</file>

<file path=xl/drawings/_rels/drawing7.xml.rels><Relationships xmlns="http://schemas.openxmlformats.org/package/2006/relationships"><Relationship Type="http://schemas.openxmlformats.org/officeDocument/2006/relationships/chart" Target="/xl/charts/chart91.xml" Id="rId1"/><Relationship Type="http://schemas.openxmlformats.org/officeDocument/2006/relationships/chart" Target="/xl/charts/chart92.xml" Id="rId2"/><Relationship Type="http://schemas.openxmlformats.org/officeDocument/2006/relationships/chart" Target="/xl/charts/chart93.xml" Id="rId3"/><Relationship Type="http://schemas.openxmlformats.org/officeDocument/2006/relationships/chart" Target="/xl/charts/chart94.xml" Id="rId4"/><Relationship Type="http://schemas.openxmlformats.org/officeDocument/2006/relationships/chart" Target="/xl/charts/chart95.xml" Id="rId5"/><Relationship Type="http://schemas.openxmlformats.org/officeDocument/2006/relationships/chart" Target="/xl/charts/chart96.xml" Id="rId6"/><Relationship Type="http://schemas.openxmlformats.org/officeDocument/2006/relationships/chart" Target="/xl/charts/chart97.xml" Id="rId7"/><Relationship Type="http://schemas.openxmlformats.org/officeDocument/2006/relationships/chart" Target="/xl/charts/chart98.xml" Id="rId8"/><Relationship Type="http://schemas.openxmlformats.org/officeDocument/2006/relationships/chart" Target="/xl/charts/chart99.xml" Id="rId9"/><Relationship Type="http://schemas.openxmlformats.org/officeDocument/2006/relationships/chart" Target="/xl/charts/chart100.xml" Id="rId10"/><Relationship Type="http://schemas.openxmlformats.org/officeDocument/2006/relationships/chart" Target="/xl/charts/chart101.xml" Id="rId11"/><Relationship Type="http://schemas.openxmlformats.org/officeDocument/2006/relationships/chart" Target="/xl/charts/chart102.xml" Id="rId12"/><Relationship Type="http://schemas.openxmlformats.org/officeDocument/2006/relationships/chart" Target="/xl/charts/chart103.xml" Id="rId13"/><Relationship Type="http://schemas.openxmlformats.org/officeDocument/2006/relationships/chart" Target="/xl/charts/chart104.xml" Id="rId14"/><Relationship Type="http://schemas.openxmlformats.org/officeDocument/2006/relationships/chart" Target="/xl/charts/chart105.xml" Id="rId15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6.xml" Id="rId1"/><Relationship Type="http://schemas.openxmlformats.org/officeDocument/2006/relationships/chart" Target="/xl/charts/chart107.xml" Id="rId2"/><Relationship Type="http://schemas.openxmlformats.org/officeDocument/2006/relationships/chart" Target="/xl/charts/chart108.xml" Id="rId3"/><Relationship Type="http://schemas.openxmlformats.org/officeDocument/2006/relationships/chart" Target="/xl/charts/chart109.xml" Id="rId4"/><Relationship Type="http://schemas.openxmlformats.org/officeDocument/2006/relationships/chart" Target="/xl/charts/chart110.xml" Id="rId5"/><Relationship Type="http://schemas.openxmlformats.org/officeDocument/2006/relationships/chart" Target="/xl/charts/chart111.xml" Id="rId6"/><Relationship Type="http://schemas.openxmlformats.org/officeDocument/2006/relationships/chart" Target="/xl/charts/chart112.xml" Id="rId7"/><Relationship Type="http://schemas.openxmlformats.org/officeDocument/2006/relationships/chart" Target="/xl/charts/chart113.xml" Id="rId8"/><Relationship Type="http://schemas.openxmlformats.org/officeDocument/2006/relationships/chart" Target="/xl/charts/chart114.xml" Id="rId9"/><Relationship Type="http://schemas.openxmlformats.org/officeDocument/2006/relationships/chart" Target="/xl/charts/chart115.xml" Id="rId10"/><Relationship Type="http://schemas.openxmlformats.org/officeDocument/2006/relationships/chart" Target="/xl/charts/chart116.xml" Id="rId11"/><Relationship Type="http://schemas.openxmlformats.org/officeDocument/2006/relationships/chart" Target="/xl/charts/chart117.xml" Id="rId12"/><Relationship Type="http://schemas.openxmlformats.org/officeDocument/2006/relationships/chart" Target="/xl/charts/chart118.xml" Id="rId13"/><Relationship Type="http://schemas.openxmlformats.org/officeDocument/2006/relationships/chart" Target="/xl/charts/chart119.xml" Id="rId14"/><Relationship Type="http://schemas.openxmlformats.org/officeDocument/2006/relationships/chart" Target="/xl/charts/chart120.xml" Id="rId15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21.xml" Id="rId1"/><Relationship Type="http://schemas.openxmlformats.org/officeDocument/2006/relationships/chart" Target="/xl/charts/chart122.xml" Id="rId2"/><Relationship Type="http://schemas.openxmlformats.org/officeDocument/2006/relationships/chart" Target="/xl/charts/chart123.xml" Id="rId3"/><Relationship Type="http://schemas.openxmlformats.org/officeDocument/2006/relationships/chart" Target="/xl/charts/chart124.xml" Id="rId4"/><Relationship Type="http://schemas.openxmlformats.org/officeDocument/2006/relationships/chart" Target="/xl/charts/chart125.xml" Id="rId5"/><Relationship Type="http://schemas.openxmlformats.org/officeDocument/2006/relationships/chart" Target="/xl/charts/chart126.xml" Id="rId6"/><Relationship Type="http://schemas.openxmlformats.org/officeDocument/2006/relationships/chart" Target="/xl/charts/chart127.xml" Id="rId7"/><Relationship Type="http://schemas.openxmlformats.org/officeDocument/2006/relationships/chart" Target="/xl/charts/chart128.xml" Id="rId8"/><Relationship Type="http://schemas.openxmlformats.org/officeDocument/2006/relationships/chart" Target="/xl/charts/chart129.xml" Id="rId9"/><Relationship Type="http://schemas.openxmlformats.org/officeDocument/2006/relationships/chart" Target="/xl/charts/chart130.xml" Id="rId10"/><Relationship Type="http://schemas.openxmlformats.org/officeDocument/2006/relationships/chart" Target="/xl/charts/chart131.xml" Id="rId11"/><Relationship Type="http://schemas.openxmlformats.org/officeDocument/2006/relationships/chart" Target="/xl/charts/chart132.xml" Id="rId12"/><Relationship Type="http://schemas.openxmlformats.org/officeDocument/2006/relationships/chart" Target="/xl/charts/chart133.xml" Id="rId13"/><Relationship Type="http://schemas.openxmlformats.org/officeDocument/2006/relationships/chart" Target="/xl/charts/chart134.xml" Id="rId14"/><Relationship Type="http://schemas.openxmlformats.org/officeDocument/2006/relationships/chart" Target="/xl/charts/chart135.xml" Id="rId15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36.xml" Id="rId1"/><Relationship Type="http://schemas.openxmlformats.org/officeDocument/2006/relationships/chart" Target="/xl/charts/chart137.xml" Id="rId2"/><Relationship Type="http://schemas.openxmlformats.org/officeDocument/2006/relationships/chart" Target="/xl/charts/chart138.xml" Id="rId3"/><Relationship Type="http://schemas.openxmlformats.org/officeDocument/2006/relationships/chart" Target="/xl/charts/chart139.xml" Id="rId4"/><Relationship Type="http://schemas.openxmlformats.org/officeDocument/2006/relationships/chart" Target="/xl/charts/chart140.xml" Id="rId5"/><Relationship Type="http://schemas.openxmlformats.org/officeDocument/2006/relationships/chart" Target="/xl/charts/chart141.xml" Id="rId6"/><Relationship Type="http://schemas.openxmlformats.org/officeDocument/2006/relationships/chart" Target="/xl/charts/chart142.xml" Id="rId7"/><Relationship Type="http://schemas.openxmlformats.org/officeDocument/2006/relationships/chart" Target="/xl/charts/chart143.xml" Id="rId8"/><Relationship Type="http://schemas.openxmlformats.org/officeDocument/2006/relationships/chart" Target="/xl/charts/chart144.xml" Id="rId9"/><Relationship Type="http://schemas.openxmlformats.org/officeDocument/2006/relationships/chart" Target="/xl/charts/chart145.xml" Id="rId10"/><Relationship Type="http://schemas.openxmlformats.org/officeDocument/2006/relationships/chart" Target="/xl/charts/chart146.xml" Id="rId11"/><Relationship Type="http://schemas.openxmlformats.org/officeDocument/2006/relationships/chart" Target="/xl/charts/chart147.xml" Id="rId12"/><Relationship Type="http://schemas.openxmlformats.org/officeDocument/2006/relationships/chart" Target="/xl/charts/chart148.xml" Id="rId13"/><Relationship Type="http://schemas.openxmlformats.org/officeDocument/2006/relationships/chart" Target="/xl/charts/chart149.xml" Id="rId14"/><Relationship Type="http://schemas.openxmlformats.org/officeDocument/2006/relationships/chart" Target="/xl/charts/chart150.xml" Id="rId15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51.xml" Id="rId1"/><Relationship Type="http://schemas.openxmlformats.org/officeDocument/2006/relationships/chart" Target="/xl/charts/chart152.xml" Id="rId2"/><Relationship Type="http://schemas.openxmlformats.org/officeDocument/2006/relationships/chart" Target="/xl/charts/chart153.xml" Id="rId3"/><Relationship Type="http://schemas.openxmlformats.org/officeDocument/2006/relationships/chart" Target="/xl/charts/chart154.xml" Id="rId4"/><Relationship Type="http://schemas.openxmlformats.org/officeDocument/2006/relationships/chart" Target="/xl/charts/chart155.xml" Id="rId5"/><Relationship Type="http://schemas.openxmlformats.org/officeDocument/2006/relationships/chart" Target="/xl/charts/chart156.xml" Id="rId6"/><Relationship Type="http://schemas.openxmlformats.org/officeDocument/2006/relationships/chart" Target="/xl/charts/chart157.xml" Id="rId7"/><Relationship Type="http://schemas.openxmlformats.org/officeDocument/2006/relationships/chart" Target="/xl/charts/chart158.xml" Id="rId8"/><Relationship Type="http://schemas.openxmlformats.org/officeDocument/2006/relationships/chart" Target="/xl/charts/chart159.xml" Id="rId9"/><Relationship Type="http://schemas.openxmlformats.org/officeDocument/2006/relationships/chart" Target="/xl/charts/chart160.xml" Id="rId10"/><Relationship Type="http://schemas.openxmlformats.org/officeDocument/2006/relationships/chart" Target="/xl/charts/chart161.xml" Id="rId11"/><Relationship Type="http://schemas.openxmlformats.org/officeDocument/2006/relationships/chart" Target="/xl/charts/chart162.xml" Id="rId12"/><Relationship Type="http://schemas.openxmlformats.org/officeDocument/2006/relationships/chart" Target="/xl/charts/chart163.xml" Id="rId13"/><Relationship Type="http://schemas.openxmlformats.org/officeDocument/2006/relationships/chart" Target="/xl/charts/chart164.xml" Id="rId14"/><Relationship Type="http://schemas.openxmlformats.org/officeDocument/2006/relationships/chart" Target="/xl/charts/chart165.xml" Id="rId15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66.xml" Id="rId1"/><Relationship Type="http://schemas.openxmlformats.org/officeDocument/2006/relationships/chart" Target="/xl/charts/chart167.xml" Id="rId2"/><Relationship Type="http://schemas.openxmlformats.org/officeDocument/2006/relationships/chart" Target="/xl/charts/chart168.xml" Id="rId3"/><Relationship Type="http://schemas.openxmlformats.org/officeDocument/2006/relationships/chart" Target="/xl/charts/chart169.xml" Id="rId4"/><Relationship Type="http://schemas.openxmlformats.org/officeDocument/2006/relationships/chart" Target="/xl/charts/chart170.xml" Id="rId5"/><Relationship Type="http://schemas.openxmlformats.org/officeDocument/2006/relationships/chart" Target="/xl/charts/chart171.xml" Id="rId6"/><Relationship Type="http://schemas.openxmlformats.org/officeDocument/2006/relationships/chart" Target="/xl/charts/chart172.xml" Id="rId7"/><Relationship Type="http://schemas.openxmlformats.org/officeDocument/2006/relationships/chart" Target="/xl/charts/chart173.xml" Id="rId8"/><Relationship Type="http://schemas.openxmlformats.org/officeDocument/2006/relationships/chart" Target="/xl/charts/chart174.xml" Id="rId9"/><Relationship Type="http://schemas.openxmlformats.org/officeDocument/2006/relationships/chart" Target="/xl/charts/chart175.xml" Id="rId10"/><Relationship Type="http://schemas.openxmlformats.org/officeDocument/2006/relationships/chart" Target="/xl/charts/chart176.xml" Id="rId11"/><Relationship Type="http://schemas.openxmlformats.org/officeDocument/2006/relationships/chart" Target="/xl/charts/chart177.xml" Id="rId12"/><Relationship Type="http://schemas.openxmlformats.org/officeDocument/2006/relationships/chart" Target="/xl/charts/chart178.xml" Id="rId13"/><Relationship Type="http://schemas.openxmlformats.org/officeDocument/2006/relationships/chart" Target="/xl/charts/chart179.xml" Id="rId14"/><Relationship Type="http://schemas.openxmlformats.org/officeDocument/2006/relationships/chart" Target="/xl/charts/chart180.xml" Id="rId15"/></Relationships>
</file>

<file path=xl/drawings/drawing1.xml><?xml version="1.0" encoding="utf-8"?>
<wsDr xmlns="http://schemas.openxmlformats.org/drawingml/2006/spreadsheetDrawing">
  <oneCellAnchor>
    <from>
      <col>8</col>
      <colOff>0</colOff>
      <row>10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45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80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115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8</col>
      <colOff>0</colOff>
      <row>150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187</row>
      <rowOff>0</rowOff>
    </from>
    <ext cx="540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8</col>
      <colOff>0</colOff>
      <row>222</row>
      <rowOff>0</rowOff>
    </from>
    <ext cx="540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8</col>
      <colOff>0</colOff>
      <row>257</row>
      <rowOff>0</rowOff>
    </from>
    <ext cx="540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8</col>
      <colOff>0</colOff>
      <row>292</row>
      <rowOff>0</rowOff>
    </from>
    <ext cx="540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</col>
      <colOff>0</colOff>
      <row>327</row>
      <rowOff>0</rowOff>
    </from>
    <ext cx="5400000" cy="27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</col>
      <colOff>0</colOff>
      <row>362</row>
      <rowOff>0</rowOff>
    </from>
    <ext cx="5400000" cy="27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</col>
      <colOff>0</colOff>
      <row>397</row>
      <rowOff>0</rowOff>
    </from>
    <ext cx="5400000" cy="27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</col>
      <colOff>0</colOff>
      <row>432</row>
      <rowOff>0</rowOff>
    </from>
    <ext cx="5400000" cy="27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8</col>
      <colOff>0</colOff>
      <row>467</row>
      <rowOff>0</rowOff>
    </from>
    <ext cx="5400000" cy="27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8</col>
      <colOff>0</colOff>
      <row>502</row>
      <rowOff>0</rowOff>
    </from>
    <ext cx="5400000" cy="27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47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83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119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8</col>
      <colOff>0</colOff>
      <row>155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191</row>
      <rowOff>0</rowOff>
    </from>
    <ext cx="540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8</col>
      <colOff>0</colOff>
      <row>225</row>
      <rowOff>0</rowOff>
    </from>
    <ext cx="540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8</col>
      <colOff>0</colOff>
      <row>259</row>
      <rowOff>0</rowOff>
    </from>
    <ext cx="540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8</col>
      <colOff>0</colOff>
      <row>293</row>
      <rowOff>0</rowOff>
    </from>
    <ext cx="540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</col>
      <colOff>0</colOff>
      <row>327</row>
      <rowOff>0</rowOff>
    </from>
    <ext cx="5400000" cy="27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</col>
      <colOff>0</colOff>
      <row>361</row>
      <rowOff>0</rowOff>
    </from>
    <ext cx="5400000" cy="27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</col>
      <colOff>0</colOff>
      <row>395</row>
      <rowOff>0</rowOff>
    </from>
    <ext cx="5400000" cy="27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</col>
      <colOff>0</colOff>
      <row>429</row>
      <rowOff>0</rowOff>
    </from>
    <ext cx="5400000" cy="27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8</col>
      <colOff>0</colOff>
      <row>463</row>
      <rowOff>0</rowOff>
    </from>
    <ext cx="5400000" cy="27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8</col>
      <colOff>0</colOff>
      <row>497</row>
      <rowOff>0</rowOff>
    </from>
    <ext cx="5400000" cy="27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16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57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98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139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8</col>
      <colOff>0</colOff>
      <row>180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221</row>
      <rowOff>0</rowOff>
    </from>
    <ext cx="540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8</col>
      <colOff>0</colOff>
      <row>260</row>
      <rowOff>0</rowOff>
    </from>
    <ext cx="540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8</col>
      <colOff>0</colOff>
      <row>299</row>
      <rowOff>0</rowOff>
    </from>
    <ext cx="540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8</col>
      <colOff>0</colOff>
      <row>338</row>
      <rowOff>0</rowOff>
    </from>
    <ext cx="540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</col>
      <colOff>0</colOff>
      <row>377</row>
      <rowOff>0</rowOff>
    </from>
    <ext cx="5400000" cy="27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</col>
      <colOff>0</colOff>
      <row>416</row>
      <rowOff>0</rowOff>
    </from>
    <ext cx="5400000" cy="27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</col>
      <colOff>0</colOff>
      <row>455</row>
      <rowOff>0</rowOff>
    </from>
    <ext cx="5400000" cy="27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</col>
      <colOff>0</colOff>
      <row>494</row>
      <rowOff>0</rowOff>
    </from>
    <ext cx="5400000" cy="27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8</col>
      <colOff>0</colOff>
      <row>533</row>
      <rowOff>0</rowOff>
    </from>
    <ext cx="5400000" cy="27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8</col>
      <colOff>0</colOff>
      <row>572</row>
      <rowOff>0</rowOff>
    </from>
    <ext cx="5400000" cy="27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15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55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95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135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8</col>
      <colOff>0</colOff>
      <row>175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215</row>
      <rowOff>0</rowOff>
    </from>
    <ext cx="540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8</col>
      <colOff>0</colOff>
      <row>253</row>
      <rowOff>0</rowOff>
    </from>
    <ext cx="540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8</col>
      <colOff>0</colOff>
      <row>291</row>
      <rowOff>0</rowOff>
    </from>
    <ext cx="540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8</col>
      <colOff>0</colOff>
      <row>329</row>
      <rowOff>0</rowOff>
    </from>
    <ext cx="540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</col>
      <colOff>0</colOff>
      <row>367</row>
      <rowOff>0</rowOff>
    </from>
    <ext cx="5400000" cy="27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</col>
      <colOff>0</colOff>
      <row>405</row>
      <rowOff>0</rowOff>
    </from>
    <ext cx="5400000" cy="27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</col>
      <colOff>0</colOff>
      <row>443</row>
      <rowOff>0</rowOff>
    </from>
    <ext cx="5400000" cy="27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</col>
      <colOff>0</colOff>
      <row>481</row>
      <rowOff>0</rowOff>
    </from>
    <ext cx="5400000" cy="27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8</col>
      <colOff>0</colOff>
      <row>519</row>
      <rowOff>0</rowOff>
    </from>
    <ext cx="5400000" cy="27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8</col>
      <colOff>0</colOff>
      <row>557</row>
      <rowOff>0</rowOff>
    </from>
    <ext cx="5400000" cy="27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8</col>
      <colOff>0</colOff>
      <row>10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45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80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115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8</col>
      <colOff>0</colOff>
      <row>150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187</row>
      <rowOff>0</rowOff>
    </from>
    <ext cx="540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8</col>
      <colOff>0</colOff>
      <row>222</row>
      <rowOff>0</rowOff>
    </from>
    <ext cx="540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8</col>
      <colOff>0</colOff>
      <row>257</row>
      <rowOff>0</rowOff>
    </from>
    <ext cx="540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8</col>
      <colOff>0</colOff>
      <row>292</row>
      <rowOff>0</rowOff>
    </from>
    <ext cx="540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</col>
      <colOff>0</colOff>
      <row>327</row>
      <rowOff>0</rowOff>
    </from>
    <ext cx="5400000" cy="27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</col>
      <colOff>0</colOff>
      <row>362</row>
      <rowOff>0</rowOff>
    </from>
    <ext cx="5400000" cy="27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</col>
      <colOff>0</colOff>
      <row>397</row>
      <rowOff>0</rowOff>
    </from>
    <ext cx="5400000" cy="27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</col>
      <colOff>0</colOff>
      <row>432</row>
      <rowOff>0</rowOff>
    </from>
    <ext cx="5400000" cy="27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8</col>
      <colOff>0</colOff>
      <row>467</row>
      <rowOff>0</rowOff>
    </from>
    <ext cx="5400000" cy="27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8</col>
      <colOff>0</colOff>
      <row>502</row>
      <rowOff>0</rowOff>
    </from>
    <ext cx="5400000" cy="27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8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47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83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119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8</col>
      <colOff>0</colOff>
      <row>155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191</row>
      <rowOff>0</rowOff>
    </from>
    <ext cx="540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8</col>
      <colOff>0</colOff>
      <row>225</row>
      <rowOff>0</rowOff>
    </from>
    <ext cx="540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8</col>
      <colOff>0</colOff>
      <row>259</row>
      <rowOff>0</rowOff>
    </from>
    <ext cx="540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8</col>
      <colOff>0</colOff>
      <row>293</row>
      <rowOff>0</rowOff>
    </from>
    <ext cx="540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</col>
      <colOff>0</colOff>
      <row>327</row>
      <rowOff>0</rowOff>
    </from>
    <ext cx="5400000" cy="27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</col>
      <colOff>0</colOff>
      <row>361</row>
      <rowOff>0</rowOff>
    </from>
    <ext cx="5400000" cy="27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</col>
      <colOff>0</colOff>
      <row>395</row>
      <rowOff>0</rowOff>
    </from>
    <ext cx="5400000" cy="27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</col>
      <colOff>0</colOff>
      <row>429</row>
      <rowOff>0</rowOff>
    </from>
    <ext cx="5400000" cy="27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8</col>
      <colOff>0</colOff>
      <row>463</row>
      <rowOff>0</rowOff>
    </from>
    <ext cx="5400000" cy="27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8</col>
      <colOff>0</colOff>
      <row>497</row>
      <rowOff>0</rowOff>
    </from>
    <ext cx="5400000" cy="27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8</col>
      <colOff>0</colOff>
      <row>10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45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80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115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8</col>
      <colOff>0</colOff>
      <row>150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187</row>
      <rowOff>0</rowOff>
    </from>
    <ext cx="540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8</col>
      <colOff>0</colOff>
      <row>222</row>
      <rowOff>0</rowOff>
    </from>
    <ext cx="540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8</col>
      <colOff>0</colOff>
      <row>257</row>
      <rowOff>0</rowOff>
    </from>
    <ext cx="540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8</col>
      <colOff>0</colOff>
      <row>292</row>
      <rowOff>0</rowOff>
    </from>
    <ext cx="540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</col>
      <colOff>0</colOff>
      <row>327</row>
      <rowOff>0</rowOff>
    </from>
    <ext cx="5400000" cy="27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</col>
      <colOff>0</colOff>
      <row>362</row>
      <rowOff>0</rowOff>
    </from>
    <ext cx="5400000" cy="27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</col>
      <colOff>0</colOff>
      <row>397</row>
      <rowOff>0</rowOff>
    </from>
    <ext cx="5400000" cy="27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</col>
      <colOff>0</colOff>
      <row>432</row>
      <rowOff>0</rowOff>
    </from>
    <ext cx="5400000" cy="27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8</col>
      <colOff>0</colOff>
      <row>467</row>
      <rowOff>0</rowOff>
    </from>
    <ext cx="5400000" cy="27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8</col>
      <colOff>0</colOff>
      <row>502</row>
      <rowOff>0</rowOff>
    </from>
    <ext cx="5400000" cy="27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8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47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83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119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8</col>
      <colOff>0</colOff>
      <row>155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191</row>
      <rowOff>0</rowOff>
    </from>
    <ext cx="540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8</col>
      <colOff>0</colOff>
      <row>225</row>
      <rowOff>0</rowOff>
    </from>
    <ext cx="540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8</col>
      <colOff>0</colOff>
      <row>259</row>
      <rowOff>0</rowOff>
    </from>
    <ext cx="540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8</col>
      <colOff>0</colOff>
      <row>293</row>
      <rowOff>0</rowOff>
    </from>
    <ext cx="540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</col>
      <colOff>0</colOff>
      <row>327</row>
      <rowOff>0</rowOff>
    </from>
    <ext cx="5400000" cy="27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</col>
      <colOff>0</colOff>
      <row>361</row>
      <rowOff>0</rowOff>
    </from>
    <ext cx="5400000" cy="27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</col>
      <colOff>0</colOff>
      <row>395</row>
      <rowOff>0</rowOff>
    </from>
    <ext cx="5400000" cy="27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</col>
      <colOff>0</colOff>
      <row>429</row>
      <rowOff>0</rowOff>
    </from>
    <ext cx="5400000" cy="27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8</col>
      <colOff>0</colOff>
      <row>463</row>
      <rowOff>0</rowOff>
    </from>
    <ext cx="5400000" cy="27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8</col>
      <colOff>0</colOff>
      <row>497</row>
      <rowOff>0</rowOff>
    </from>
    <ext cx="5400000" cy="27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8</col>
      <colOff>0</colOff>
      <row>16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57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98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139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8</col>
      <colOff>0</colOff>
      <row>180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221</row>
      <rowOff>0</rowOff>
    </from>
    <ext cx="540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8</col>
      <colOff>0</colOff>
      <row>260</row>
      <rowOff>0</rowOff>
    </from>
    <ext cx="540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8</col>
      <colOff>0</colOff>
      <row>299</row>
      <rowOff>0</rowOff>
    </from>
    <ext cx="540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8</col>
      <colOff>0</colOff>
      <row>338</row>
      <rowOff>0</rowOff>
    </from>
    <ext cx="540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</col>
      <colOff>0</colOff>
      <row>377</row>
      <rowOff>0</rowOff>
    </from>
    <ext cx="5400000" cy="27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</col>
      <colOff>0</colOff>
      <row>416</row>
      <rowOff>0</rowOff>
    </from>
    <ext cx="5400000" cy="27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</col>
      <colOff>0</colOff>
      <row>455</row>
      <rowOff>0</rowOff>
    </from>
    <ext cx="5400000" cy="27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</col>
      <colOff>0</colOff>
      <row>494</row>
      <rowOff>0</rowOff>
    </from>
    <ext cx="5400000" cy="27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8</col>
      <colOff>0</colOff>
      <row>533</row>
      <rowOff>0</rowOff>
    </from>
    <ext cx="5400000" cy="27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8</col>
      <colOff>0</colOff>
      <row>572</row>
      <rowOff>0</rowOff>
    </from>
    <ext cx="5400000" cy="27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8</col>
      <colOff>0</colOff>
      <row>15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55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95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135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8</col>
      <colOff>0</colOff>
      <row>175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215</row>
      <rowOff>0</rowOff>
    </from>
    <ext cx="540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8</col>
      <colOff>0</colOff>
      <row>253</row>
      <rowOff>0</rowOff>
    </from>
    <ext cx="540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8</col>
      <colOff>0</colOff>
      <row>291</row>
      <rowOff>0</rowOff>
    </from>
    <ext cx="540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8</col>
      <colOff>0</colOff>
      <row>329</row>
      <rowOff>0</rowOff>
    </from>
    <ext cx="540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</col>
      <colOff>0</colOff>
      <row>367</row>
      <rowOff>0</rowOff>
    </from>
    <ext cx="5400000" cy="27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</col>
      <colOff>0</colOff>
      <row>405</row>
      <rowOff>0</rowOff>
    </from>
    <ext cx="5400000" cy="27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</col>
      <colOff>0</colOff>
      <row>443</row>
      <rowOff>0</rowOff>
    </from>
    <ext cx="5400000" cy="27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</col>
      <colOff>0</colOff>
      <row>481</row>
      <rowOff>0</rowOff>
    </from>
    <ext cx="5400000" cy="27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8</col>
      <colOff>0</colOff>
      <row>519</row>
      <rowOff>0</rowOff>
    </from>
    <ext cx="5400000" cy="27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8</col>
      <colOff>0</colOff>
      <row>557</row>
      <rowOff>0</rowOff>
    </from>
    <ext cx="5400000" cy="27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8</col>
      <colOff>0</colOff>
      <row>16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57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98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139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8</col>
      <colOff>0</colOff>
      <row>180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221</row>
      <rowOff>0</rowOff>
    </from>
    <ext cx="540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8</col>
      <colOff>0</colOff>
      <row>260</row>
      <rowOff>0</rowOff>
    </from>
    <ext cx="540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8</col>
      <colOff>0</colOff>
      <row>299</row>
      <rowOff>0</rowOff>
    </from>
    <ext cx="540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8</col>
      <colOff>0</colOff>
      <row>338</row>
      <rowOff>0</rowOff>
    </from>
    <ext cx="540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</col>
      <colOff>0</colOff>
      <row>377</row>
      <rowOff>0</rowOff>
    </from>
    <ext cx="5400000" cy="27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</col>
      <colOff>0</colOff>
      <row>416</row>
      <rowOff>0</rowOff>
    </from>
    <ext cx="5400000" cy="27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</col>
      <colOff>0</colOff>
      <row>455</row>
      <rowOff>0</rowOff>
    </from>
    <ext cx="5400000" cy="27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</col>
      <colOff>0</colOff>
      <row>494</row>
      <rowOff>0</rowOff>
    </from>
    <ext cx="5400000" cy="27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8</col>
      <colOff>0</colOff>
      <row>533</row>
      <rowOff>0</rowOff>
    </from>
    <ext cx="5400000" cy="27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8</col>
      <colOff>0</colOff>
      <row>572</row>
      <rowOff>0</rowOff>
    </from>
    <ext cx="5400000" cy="27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8</col>
      <colOff>0</colOff>
      <row>15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55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95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135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8</col>
      <colOff>0</colOff>
      <row>175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215</row>
      <rowOff>0</rowOff>
    </from>
    <ext cx="540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8</col>
      <colOff>0</colOff>
      <row>253</row>
      <rowOff>0</rowOff>
    </from>
    <ext cx="540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8</col>
      <colOff>0</colOff>
      <row>291</row>
      <rowOff>0</rowOff>
    </from>
    <ext cx="540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8</col>
      <colOff>0</colOff>
      <row>329</row>
      <rowOff>0</rowOff>
    </from>
    <ext cx="540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</col>
      <colOff>0</colOff>
      <row>367</row>
      <rowOff>0</rowOff>
    </from>
    <ext cx="5400000" cy="27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</col>
      <colOff>0</colOff>
      <row>405</row>
      <rowOff>0</rowOff>
    </from>
    <ext cx="5400000" cy="27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</col>
      <colOff>0</colOff>
      <row>443</row>
      <rowOff>0</rowOff>
    </from>
    <ext cx="5400000" cy="27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</col>
      <colOff>0</colOff>
      <row>481</row>
      <rowOff>0</rowOff>
    </from>
    <ext cx="5400000" cy="27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8</col>
      <colOff>0</colOff>
      <row>519</row>
      <rowOff>0</rowOff>
    </from>
    <ext cx="5400000" cy="27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8</col>
      <colOff>0</colOff>
      <row>557</row>
      <rowOff>0</rowOff>
    </from>
    <ext cx="5400000" cy="27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4"/>
  <sheetViews>
    <sheetView topLeftCell="A290" workbookViewId="0">
      <selection activeCell="O315" sqref="O315"/>
    </sheetView>
  </sheetViews>
  <sheetFormatPr baseColWidth="10" defaultColWidth="8.83203125" defaultRowHeight="15"/>
  <sheetData>
    <row r="1">
      <c r="A1" t="inlineStr">
        <is>
          <t>Nodes: 4, Protocol: Simple, Channels: 1</t>
        </is>
      </c>
    </row>
    <row r="2">
      <c r="A2" t="inlineStr">
        <is>
          <t>Parameter</t>
        </is>
      </c>
      <c r="B2" t="inlineStr">
        <is>
          <t>Formula</t>
        </is>
      </c>
      <c r="C2" t="inlineStr">
        <is>
          <t>Value</t>
        </is>
      </c>
    </row>
    <row r="3">
      <c r="A3" t="inlineStr">
        <is>
          <t>n</t>
        </is>
      </c>
      <c r="B3" t="inlineStr">
        <is>
          <t>nodes on ring</t>
        </is>
      </c>
      <c r="C3" t="n">
        <v>4</v>
      </c>
    </row>
    <row r="4">
      <c r="A4" t="inlineStr">
        <is>
          <t>nch</t>
        </is>
      </c>
      <c r="B4" t="inlineStr">
        <is>
          <t>channels</t>
        </is>
      </c>
      <c r="C4" t="n">
        <v>1</v>
      </c>
    </row>
    <row r="5">
      <c r="A5" t="inlineStr">
        <is>
          <t>a</t>
        </is>
      </c>
      <c r="B5" t="inlineStr">
        <is>
          <t>RTT (us)</t>
        </is>
      </c>
      <c r="C5" t="n">
        <v>25.8107</v>
      </c>
    </row>
    <row r="6">
      <c r="A6" t="inlineStr">
        <is>
          <t>NIC_BW</t>
        </is>
      </c>
      <c r="B6" t="inlineStr">
        <is>
          <t>bytes/us</t>
        </is>
      </c>
      <c r="C6" t="n">
        <v>48750</v>
      </c>
    </row>
    <row r="7">
      <c r="A7" t="inlineStr">
        <is>
          <t>G</t>
        </is>
      </c>
      <c r="B7" t="inlineStr">
        <is>
          <t>2*(n-1)/(n*NIC_BW)</t>
        </is>
      </c>
      <c r="C7">
        <f>2*(C3-1)/(C3*C6)</f>
        <v/>
      </c>
    </row>
    <row r="8">
      <c r="A8" t="inlineStr">
        <is>
          <t>busbw_factor</t>
        </is>
      </c>
      <c r="B8" t="inlineStr">
        <is>
          <t>2*(n-1)/n</t>
        </is>
      </c>
      <c r="C8">
        <f>2*(C3-1)/C3</f>
        <v/>
      </c>
    </row>
    <row r="9">
      <c r="A9" t="inlineStr">
        <is>
          <t>fixed_per_step</t>
        </is>
      </c>
      <c r="B9" t="inlineStr">
        <is>
          <t>(2*n-2)*(a/2)</t>
        </is>
      </c>
      <c r="C9">
        <f>(2*C3-2)*(C5/2)</f>
        <v/>
      </c>
    </row>
    <row r="10"/>
    <row r="11">
      <c r="A11" t="inlineStr">
        <is>
          <t>size_KB</t>
        </is>
      </c>
      <c r="B11" t="inlineStr">
        <is>
          <t>Actual Time (us)</t>
        </is>
      </c>
      <c r="C11" t="inlineStr">
        <is>
          <t>Roofline Time (us)</t>
        </is>
      </c>
      <c r="D11" t="inlineStr">
        <is>
          <t>Actual/Roofline</t>
        </is>
      </c>
      <c r="E11" t="inlineStr">
        <is>
          <t>Actual busBW (GB/s)</t>
        </is>
      </c>
      <c r="F11" t="inlineStr">
        <is>
          <t>Roofline busBW (GB/s)</t>
        </is>
      </c>
      <c r="G11" t="inlineStr">
        <is>
          <t>Meas/Roof busBW</t>
        </is>
      </c>
    </row>
    <row r="12">
      <c r="A12" t="n">
        <v>1</v>
      </c>
      <c r="B12" t="n">
        <v>141.18</v>
      </c>
      <c r="C12">
        <f>C9*CEILING(A12*1024/(C3*C4*MIN(4*1024*1024,A12*1024/(C3*C4))),1)+A12*1024*C7</f>
        <v/>
      </c>
      <c r="D12">
        <f>B12/C12</f>
        <v/>
      </c>
      <c r="E12" t="n">
        <v>0.01</v>
      </c>
      <c r="F12">
        <f>A12*1024/(C12*0.000001)/1000000000*C8</f>
        <v/>
      </c>
      <c r="G12">
        <f>E12/F12</f>
        <v/>
      </c>
    </row>
    <row r="13">
      <c r="A13" t="n">
        <v>2</v>
      </c>
      <c r="B13" t="n">
        <v>140.5</v>
      </c>
      <c r="C13">
        <f>C9*CEILING(A13*1024/(C3*C4*MIN(4*1024*1024,A13*1024/(C3*C4))),1)+A13*1024*C7</f>
        <v/>
      </c>
      <c r="D13">
        <f>B13/C13</f>
        <v/>
      </c>
      <c r="E13" t="n">
        <v>0.02</v>
      </c>
      <c r="F13">
        <f>A13*1024/(C13*0.000001)/1000000000*C8</f>
        <v/>
      </c>
      <c r="G13">
        <f>E13/F13</f>
        <v/>
      </c>
    </row>
    <row r="14">
      <c r="A14" t="n">
        <v>4</v>
      </c>
      <c r="B14" t="n">
        <v>141.06</v>
      </c>
      <c r="C14">
        <f>C9*CEILING(A14*1024/(C3*C4*MIN(4*1024*1024,A14*1024/(C3*C4))),1)+A14*1024*C7</f>
        <v/>
      </c>
      <c r="D14">
        <f>B14/C14</f>
        <v/>
      </c>
      <c r="E14" t="n">
        <v>0.04</v>
      </c>
      <c r="F14">
        <f>A14*1024/(C14*0.000001)/1000000000*C8</f>
        <v/>
      </c>
      <c r="G14">
        <f>E14/F14</f>
        <v/>
      </c>
    </row>
    <row r="15">
      <c r="A15" t="n">
        <v>8</v>
      </c>
      <c r="B15" t="n">
        <v>142.49</v>
      </c>
      <c r="C15">
        <f>C9*CEILING(A15*1024/(C3*C4*MIN(4*1024*1024,A15*1024/(C3*C4))),1)+A15*1024*C7</f>
        <v/>
      </c>
      <c r="D15">
        <f>B15/C15</f>
        <v/>
      </c>
      <c r="E15" t="n">
        <v>0.09</v>
      </c>
      <c r="F15">
        <f>A15*1024/(C15*0.000001)/1000000000*C8</f>
        <v/>
      </c>
      <c r="G15">
        <f>E15/F15</f>
        <v/>
      </c>
    </row>
    <row r="16">
      <c r="A16" t="n">
        <v>16</v>
      </c>
      <c r="B16" t="n">
        <v>148.1</v>
      </c>
      <c r="C16">
        <f>C9*CEILING(A16*1024/(C3*C4*MIN(4*1024*1024,A16*1024/(C3*C4))),1)+A16*1024*C7</f>
        <v/>
      </c>
      <c r="D16">
        <f>B16/C16</f>
        <v/>
      </c>
      <c r="E16" t="n">
        <v>0.17</v>
      </c>
      <c r="F16">
        <f>A16*1024/(C16*0.000001)/1000000000*C8</f>
        <v/>
      </c>
      <c r="G16">
        <f>E16/F16</f>
        <v/>
      </c>
    </row>
    <row r="17">
      <c r="A17" t="n">
        <v>32</v>
      </c>
      <c r="B17" t="n">
        <v>162.45</v>
      </c>
      <c r="C17">
        <f>C9*CEILING(A17*1024/(C3*C4*MIN(4*1024*1024,A17*1024/(C3*C4))),1)+A17*1024*C7</f>
        <v/>
      </c>
      <c r="D17">
        <f>B17/C17</f>
        <v/>
      </c>
      <c r="E17" t="n">
        <v>0.3</v>
      </c>
      <c r="F17">
        <f>A17*1024/(C17*0.000001)/1000000000*C8</f>
        <v/>
      </c>
      <c r="G17">
        <f>E17/F17</f>
        <v/>
      </c>
    </row>
    <row r="18">
      <c r="A18" t="n">
        <v>64</v>
      </c>
      <c r="B18" t="n">
        <v>186.3</v>
      </c>
      <c r="C18">
        <f>C9*CEILING(A18*1024/(C3*C4*MIN(4*1024*1024,A18*1024/(C3*C4))),1)+A18*1024*C7</f>
        <v/>
      </c>
      <c r="D18">
        <f>B18/C18</f>
        <v/>
      </c>
      <c r="E18" t="n">
        <v>0.53</v>
      </c>
      <c r="F18">
        <f>A18*1024/(C18*0.000001)/1000000000*C8</f>
        <v/>
      </c>
      <c r="G18">
        <f>E18/F18</f>
        <v/>
      </c>
    </row>
    <row r="19">
      <c r="A19" t="n">
        <v>128</v>
      </c>
      <c r="B19" t="n">
        <v>204.24</v>
      </c>
      <c r="C19">
        <f>C9*CEILING(A19*1024/(C3*C4*MIN(4*1024*1024,A19*1024/(C3*C4))),1)+A19*1024*C7</f>
        <v/>
      </c>
      <c r="D19">
        <f>B19/C19</f>
        <v/>
      </c>
      <c r="E19" t="n">
        <v>0.96</v>
      </c>
      <c r="F19">
        <f>A19*1024/(C19*0.000001)/1000000000*C8</f>
        <v/>
      </c>
      <c r="G19">
        <f>E19/F19</f>
        <v/>
      </c>
    </row>
    <row r="20">
      <c r="A20" t="n">
        <v>256</v>
      </c>
      <c r="B20" t="n">
        <v>223.21</v>
      </c>
      <c r="C20">
        <f>C9*CEILING(A20*1024/(C3*C4*MIN(4*1024*1024,A20*1024/(C3*C4))),1)+A20*1024*C7</f>
        <v/>
      </c>
      <c r="D20">
        <f>B20/C20</f>
        <v/>
      </c>
      <c r="E20" t="n">
        <v>1.76</v>
      </c>
      <c r="F20">
        <f>A20*1024/(C20*0.000001)/1000000000*C8</f>
        <v/>
      </c>
      <c r="G20">
        <f>E20/F20</f>
        <v/>
      </c>
    </row>
    <row r="21">
      <c r="A21" t="n">
        <v>512</v>
      </c>
      <c r="B21" t="n">
        <v>231.34</v>
      </c>
      <c r="C21">
        <f>C9*CEILING(A21*1024/(C3*C4*MIN(4*1024*1024,A21*1024/(C3*C4))),1)+A21*1024*C7</f>
        <v/>
      </c>
      <c r="D21">
        <f>B21/C21</f>
        <v/>
      </c>
      <c r="E21" t="n">
        <v>3.4</v>
      </c>
      <c r="F21">
        <f>A21*1024/(C21*0.000001)/1000000000*C8</f>
        <v/>
      </c>
      <c r="G21">
        <f>E21/F21</f>
        <v/>
      </c>
    </row>
    <row r="22">
      <c r="A22" t="n">
        <v>1024</v>
      </c>
      <c r="B22" t="n">
        <v>274.37</v>
      </c>
      <c r="C22">
        <f>C9*CEILING(A22*1024/(C3*C4*MIN(4*1024*1024,A22*1024/(C3*C4))),1)+A22*1024*C7</f>
        <v/>
      </c>
      <c r="D22">
        <f>B22/C22</f>
        <v/>
      </c>
      <c r="E22" t="n">
        <v>5.73</v>
      </c>
      <c r="F22">
        <f>A22*1024/(C22*0.000001)/1000000000*C8</f>
        <v/>
      </c>
      <c r="G22">
        <f>E22/F22</f>
        <v/>
      </c>
    </row>
    <row r="23">
      <c r="A23" t="n">
        <v>2048</v>
      </c>
      <c r="B23" t="n">
        <v>316.67</v>
      </c>
      <c r="C23">
        <f>C9*CEILING(A23*1024/(C3*C4*MIN(4*1024*1024,A23*1024/(C3*C4))),1)+A23*1024*C7</f>
        <v/>
      </c>
      <c r="D23">
        <f>B23/C23</f>
        <v/>
      </c>
      <c r="E23" t="n">
        <v>9.93</v>
      </c>
      <c r="F23">
        <f>A23*1024/(C23*0.000001)/1000000000*C8</f>
        <v/>
      </c>
      <c r="G23">
        <f>E23/F23</f>
        <v/>
      </c>
    </row>
    <row r="24">
      <c r="A24" t="n">
        <v>4096</v>
      </c>
      <c r="B24" t="n">
        <v>431.81</v>
      </c>
      <c r="C24">
        <f>C9*CEILING(A24*1024/(C3*C4*MIN(4*1024*1024,A24*1024/(C3*C4))),1)+A24*1024*C7</f>
        <v/>
      </c>
      <c r="D24">
        <f>B24/C24</f>
        <v/>
      </c>
      <c r="E24" t="n">
        <v>14.57</v>
      </c>
      <c r="F24">
        <f>A24*1024/(C24*0.000001)/1000000000*C8</f>
        <v/>
      </c>
      <c r="G24">
        <f>E24/F24</f>
        <v/>
      </c>
    </row>
    <row r="25">
      <c r="A25" t="n">
        <v>8192</v>
      </c>
      <c r="B25" t="n">
        <v>654.3099999999999</v>
      </c>
      <c r="C25">
        <f>C9*CEILING(A25*1024/(C3*C4*MIN(4*1024*1024,A25*1024/(C3*C4))),1)+A25*1024*C7</f>
        <v/>
      </c>
      <c r="D25">
        <f>B25/C25</f>
        <v/>
      </c>
      <c r="E25" t="n">
        <v>19.23</v>
      </c>
      <c r="F25">
        <f>A25*1024/(C25*0.000001)/1000000000*C8</f>
        <v/>
      </c>
      <c r="G25">
        <f>E25/F25</f>
        <v/>
      </c>
    </row>
    <row r="26">
      <c r="A26" t="n">
        <v>16384</v>
      </c>
      <c r="B26" t="n">
        <v>1095.87</v>
      </c>
      <c r="C26">
        <f>C9*CEILING(A26*1024/(C3*C4*MIN(4*1024*1024,A26*1024/(C3*C4))),1)+A26*1024*C7</f>
        <v/>
      </c>
      <c r="D26">
        <f>B26/C26</f>
        <v/>
      </c>
      <c r="E26" t="n">
        <v>22.96</v>
      </c>
      <c r="F26">
        <f>A26*1024/(C26*0.000001)/1000000000*C8</f>
        <v/>
      </c>
      <c r="G26">
        <f>E26/F26</f>
        <v/>
      </c>
    </row>
    <row r="27">
      <c r="A27" t="n">
        <v>32768</v>
      </c>
      <c r="B27" t="n">
        <v>2159.05</v>
      </c>
      <c r="C27">
        <f>C9*CEILING(A27*1024/(C3*C4*MIN(4*1024*1024,A27*1024/(C3*C4))),1)+A27*1024*C7</f>
        <v/>
      </c>
      <c r="D27">
        <f>B27/C27</f>
        <v/>
      </c>
      <c r="E27" t="n">
        <v>23.31</v>
      </c>
      <c r="F27">
        <f>A27*1024/(C27*0.000001)/1000000000*C8</f>
        <v/>
      </c>
      <c r="G27">
        <f>E27/F27</f>
        <v/>
      </c>
    </row>
    <row r="28">
      <c r="A28" t="n">
        <v>65536</v>
      </c>
      <c r="B28" t="n">
        <v>4302.97</v>
      </c>
      <c r="C28">
        <f>C9*CEILING(A28*1024/(C3*C4*MIN(4*1024*1024,A28*1024/(C3*C4))),1)+A28*1024*C7</f>
        <v/>
      </c>
      <c r="D28">
        <f>B28/C28</f>
        <v/>
      </c>
      <c r="E28" t="n">
        <v>23.39</v>
      </c>
      <c r="F28">
        <f>A28*1024/(C28*0.000001)/1000000000*C8</f>
        <v/>
      </c>
      <c r="G28">
        <f>E28/F28</f>
        <v/>
      </c>
    </row>
    <row r="29">
      <c r="A29" t="n">
        <v>131072</v>
      </c>
      <c r="B29" t="n">
        <v>8568.66</v>
      </c>
      <c r="C29">
        <f>C9*CEILING(A29*1024/(C3*C4*MIN(4*1024*1024,A29*1024/(C3*C4))),1)+A29*1024*C7</f>
        <v/>
      </c>
      <c r="D29">
        <f>B29/C29</f>
        <v/>
      </c>
      <c r="E29" t="n">
        <v>23.5</v>
      </c>
      <c r="F29">
        <f>A29*1024/(C29*0.000001)/1000000000*C8</f>
        <v/>
      </c>
      <c r="G29">
        <f>E29/F29</f>
        <v/>
      </c>
    </row>
    <row r="30">
      <c r="A30" t="n">
        <v>262144</v>
      </c>
      <c r="B30" t="n">
        <v>17177.2</v>
      </c>
      <c r="C30">
        <f>C9*CEILING(A30*1024/(C3*C4*MIN(4*1024*1024,A30*1024/(C3*C4))),1)+A30*1024*C7</f>
        <v/>
      </c>
      <c r="D30">
        <f>B30/C30</f>
        <v/>
      </c>
      <c r="E30" t="n">
        <v>23.44</v>
      </c>
      <c r="F30">
        <f>A30*1024/(C30*0.000001)/1000000000*C8</f>
        <v/>
      </c>
      <c r="G30">
        <f>E30/F30</f>
        <v/>
      </c>
    </row>
    <row r="31">
      <c r="A31" t="n">
        <v>524288</v>
      </c>
      <c r="B31" t="n">
        <v>34229.9</v>
      </c>
      <c r="C31">
        <f>C9*CEILING(A31*1024/(C3*C4*MIN(4*1024*1024,A31*1024/(C3*C4))),1)+A31*1024*C7</f>
        <v/>
      </c>
      <c r="D31">
        <f>B31/C31</f>
        <v/>
      </c>
      <c r="E31" t="n">
        <v>23.53</v>
      </c>
      <c r="F31">
        <f>A31*1024/(C31*0.000001)/1000000000*C8</f>
        <v/>
      </c>
      <c r="G31">
        <f>E31/F31</f>
        <v/>
      </c>
    </row>
    <row r="32">
      <c r="A32" t="n">
        <v>1048576</v>
      </c>
      <c r="B32" t="n">
        <v>68379.60000000001</v>
      </c>
      <c r="C32">
        <f>C9*CEILING(A32*1024/(C3*C4*MIN(4*1024*1024,A32*1024/(C3*C4))),1)+A32*1024*C7</f>
        <v/>
      </c>
      <c r="D32">
        <f>B32/C32</f>
        <v/>
      </c>
      <c r="E32" t="n">
        <v>23.55</v>
      </c>
      <c r="F32">
        <f>A32*1024/(C32*0.000001)/1000000000*C8</f>
        <v/>
      </c>
      <c r="G32">
        <f>E32/F32</f>
        <v/>
      </c>
    </row>
    <row r="33">
      <c r="A33" t="n">
        <v>2097152</v>
      </c>
      <c r="B33" t="n">
        <v>136785</v>
      </c>
      <c r="C33">
        <f>C9*CEILING(A33*1024/(C3*C4*MIN(4*1024*1024,A33*1024/(C3*C4))),1)+A33*1024*C7</f>
        <v/>
      </c>
      <c r="D33">
        <f>B33/C33</f>
        <v/>
      </c>
      <c r="E33" t="n">
        <v>23.55</v>
      </c>
      <c r="F33">
        <f>A33*1024/(C33*0.000001)/1000000000*C8</f>
        <v/>
      </c>
      <c r="G33">
        <f>E33/F33</f>
        <v/>
      </c>
    </row>
    <row r="34">
      <c r="A34" t="n">
        <v>4194304</v>
      </c>
      <c r="B34" t="n">
        <v>273530</v>
      </c>
      <c r="C34">
        <f>C9*CEILING(A34*1024/(C3*C4*MIN(4*1024*1024,A34*1024/(C3*C4))),1)+A34*1024*C7</f>
        <v/>
      </c>
      <c r="D34">
        <f>B34/C34</f>
        <v/>
      </c>
      <c r="E34" t="n">
        <v>23.55</v>
      </c>
      <c r="F34">
        <f>A34*1024/(C34*0.000001)/1000000000*C8</f>
        <v/>
      </c>
      <c r="G34">
        <f>E34/F34</f>
        <v/>
      </c>
    </row>
    <row r="35"/>
    <row r="36">
      <c r="A36" t="inlineStr">
        <is>
          <t>Nodes: 4, Protocol: Simple, Channels: 2</t>
        </is>
      </c>
    </row>
    <row r="37">
      <c r="A37" t="inlineStr">
        <is>
          <t>Parameter</t>
        </is>
      </c>
      <c r="B37" t="inlineStr">
        <is>
          <t>Formula</t>
        </is>
      </c>
      <c r="C37" t="inlineStr">
        <is>
          <t>Value</t>
        </is>
      </c>
    </row>
    <row r="38">
      <c r="A38" t="inlineStr">
        <is>
          <t>n</t>
        </is>
      </c>
      <c r="B38" t="inlineStr">
        <is>
          <t>nodes on ring</t>
        </is>
      </c>
      <c r="C38" t="n">
        <v>4</v>
      </c>
    </row>
    <row r="39">
      <c r="A39" t="inlineStr">
        <is>
          <t>nch</t>
        </is>
      </c>
      <c r="B39" t="inlineStr">
        <is>
          <t>channels</t>
        </is>
      </c>
      <c r="C39" t="n">
        <v>2</v>
      </c>
    </row>
    <row r="40">
      <c r="A40" t="inlineStr">
        <is>
          <t>a</t>
        </is>
      </c>
      <c r="B40" t="inlineStr">
        <is>
          <t>RTT (us)</t>
        </is>
      </c>
      <c r="C40" t="n">
        <v>25.8107</v>
      </c>
    </row>
    <row r="41">
      <c r="A41" t="inlineStr">
        <is>
          <t>NIC_BW</t>
        </is>
      </c>
      <c r="B41" t="inlineStr">
        <is>
          <t>bytes/us</t>
        </is>
      </c>
      <c r="C41" t="n">
        <v>48750</v>
      </c>
    </row>
    <row r="42">
      <c r="A42" t="inlineStr">
        <is>
          <t>G</t>
        </is>
      </c>
      <c r="B42" t="inlineStr">
        <is>
          <t>2*(n-1)/(n*NIC_BW)</t>
        </is>
      </c>
      <c r="C42">
        <f>2*(C38-1)/(C38*C41)</f>
        <v/>
      </c>
    </row>
    <row r="43">
      <c r="A43" t="inlineStr">
        <is>
          <t>busbw_factor</t>
        </is>
      </c>
      <c r="B43" t="inlineStr">
        <is>
          <t>2*(n-1)/n</t>
        </is>
      </c>
      <c r="C43">
        <f>2*(C38-1)/C38</f>
        <v/>
      </c>
    </row>
    <row r="44">
      <c r="A44" t="inlineStr">
        <is>
          <t>fixed_per_step</t>
        </is>
      </c>
      <c r="B44" t="inlineStr">
        <is>
          <t>(2*n-2)*(a/2)</t>
        </is>
      </c>
      <c r="C44">
        <f>(2*C38-2)*(C40/2)</f>
        <v/>
      </c>
    </row>
    <row r="45"/>
    <row r="46">
      <c r="A46" t="inlineStr">
        <is>
          <t>size_KB</t>
        </is>
      </c>
      <c r="B46" t="inlineStr">
        <is>
          <t>Actual Time (us)</t>
        </is>
      </c>
      <c r="C46" t="inlineStr">
        <is>
          <t>Roofline Time (us)</t>
        </is>
      </c>
      <c r="D46" t="inlineStr">
        <is>
          <t>Actual/Roofline</t>
        </is>
      </c>
      <c r="E46" t="inlineStr">
        <is>
          <t>Actual busBW (GB/s)</t>
        </is>
      </c>
      <c r="F46" t="inlineStr">
        <is>
          <t>Roofline busBW (GB/s)</t>
        </is>
      </c>
      <c r="G46" t="inlineStr">
        <is>
          <t>Meas/Roof busBW</t>
        </is>
      </c>
    </row>
    <row r="47">
      <c r="A47" t="n">
        <v>1</v>
      </c>
      <c r="B47" t="n">
        <v>140.9</v>
      </c>
      <c r="C47">
        <f>C44*CEILING(A47*1024/(C38*C39*MIN(4*1024*1024,A47*1024/(C38*C39))),1)+A47*1024*C42</f>
        <v/>
      </c>
      <c r="D47">
        <f>B47/C47</f>
        <v/>
      </c>
      <c r="E47" t="n">
        <v>0.01</v>
      </c>
      <c r="F47">
        <f>A47*1024/(C47*0.000001)/1000000000*C43</f>
        <v/>
      </c>
      <c r="G47">
        <f>E47/F47</f>
        <v/>
      </c>
    </row>
    <row r="48">
      <c r="A48" t="n">
        <v>2</v>
      </c>
      <c r="B48" t="n">
        <v>140.88</v>
      </c>
      <c r="C48">
        <f>C44*CEILING(A48*1024/(C38*C39*MIN(4*1024*1024,A48*1024/(C38*C39))),1)+A48*1024*C42</f>
        <v/>
      </c>
      <c r="D48">
        <f>B48/C48</f>
        <v/>
      </c>
      <c r="E48" t="n">
        <v>0.02</v>
      </c>
      <c r="F48">
        <f>A48*1024/(C48*0.000001)/1000000000*C43</f>
        <v/>
      </c>
      <c r="G48">
        <f>E48/F48</f>
        <v/>
      </c>
    </row>
    <row r="49">
      <c r="A49" t="n">
        <v>4</v>
      </c>
      <c r="B49" t="n">
        <v>141.42</v>
      </c>
      <c r="C49">
        <f>C44*CEILING(A49*1024/(C38*C39*MIN(4*1024*1024,A49*1024/(C38*C39))),1)+A49*1024*C42</f>
        <v/>
      </c>
      <c r="D49">
        <f>B49/C49</f>
        <v/>
      </c>
      <c r="E49" t="n">
        <v>0.04</v>
      </c>
      <c r="F49">
        <f>A49*1024/(C49*0.000001)/1000000000*C43</f>
        <v/>
      </c>
      <c r="G49">
        <f>E49/F49</f>
        <v/>
      </c>
    </row>
    <row r="50">
      <c r="A50" t="n">
        <v>8</v>
      </c>
      <c r="B50" t="n">
        <v>142.43</v>
      </c>
      <c r="C50">
        <f>C44*CEILING(A50*1024/(C38*C39*MIN(4*1024*1024,A50*1024/(C38*C39))),1)+A50*1024*C42</f>
        <v/>
      </c>
      <c r="D50">
        <f>B50/C50</f>
        <v/>
      </c>
      <c r="E50" t="n">
        <v>0.09</v>
      </c>
      <c r="F50">
        <f>A50*1024/(C50*0.000001)/1000000000*C43</f>
        <v/>
      </c>
      <c r="G50">
        <f>E50/F50</f>
        <v/>
      </c>
    </row>
    <row r="51">
      <c r="A51" t="n">
        <v>16</v>
      </c>
      <c r="B51" t="n">
        <v>148.86</v>
      </c>
      <c r="C51">
        <f>C44*CEILING(A51*1024/(C38*C39*MIN(4*1024*1024,A51*1024/(C38*C39))),1)+A51*1024*C42</f>
        <v/>
      </c>
      <c r="D51">
        <f>B51/C51</f>
        <v/>
      </c>
      <c r="E51" t="n">
        <v>0.17</v>
      </c>
      <c r="F51">
        <f>A51*1024/(C51*0.000001)/1000000000*C43</f>
        <v/>
      </c>
      <c r="G51">
        <f>E51/F51</f>
        <v/>
      </c>
    </row>
    <row r="52">
      <c r="A52" t="n">
        <v>32</v>
      </c>
      <c r="B52" t="n">
        <v>161.98</v>
      </c>
      <c r="C52">
        <f>C44*CEILING(A52*1024/(C38*C39*MIN(4*1024*1024,A52*1024/(C38*C39))),1)+A52*1024*C42</f>
        <v/>
      </c>
      <c r="D52">
        <f>B52/C52</f>
        <v/>
      </c>
      <c r="E52" t="n">
        <v>0.3</v>
      </c>
      <c r="F52">
        <f>A52*1024/(C52*0.000001)/1000000000*C43</f>
        <v/>
      </c>
      <c r="G52">
        <f>E52/F52</f>
        <v/>
      </c>
    </row>
    <row r="53">
      <c r="A53" t="n">
        <v>64</v>
      </c>
      <c r="B53" t="n">
        <v>167.6</v>
      </c>
      <c r="C53">
        <f>C44*CEILING(A53*1024/(C38*C39*MIN(4*1024*1024,A53*1024/(C38*C39))),1)+A53*1024*C42</f>
        <v/>
      </c>
      <c r="D53">
        <f>B53/C53</f>
        <v/>
      </c>
      <c r="E53" t="n">
        <v>0.59</v>
      </c>
      <c r="F53">
        <f>A53*1024/(C53*0.000001)/1000000000*C43</f>
        <v/>
      </c>
      <c r="G53">
        <f>E53/F53</f>
        <v/>
      </c>
    </row>
    <row r="54">
      <c r="A54" t="n">
        <v>128</v>
      </c>
      <c r="B54" t="n">
        <v>192.89</v>
      </c>
      <c r="C54">
        <f>C44*CEILING(A54*1024/(C38*C39*MIN(4*1024*1024,A54*1024/(C38*C39))),1)+A54*1024*C42</f>
        <v/>
      </c>
      <c r="D54">
        <f>B54/C54</f>
        <v/>
      </c>
      <c r="E54" t="n">
        <v>1.02</v>
      </c>
      <c r="F54">
        <f>A54*1024/(C54*0.000001)/1000000000*C43</f>
        <v/>
      </c>
      <c r="G54">
        <f>E54/F54</f>
        <v/>
      </c>
    </row>
    <row r="55">
      <c r="A55" t="n">
        <v>256</v>
      </c>
      <c r="B55" t="n">
        <v>212.35</v>
      </c>
      <c r="C55">
        <f>C44*CEILING(A55*1024/(C38*C39*MIN(4*1024*1024,A55*1024/(C38*C39))),1)+A55*1024*C42</f>
        <v/>
      </c>
      <c r="D55">
        <f>B55/C55</f>
        <v/>
      </c>
      <c r="E55" t="n">
        <v>1.85</v>
      </c>
      <c r="F55">
        <f>A55*1024/(C55*0.000001)/1000000000*C43</f>
        <v/>
      </c>
      <c r="G55">
        <f>E55/F55</f>
        <v/>
      </c>
    </row>
    <row r="56">
      <c r="A56" t="n">
        <v>512</v>
      </c>
      <c r="B56" t="n">
        <v>233.5</v>
      </c>
      <c r="C56">
        <f>C44*CEILING(A56*1024/(C38*C39*MIN(4*1024*1024,A56*1024/(C38*C39))),1)+A56*1024*C42</f>
        <v/>
      </c>
      <c r="D56">
        <f>B56/C56</f>
        <v/>
      </c>
      <c r="E56" t="n">
        <v>3.37</v>
      </c>
      <c r="F56">
        <f>A56*1024/(C56*0.000001)/1000000000*C43</f>
        <v/>
      </c>
      <c r="G56">
        <f>E56/F56</f>
        <v/>
      </c>
    </row>
    <row r="57">
      <c r="A57" t="n">
        <v>1024</v>
      </c>
      <c r="B57" t="n">
        <v>245.17</v>
      </c>
      <c r="C57">
        <f>C44*CEILING(A57*1024/(C38*C39*MIN(4*1024*1024,A57*1024/(C38*C39))),1)+A57*1024*C42</f>
        <v/>
      </c>
      <c r="D57">
        <f>B57/C57</f>
        <v/>
      </c>
      <c r="E57" t="n">
        <v>6.42</v>
      </c>
      <c r="F57">
        <f>A57*1024/(C57*0.000001)/1000000000*C43</f>
        <v/>
      </c>
      <c r="G57">
        <f>E57/F57</f>
        <v/>
      </c>
    </row>
    <row r="58">
      <c r="A58" t="n">
        <v>2048</v>
      </c>
      <c r="B58" t="n">
        <v>298.06</v>
      </c>
      <c r="C58">
        <f>C44*CEILING(A58*1024/(C38*C39*MIN(4*1024*1024,A58*1024/(C38*C39))),1)+A58*1024*C42</f>
        <v/>
      </c>
      <c r="D58">
        <f>B58/C58</f>
        <v/>
      </c>
      <c r="E58" t="n">
        <v>10.55</v>
      </c>
      <c r="F58">
        <f>A58*1024/(C58*0.000001)/1000000000*C43</f>
        <v/>
      </c>
      <c r="G58">
        <f>E58/F58</f>
        <v/>
      </c>
    </row>
    <row r="59">
      <c r="A59" t="n">
        <v>4096</v>
      </c>
      <c r="B59" t="n">
        <v>351.06</v>
      </c>
      <c r="C59">
        <f>C44*CEILING(A59*1024/(C38*C39*MIN(4*1024*1024,A59*1024/(C38*C39))),1)+A59*1024*C42</f>
        <v/>
      </c>
      <c r="D59">
        <f>B59/C59</f>
        <v/>
      </c>
      <c r="E59" t="n">
        <v>17.92</v>
      </c>
      <c r="F59">
        <f>A59*1024/(C59*0.000001)/1000000000*C43</f>
        <v/>
      </c>
      <c r="G59">
        <f>E59/F59</f>
        <v/>
      </c>
    </row>
    <row r="60">
      <c r="A60" t="n">
        <v>8192</v>
      </c>
      <c r="B60" t="n">
        <v>495.97</v>
      </c>
      <c r="C60">
        <f>C44*CEILING(A60*1024/(C38*C39*MIN(4*1024*1024,A60*1024/(C38*C39))),1)+A60*1024*C42</f>
        <v/>
      </c>
      <c r="D60">
        <f>B60/C60</f>
        <v/>
      </c>
      <c r="E60" t="n">
        <v>25.37</v>
      </c>
      <c r="F60">
        <f>A60*1024/(C60*0.000001)/1000000000*C43</f>
        <v/>
      </c>
      <c r="G60">
        <f>E60/F60</f>
        <v/>
      </c>
    </row>
    <row r="61">
      <c r="A61" t="n">
        <v>16384</v>
      </c>
      <c r="B61" t="n">
        <v>769.0700000000001</v>
      </c>
      <c r="C61">
        <f>C44*CEILING(A61*1024/(C38*C39*MIN(4*1024*1024,A61*1024/(C38*C39))),1)+A61*1024*C42</f>
        <v/>
      </c>
      <c r="D61">
        <f>B61/C61</f>
        <v/>
      </c>
      <c r="E61" t="n">
        <v>32.72</v>
      </c>
      <c r="F61">
        <f>A61*1024/(C61*0.000001)/1000000000*C43</f>
        <v/>
      </c>
      <c r="G61">
        <f>E61/F61</f>
        <v/>
      </c>
    </row>
    <row r="62">
      <c r="A62" t="n">
        <v>32768</v>
      </c>
      <c r="B62" t="n">
        <v>1330.81</v>
      </c>
      <c r="C62">
        <f>C44*CEILING(A62*1024/(C38*C39*MIN(4*1024*1024,A62*1024/(C38*C39))),1)+A62*1024*C42</f>
        <v/>
      </c>
      <c r="D62">
        <f>B62/C62</f>
        <v/>
      </c>
      <c r="E62" t="n">
        <v>37.82</v>
      </c>
      <c r="F62">
        <f>A62*1024/(C62*0.000001)/1000000000*C43</f>
        <v/>
      </c>
      <c r="G62">
        <f>E62/F62</f>
        <v/>
      </c>
    </row>
    <row r="63">
      <c r="A63" t="n">
        <v>65536</v>
      </c>
      <c r="B63" t="n">
        <v>2607.86</v>
      </c>
      <c r="C63">
        <f>C44*CEILING(A63*1024/(C38*C39*MIN(4*1024*1024,A63*1024/(C38*C39))),1)+A63*1024*C42</f>
        <v/>
      </c>
      <c r="D63">
        <f>B63/C63</f>
        <v/>
      </c>
      <c r="E63" t="n">
        <v>38.6</v>
      </c>
      <c r="F63">
        <f>A63*1024/(C63*0.000001)/1000000000*C43</f>
        <v/>
      </c>
      <c r="G63">
        <f>E63/F63</f>
        <v/>
      </c>
    </row>
    <row r="64">
      <c r="A64" t="n">
        <v>131072</v>
      </c>
      <c r="B64" t="n">
        <v>5161.38</v>
      </c>
      <c r="C64">
        <f>C44*CEILING(A64*1024/(C38*C39*MIN(4*1024*1024,A64*1024/(C38*C39))),1)+A64*1024*C42</f>
        <v/>
      </c>
      <c r="D64">
        <f>B64/C64</f>
        <v/>
      </c>
      <c r="E64" t="n">
        <v>39.01</v>
      </c>
      <c r="F64">
        <f>A64*1024/(C64*0.000001)/1000000000*C43</f>
        <v/>
      </c>
      <c r="G64">
        <f>E64/F64</f>
        <v/>
      </c>
    </row>
    <row r="65">
      <c r="A65" t="n">
        <v>262144</v>
      </c>
      <c r="B65" t="n">
        <v>10250</v>
      </c>
      <c r="C65">
        <f>C44*CEILING(A65*1024/(C38*C39*MIN(4*1024*1024,A65*1024/(C38*C39))),1)+A65*1024*C42</f>
        <v/>
      </c>
      <c r="D65">
        <f>B65/C65</f>
        <v/>
      </c>
      <c r="E65" t="n">
        <v>39.28</v>
      </c>
      <c r="F65">
        <f>A65*1024/(C65*0.000001)/1000000000*C43</f>
        <v/>
      </c>
      <c r="G65">
        <f>E65/F65</f>
        <v/>
      </c>
    </row>
    <row r="66">
      <c r="A66" t="n">
        <v>524288</v>
      </c>
      <c r="B66" t="n">
        <v>20369.4</v>
      </c>
      <c r="C66">
        <f>C44*CEILING(A66*1024/(C38*C39*MIN(4*1024*1024,A66*1024/(C38*C39))),1)+A66*1024*C42</f>
        <v/>
      </c>
      <c r="D66">
        <f>B66/C66</f>
        <v/>
      </c>
      <c r="E66" t="n">
        <v>39.54</v>
      </c>
      <c r="F66">
        <f>A66*1024/(C66*0.000001)/1000000000*C43</f>
        <v/>
      </c>
      <c r="G66">
        <f>E66/F66</f>
        <v/>
      </c>
    </row>
    <row r="67">
      <c r="A67" t="n">
        <v>1048576</v>
      </c>
      <c r="B67" t="n">
        <v>40494</v>
      </c>
      <c r="C67">
        <f>C44*CEILING(A67*1024/(C38*C39*MIN(4*1024*1024,A67*1024/(C38*C39))),1)+A67*1024*C42</f>
        <v/>
      </c>
      <c r="D67">
        <f>B67/C67</f>
        <v/>
      </c>
      <c r="E67" t="n">
        <v>39.77</v>
      </c>
      <c r="F67">
        <f>A67*1024/(C67*0.000001)/1000000000*C43</f>
        <v/>
      </c>
      <c r="G67">
        <f>E67/F67</f>
        <v/>
      </c>
    </row>
    <row r="68">
      <c r="A68" t="n">
        <v>2097152</v>
      </c>
      <c r="B68" t="n">
        <v>80691.5</v>
      </c>
      <c r="C68">
        <f>C44*CEILING(A68*1024/(C38*C39*MIN(4*1024*1024,A68*1024/(C38*C39))),1)+A68*1024*C42</f>
        <v/>
      </c>
      <c r="D68">
        <f>B68/C68</f>
        <v/>
      </c>
      <c r="E68" t="n">
        <v>39.92</v>
      </c>
      <c r="F68">
        <f>A68*1024/(C68*0.000001)/1000000000*C43</f>
        <v/>
      </c>
      <c r="G68">
        <f>E68/F68</f>
        <v/>
      </c>
    </row>
    <row r="69">
      <c r="A69" t="n">
        <v>4194304</v>
      </c>
      <c r="B69" t="n">
        <v>161225</v>
      </c>
      <c r="C69">
        <f>C44*CEILING(A69*1024/(C38*C39*MIN(4*1024*1024,A69*1024/(C38*C39))),1)+A69*1024*C42</f>
        <v/>
      </c>
      <c r="D69">
        <f>B69/C69</f>
        <v/>
      </c>
      <c r="E69" t="n">
        <v>39.96</v>
      </c>
      <c r="F69">
        <f>A69*1024/(C69*0.000001)/1000000000*C43</f>
        <v/>
      </c>
      <c r="G69">
        <f>E69/F69</f>
        <v/>
      </c>
    </row>
    <row r="70"/>
    <row r="71">
      <c r="A71" t="inlineStr">
        <is>
          <t>Nodes: 4, Protocol: Simple, Channels: 4</t>
        </is>
      </c>
    </row>
    <row r="72">
      <c r="A72" t="inlineStr">
        <is>
          <t>Parameter</t>
        </is>
      </c>
      <c r="B72" t="inlineStr">
        <is>
          <t>Formula</t>
        </is>
      </c>
      <c r="C72" t="inlineStr">
        <is>
          <t>Value</t>
        </is>
      </c>
    </row>
    <row r="73">
      <c r="A73" t="inlineStr">
        <is>
          <t>n</t>
        </is>
      </c>
      <c r="B73" t="inlineStr">
        <is>
          <t>nodes on ring</t>
        </is>
      </c>
      <c r="C73" t="n">
        <v>4</v>
      </c>
    </row>
    <row r="74">
      <c r="A74" t="inlineStr">
        <is>
          <t>nch</t>
        </is>
      </c>
      <c r="B74" t="inlineStr">
        <is>
          <t>channels</t>
        </is>
      </c>
      <c r="C74" t="n">
        <v>4</v>
      </c>
    </row>
    <row r="75">
      <c r="A75" t="inlineStr">
        <is>
          <t>a</t>
        </is>
      </c>
      <c r="B75" t="inlineStr">
        <is>
          <t>RTT (us)</t>
        </is>
      </c>
      <c r="C75" t="n">
        <v>25.8107</v>
      </c>
    </row>
    <row r="76">
      <c r="A76" t="inlineStr">
        <is>
          <t>NIC_BW</t>
        </is>
      </c>
      <c r="B76" t="inlineStr">
        <is>
          <t>bytes/us</t>
        </is>
      </c>
      <c r="C76" t="n">
        <v>48750</v>
      </c>
    </row>
    <row r="77">
      <c r="A77" t="inlineStr">
        <is>
          <t>G</t>
        </is>
      </c>
      <c r="B77" t="inlineStr">
        <is>
          <t>2*(n-1)/(n*NIC_BW)</t>
        </is>
      </c>
      <c r="C77">
        <f>2*(C73-1)/(C73*C76)</f>
        <v/>
      </c>
    </row>
    <row r="78">
      <c r="A78" t="inlineStr">
        <is>
          <t>busbw_factor</t>
        </is>
      </c>
      <c r="B78" t="inlineStr">
        <is>
          <t>2*(n-1)/n</t>
        </is>
      </c>
      <c r="C78">
        <f>2*(C73-1)/C73</f>
        <v/>
      </c>
    </row>
    <row r="79">
      <c r="A79" t="inlineStr">
        <is>
          <t>fixed_per_step</t>
        </is>
      </c>
      <c r="B79" t="inlineStr">
        <is>
          <t>(2*n-2)*(a/2)</t>
        </is>
      </c>
      <c r="C79">
        <f>(2*C73-2)*(C75/2)</f>
        <v/>
      </c>
    </row>
    <row r="80"/>
    <row r="81">
      <c r="A81" t="inlineStr">
        <is>
          <t>size_KB</t>
        </is>
      </c>
      <c r="B81" t="inlineStr">
        <is>
          <t>Actual Time (us)</t>
        </is>
      </c>
      <c r="C81" t="inlineStr">
        <is>
          <t>Roofline Time (us)</t>
        </is>
      </c>
      <c r="D81" t="inlineStr">
        <is>
          <t>Actual/Roofline</t>
        </is>
      </c>
      <c r="E81" t="inlineStr">
        <is>
          <t>Actual busBW (GB/s)</t>
        </is>
      </c>
      <c r="F81" t="inlineStr">
        <is>
          <t>Roofline busBW (GB/s)</t>
        </is>
      </c>
      <c r="G81" t="inlineStr">
        <is>
          <t>Meas/Roof busBW</t>
        </is>
      </c>
    </row>
    <row r="82">
      <c r="A82" t="n">
        <v>1</v>
      </c>
      <c r="B82" t="n">
        <v>140.4</v>
      </c>
      <c r="C82">
        <f>C79*CEILING(A82*1024/(C73*C74*MIN(4*1024*1024,A82*1024/(C73*C74))),1)+A82*1024*C77</f>
        <v/>
      </c>
      <c r="D82">
        <f>B82/C82</f>
        <v/>
      </c>
      <c r="E82" t="n">
        <v>0.01</v>
      </c>
      <c r="F82">
        <f>A82*1024/(C82*0.000001)/1000000000*C78</f>
        <v/>
      </c>
      <c r="G82">
        <f>E82/F82</f>
        <v/>
      </c>
    </row>
    <row r="83">
      <c r="A83" t="n">
        <v>2</v>
      </c>
      <c r="B83" t="n">
        <v>140.11</v>
      </c>
      <c r="C83">
        <f>C79*CEILING(A83*1024/(C73*C74*MIN(4*1024*1024,A83*1024/(C73*C74))),1)+A83*1024*C77</f>
        <v/>
      </c>
      <c r="D83">
        <f>B83/C83</f>
        <v/>
      </c>
      <c r="E83" t="n">
        <v>0.02</v>
      </c>
      <c r="F83">
        <f>A83*1024/(C83*0.000001)/1000000000*C78</f>
        <v/>
      </c>
      <c r="G83">
        <f>E83/F83</f>
        <v/>
      </c>
    </row>
    <row r="84">
      <c r="A84" t="n">
        <v>4</v>
      </c>
      <c r="B84" t="n">
        <v>141.31</v>
      </c>
      <c r="C84">
        <f>C79*CEILING(A84*1024/(C73*C74*MIN(4*1024*1024,A84*1024/(C73*C74))),1)+A84*1024*C77</f>
        <v/>
      </c>
      <c r="D84">
        <f>B84/C84</f>
        <v/>
      </c>
      <c r="E84" t="n">
        <v>0.04</v>
      </c>
      <c r="F84">
        <f>A84*1024/(C84*0.000001)/1000000000*C78</f>
        <v/>
      </c>
      <c r="G84">
        <f>E84/F84</f>
        <v/>
      </c>
    </row>
    <row r="85">
      <c r="A85" t="n">
        <v>8</v>
      </c>
      <c r="B85" t="n">
        <v>142.1</v>
      </c>
      <c r="C85">
        <f>C79*CEILING(A85*1024/(C73*C74*MIN(4*1024*1024,A85*1024/(C73*C74))),1)+A85*1024*C77</f>
        <v/>
      </c>
      <c r="D85">
        <f>B85/C85</f>
        <v/>
      </c>
      <c r="E85" t="n">
        <v>0.09</v>
      </c>
      <c r="F85">
        <f>A85*1024/(C85*0.000001)/1000000000*C78</f>
        <v/>
      </c>
      <c r="G85">
        <f>E85/F85</f>
        <v/>
      </c>
    </row>
    <row r="86">
      <c r="A86" t="n">
        <v>16</v>
      </c>
      <c r="B86" t="n">
        <v>148.43</v>
      </c>
      <c r="C86">
        <f>C79*CEILING(A86*1024/(C73*C74*MIN(4*1024*1024,A86*1024/(C73*C74))),1)+A86*1024*C77</f>
        <v/>
      </c>
      <c r="D86">
        <f>B86/C86</f>
        <v/>
      </c>
      <c r="E86" t="n">
        <v>0.17</v>
      </c>
      <c r="F86">
        <f>A86*1024/(C86*0.000001)/1000000000*C78</f>
        <v/>
      </c>
      <c r="G86">
        <f>E86/F86</f>
        <v/>
      </c>
    </row>
    <row r="87">
      <c r="A87" t="n">
        <v>32</v>
      </c>
      <c r="B87" t="n">
        <v>161.83</v>
      </c>
      <c r="C87">
        <f>C79*CEILING(A87*1024/(C73*C74*MIN(4*1024*1024,A87*1024/(C73*C74))),1)+A87*1024*C77</f>
        <v/>
      </c>
      <c r="D87">
        <f>B87/C87</f>
        <v/>
      </c>
      <c r="E87" t="n">
        <v>0.3</v>
      </c>
      <c r="F87">
        <f>A87*1024/(C87*0.000001)/1000000000*C78</f>
        <v/>
      </c>
      <c r="G87">
        <f>E87/F87</f>
        <v/>
      </c>
    </row>
    <row r="88">
      <c r="A88" t="n">
        <v>64</v>
      </c>
      <c r="B88" t="n">
        <v>168.64</v>
      </c>
      <c r="C88">
        <f>C79*CEILING(A88*1024/(C73*C74*MIN(4*1024*1024,A88*1024/(C73*C74))),1)+A88*1024*C77</f>
        <v/>
      </c>
      <c r="D88">
        <f>B88/C88</f>
        <v/>
      </c>
      <c r="E88" t="n">
        <v>0.58</v>
      </c>
      <c r="F88">
        <f>A88*1024/(C88*0.000001)/1000000000*C78</f>
        <v/>
      </c>
      <c r="G88">
        <f>E88/F88</f>
        <v/>
      </c>
    </row>
    <row r="89">
      <c r="A89" t="n">
        <v>128</v>
      </c>
      <c r="B89" t="n">
        <v>184.56</v>
      </c>
      <c r="C89">
        <f>C79*CEILING(A89*1024/(C73*C74*MIN(4*1024*1024,A89*1024/(C73*C74))),1)+A89*1024*C77</f>
        <v/>
      </c>
      <c r="D89">
        <f>B89/C89</f>
        <v/>
      </c>
      <c r="E89" t="n">
        <v>1.07</v>
      </c>
      <c r="F89">
        <f>A89*1024/(C89*0.000001)/1000000000*C78</f>
        <v/>
      </c>
      <c r="G89">
        <f>E89/F89</f>
        <v/>
      </c>
    </row>
    <row r="90">
      <c r="A90" t="n">
        <v>256</v>
      </c>
      <c r="B90" t="n">
        <v>209.74</v>
      </c>
      <c r="C90">
        <f>C79*CEILING(A90*1024/(C73*C74*MIN(4*1024*1024,A90*1024/(C73*C74))),1)+A90*1024*C77</f>
        <v/>
      </c>
      <c r="D90">
        <f>B90/C90</f>
        <v/>
      </c>
      <c r="E90" t="n">
        <v>1.87</v>
      </c>
      <c r="F90">
        <f>A90*1024/(C90*0.000001)/1000000000*C78</f>
        <v/>
      </c>
      <c r="G90">
        <f>E90/F90</f>
        <v/>
      </c>
    </row>
    <row r="91">
      <c r="A91" t="n">
        <v>512</v>
      </c>
      <c r="B91" t="n">
        <v>230.48</v>
      </c>
      <c r="C91">
        <f>C79*CEILING(A91*1024/(C73*C74*MIN(4*1024*1024,A91*1024/(C73*C74))),1)+A91*1024*C77</f>
        <v/>
      </c>
      <c r="D91">
        <f>B91/C91</f>
        <v/>
      </c>
      <c r="E91" t="n">
        <v>3.41</v>
      </c>
      <c r="F91">
        <f>A91*1024/(C91*0.000001)/1000000000*C78</f>
        <v/>
      </c>
      <c r="G91">
        <f>E91/F91</f>
        <v/>
      </c>
    </row>
    <row r="92">
      <c r="A92" t="n">
        <v>1024</v>
      </c>
      <c r="B92" t="n">
        <v>254.87</v>
      </c>
      <c r="C92">
        <f>C79*CEILING(A92*1024/(C73*C74*MIN(4*1024*1024,A92*1024/(C73*C74))),1)+A92*1024*C77</f>
        <v/>
      </c>
      <c r="D92">
        <f>B92/C92</f>
        <v/>
      </c>
      <c r="E92" t="n">
        <v>6.17</v>
      </c>
      <c r="F92">
        <f>A92*1024/(C92*0.000001)/1000000000*C78</f>
        <v/>
      </c>
      <c r="G92">
        <f>E92/F92</f>
        <v/>
      </c>
    </row>
    <row r="93">
      <c r="A93" t="n">
        <v>2048</v>
      </c>
      <c r="B93" t="n">
        <v>269.71</v>
      </c>
      <c r="C93">
        <f>C79*CEILING(A93*1024/(C73*C74*MIN(4*1024*1024,A93*1024/(C73*C74))),1)+A93*1024*C77</f>
        <v/>
      </c>
      <c r="D93">
        <f>B93/C93</f>
        <v/>
      </c>
      <c r="E93" t="n">
        <v>11.66</v>
      </c>
      <c r="F93">
        <f>A93*1024/(C93*0.000001)/1000000000*C78</f>
        <v/>
      </c>
      <c r="G93">
        <f>E93/F93</f>
        <v/>
      </c>
    </row>
    <row r="94">
      <c r="A94" t="n">
        <v>4096</v>
      </c>
      <c r="B94" t="n">
        <v>345.05</v>
      </c>
      <c r="C94">
        <f>C79*CEILING(A94*1024/(C73*C74*MIN(4*1024*1024,A94*1024/(C73*C74))),1)+A94*1024*C77</f>
        <v/>
      </c>
      <c r="D94">
        <f>B94/C94</f>
        <v/>
      </c>
      <c r="E94" t="n">
        <v>18.23</v>
      </c>
      <c r="F94">
        <f>A94*1024/(C94*0.000001)/1000000000*C78</f>
        <v/>
      </c>
      <c r="G94">
        <f>E94/F94</f>
        <v/>
      </c>
    </row>
    <row r="95">
      <c r="A95" t="n">
        <v>8192</v>
      </c>
      <c r="B95" t="n">
        <v>430.93</v>
      </c>
      <c r="C95">
        <f>C79*CEILING(A95*1024/(C73*C74*MIN(4*1024*1024,A95*1024/(C73*C74))),1)+A95*1024*C77</f>
        <v/>
      </c>
      <c r="D95">
        <f>B95/C95</f>
        <v/>
      </c>
      <c r="E95" t="n">
        <v>29.2</v>
      </c>
      <c r="F95">
        <f>A95*1024/(C95*0.000001)/1000000000*C78</f>
        <v/>
      </c>
      <c r="G95">
        <f>E95/F95</f>
        <v/>
      </c>
    </row>
    <row r="96">
      <c r="A96" t="n">
        <v>16384</v>
      </c>
      <c r="B96" t="n">
        <v>678.45</v>
      </c>
      <c r="C96">
        <f>C79*CEILING(A96*1024/(C73*C74*MIN(4*1024*1024,A96*1024/(C73*C74))),1)+A96*1024*C77</f>
        <v/>
      </c>
      <c r="D96">
        <f>B96/C96</f>
        <v/>
      </c>
      <c r="E96" t="n">
        <v>37.09</v>
      </c>
      <c r="F96">
        <f>A96*1024/(C96*0.000001)/1000000000*C78</f>
        <v/>
      </c>
      <c r="G96">
        <f>E96/F96</f>
        <v/>
      </c>
    </row>
    <row r="97">
      <c r="A97" t="n">
        <v>32768</v>
      </c>
      <c r="B97" t="n">
        <v>1232.45</v>
      </c>
      <c r="C97">
        <f>C79*CEILING(A97*1024/(C73*C74*MIN(4*1024*1024,A97*1024/(C73*C74))),1)+A97*1024*C77</f>
        <v/>
      </c>
      <c r="D97">
        <f>B97/C97</f>
        <v/>
      </c>
      <c r="E97" t="n">
        <v>40.84</v>
      </c>
      <c r="F97">
        <f>A97*1024/(C97*0.000001)/1000000000*C78</f>
        <v/>
      </c>
      <c r="G97">
        <f>E97/F97</f>
        <v/>
      </c>
    </row>
    <row r="98">
      <c r="A98" t="n">
        <v>65536</v>
      </c>
      <c r="B98" t="n">
        <v>2378.66</v>
      </c>
      <c r="C98">
        <f>C79*CEILING(A98*1024/(C73*C74*MIN(4*1024*1024,A98*1024/(C73*C74))),1)+A98*1024*C77</f>
        <v/>
      </c>
      <c r="D98">
        <f>B98/C98</f>
        <v/>
      </c>
      <c r="E98" t="n">
        <v>42.32</v>
      </c>
      <c r="F98">
        <f>A98*1024/(C98*0.000001)/1000000000*C78</f>
        <v/>
      </c>
      <c r="G98">
        <f>E98/F98</f>
        <v/>
      </c>
    </row>
    <row r="99">
      <c r="A99" t="n">
        <v>131072</v>
      </c>
      <c r="B99" t="n">
        <v>4604.86</v>
      </c>
      <c r="C99">
        <f>C79*CEILING(A99*1024/(C73*C74*MIN(4*1024*1024,A99*1024/(C73*C74))),1)+A99*1024*C77</f>
        <v/>
      </c>
      <c r="D99">
        <f>B99/C99</f>
        <v/>
      </c>
      <c r="E99" t="n">
        <v>43.72</v>
      </c>
      <c r="F99">
        <f>A99*1024/(C99*0.000001)/1000000000*C78</f>
        <v/>
      </c>
      <c r="G99">
        <f>E99/F99</f>
        <v/>
      </c>
    </row>
    <row r="100">
      <c r="A100" t="n">
        <v>262144</v>
      </c>
      <c r="B100" t="n">
        <v>8978.76</v>
      </c>
      <c r="C100">
        <f>C79*CEILING(A100*1024/(C73*C74*MIN(4*1024*1024,A100*1024/(C73*C74))),1)+A100*1024*C77</f>
        <v/>
      </c>
      <c r="D100">
        <f>B100/C100</f>
        <v/>
      </c>
      <c r="E100" t="n">
        <v>44.85</v>
      </c>
      <c r="F100">
        <f>A100*1024/(C100*0.000001)/1000000000*C78</f>
        <v/>
      </c>
      <c r="G100">
        <f>E100/F100</f>
        <v/>
      </c>
    </row>
    <row r="101">
      <c r="A101" t="n">
        <v>524288</v>
      </c>
      <c r="B101" t="n">
        <v>17680.9</v>
      </c>
      <c r="C101">
        <f>C79*CEILING(A101*1024/(C73*C74*MIN(4*1024*1024,A101*1024/(C73*C74))),1)+A101*1024*C77</f>
        <v/>
      </c>
      <c r="D101">
        <f>B101/C101</f>
        <v/>
      </c>
      <c r="E101" t="n">
        <v>45.55</v>
      </c>
      <c r="F101">
        <f>A101*1024/(C101*0.000001)/1000000000*C78</f>
        <v/>
      </c>
      <c r="G101">
        <f>E101/F101</f>
        <v/>
      </c>
    </row>
    <row r="102">
      <c r="A102" t="n">
        <v>1048576</v>
      </c>
      <c r="B102" t="n">
        <v>35066.4</v>
      </c>
      <c r="C102">
        <f>C79*CEILING(A102*1024/(C73*C74*MIN(4*1024*1024,A102*1024/(C73*C74))),1)+A102*1024*C77</f>
        <v/>
      </c>
      <c r="D102">
        <f>B102/C102</f>
        <v/>
      </c>
      <c r="E102" t="n">
        <v>45.93</v>
      </c>
      <c r="F102">
        <f>A102*1024/(C102*0.000001)/1000000000*C78</f>
        <v/>
      </c>
      <c r="G102">
        <f>E102/F102</f>
        <v/>
      </c>
    </row>
    <row r="103">
      <c r="A103" t="n">
        <v>2097152</v>
      </c>
      <c r="B103" t="n">
        <v>69815.7</v>
      </c>
      <c r="C103">
        <f>C79*CEILING(A103*1024/(C73*C74*MIN(4*1024*1024,A103*1024/(C73*C74))),1)+A103*1024*C77</f>
        <v/>
      </c>
      <c r="D103">
        <f>B103/C103</f>
        <v/>
      </c>
      <c r="E103" t="n">
        <v>46.14</v>
      </c>
      <c r="F103">
        <f>A103*1024/(C103*0.000001)/1000000000*C78</f>
        <v/>
      </c>
      <c r="G103">
        <f>E103/F103</f>
        <v/>
      </c>
    </row>
    <row r="104">
      <c r="A104" t="n">
        <v>4194304</v>
      </c>
      <c r="B104" t="n">
        <v>139221</v>
      </c>
      <c r="C104">
        <f>C79*CEILING(A104*1024/(C73*C74*MIN(4*1024*1024,A104*1024/(C73*C74))),1)+A104*1024*C77</f>
        <v/>
      </c>
      <c r="D104">
        <f>B104/C104</f>
        <v/>
      </c>
      <c r="E104" t="n">
        <v>46.28</v>
      </c>
      <c r="F104">
        <f>A104*1024/(C104*0.000001)/1000000000*C78</f>
        <v/>
      </c>
      <c r="G104">
        <f>E104/F104</f>
        <v/>
      </c>
    </row>
    <row r="105"/>
    <row r="106">
      <c r="A106" t="inlineStr">
        <is>
          <t>Nodes: 4, Protocol: Simple, Channels: 8</t>
        </is>
      </c>
    </row>
    <row r="107">
      <c r="A107" t="inlineStr">
        <is>
          <t>Parameter</t>
        </is>
      </c>
      <c r="B107" t="inlineStr">
        <is>
          <t>Formula</t>
        </is>
      </c>
      <c r="C107" t="inlineStr">
        <is>
          <t>Value</t>
        </is>
      </c>
    </row>
    <row r="108">
      <c r="A108" t="inlineStr">
        <is>
          <t>n</t>
        </is>
      </c>
      <c r="B108" t="inlineStr">
        <is>
          <t>nodes on ring</t>
        </is>
      </c>
      <c r="C108" t="n">
        <v>4</v>
      </c>
    </row>
    <row r="109">
      <c r="A109" t="inlineStr">
        <is>
          <t>nch</t>
        </is>
      </c>
      <c r="B109" t="inlineStr">
        <is>
          <t>channels</t>
        </is>
      </c>
      <c r="C109" t="n">
        <v>8</v>
      </c>
    </row>
    <row r="110">
      <c r="A110" t="inlineStr">
        <is>
          <t>a</t>
        </is>
      </c>
      <c r="B110" t="inlineStr">
        <is>
          <t>RTT (us)</t>
        </is>
      </c>
      <c r="C110" t="n">
        <v>25.8107</v>
      </c>
    </row>
    <row r="111">
      <c r="A111" t="inlineStr">
        <is>
          <t>NIC_BW</t>
        </is>
      </c>
      <c r="B111" t="inlineStr">
        <is>
          <t>bytes/us</t>
        </is>
      </c>
      <c r="C111" t="n">
        <v>48750</v>
      </c>
    </row>
    <row r="112">
      <c r="A112" t="inlineStr">
        <is>
          <t>G</t>
        </is>
      </c>
      <c r="B112" t="inlineStr">
        <is>
          <t>2*(n-1)/(n*NIC_BW)</t>
        </is>
      </c>
      <c r="C112">
        <f>2*(C108-1)/(C108*C111)</f>
        <v/>
      </c>
    </row>
    <row r="113">
      <c r="A113" t="inlineStr">
        <is>
          <t>busbw_factor</t>
        </is>
      </c>
      <c r="B113" t="inlineStr">
        <is>
          <t>2*(n-1)/n</t>
        </is>
      </c>
      <c r="C113">
        <f>2*(C108-1)/C108</f>
        <v/>
      </c>
    </row>
    <row r="114">
      <c r="A114" t="inlineStr">
        <is>
          <t>fixed_per_step</t>
        </is>
      </c>
      <c r="B114" t="inlineStr">
        <is>
          <t>(2*n-2)*(a/2)</t>
        </is>
      </c>
      <c r="C114">
        <f>(2*C108-2)*(C110/2)</f>
        <v/>
      </c>
    </row>
    <row r="115"/>
    <row r="116">
      <c r="A116" t="inlineStr">
        <is>
          <t>size_KB</t>
        </is>
      </c>
      <c r="B116" t="inlineStr">
        <is>
          <t>Actual Time (us)</t>
        </is>
      </c>
      <c r="C116" t="inlineStr">
        <is>
          <t>Roofline Time (us)</t>
        </is>
      </c>
      <c r="D116" t="inlineStr">
        <is>
          <t>Actual/Roofline</t>
        </is>
      </c>
      <c r="E116" t="inlineStr">
        <is>
          <t>Actual busBW (GB/s)</t>
        </is>
      </c>
      <c r="F116" t="inlineStr">
        <is>
          <t>Roofline busBW (GB/s)</t>
        </is>
      </c>
      <c r="G116" t="inlineStr">
        <is>
          <t>Meas/Roof busBW</t>
        </is>
      </c>
    </row>
    <row r="117">
      <c r="A117" t="n">
        <v>1</v>
      </c>
      <c r="B117" t="n">
        <v>140.46</v>
      </c>
      <c r="C117">
        <f>C114*CEILING(A117*1024/(C108*C109*MIN(4*1024*1024,A117*1024/(C108*C109))),1)+A117*1024*C112</f>
        <v/>
      </c>
      <c r="D117">
        <f>B117/C117</f>
        <v/>
      </c>
      <c r="E117" t="n">
        <v>0.01</v>
      </c>
      <c r="F117">
        <f>A117*1024/(C117*0.000001)/1000000000*C113</f>
        <v/>
      </c>
      <c r="G117">
        <f>E117/F117</f>
        <v/>
      </c>
    </row>
    <row r="118">
      <c r="A118" t="n">
        <v>2</v>
      </c>
      <c r="B118" t="n">
        <v>140.37</v>
      </c>
      <c r="C118">
        <f>C114*CEILING(A118*1024/(C108*C109*MIN(4*1024*1024,A118*1024/(C108*C109))),1)+A118*1024*C112</f>
        <v/>
      </c>
      <c r="D118">
        <f>B118/C118</f>
        <v/>
      </c>
      <c r="E118" t="n">
        <v>0.02</v>
      </c>
      <c r="F118">
        <f>A118*1024/(C118*0.000001)/1000000000*C113</f>
        <v/>
      </c>
      <c r="G118">
        <f>E118/F118</f>
        <v/>
      </c>
    </row>
    <row r="119">
      <c r="A119" t="n">
        <v>4</v>
      </c>
      <c r="B119" t="n">
        <v>141.19</v>
      </c>
      <c r="C119">
        <f>C114*CEILING(A119*1024/(C108*C109*MIN(4*1024*1024,A119*1024/(C108*C109))),1)+A119*1024*C112</f>
        <v/>
      </c>
      <c r="D119">
        <f>B119/C119</f>
        <v/>
      </c>
      <c r="E119" t="n">
        <v>0.04</v>
      </c>
      <c r="F119">
        <f>A119*1024/(C119*0.000001)/1000000000*C113</f>
        <v/>
      </c>
      <c r="G119">
        <f>E119/F119</f>
        <v/>
      </c>
    </row>
    <row r="120">
      <c r="A120" t="n">
        <v>8</v>
      </c>
      <c r="B120" t="n">
        <v>142.7</v>
      </c>
      <c r="C120">
        <f>C114*CEILING(A120*1024/(C108*C109*MIN(4*1024*1024,A120*1024/(C108*C109))),1)+A120*1024*C112</f>
        <v/>
      </c>
      <c r="D120">
        <f>B120/C120</f>
        <v/>
      </c>
      <c r="E120" t="n">
        <v>0.09</v>
      </c>
      <c r="F120">
        <f>A120*1024/(C120*0.000001)/1000000000*C113</f>
        <v/>
      </c>
      <c r="G120">
        <f>E120/F120</f>
        <v/>
      </c>
    </row>
    <row r="121">
      <c r="A121" t="n">
        <v>16</v>
      </c>
      <c r="B121" t="n">
        <v>148.13</v>
      </c>
      <c r="C121">
        <f>C114*CEILING(A121*1024/(C108*C109*MIN(4*1024*1024,A121*1024/(C108*C109))),1)+A121*1024*C112</f>
        <v/>
      </c>
      <c r="D121">
        <f>B121/C121</f>
        <v/>
      </c>
      <c r="E121" t="n">
        <v>0.17</v>
      </c>
      <c r="F121">
        <f>A121*1024/(C121*0.000001)/1000000000*C113</f>
        <v/>
      </c>
      <c r="G121">
        <f>E121/F121</f>
        <v/>
      </c>
    </row>
    <row r="122">
      <c r="A122" t="n">
        <v>32</v>
      </c>
      <c r="B122" t="n">
        <v>161.48</v>
      </c>
      <c r="C122">
        <f>C114*CEILING(A122*1024/(C108*C109*MIN(4*1024*1024,A122*1024/(C108*C109))),1)+A122*1024*C112</f>
        <v/>
      </c>
      <c r="D122">
        <f>B122/C122</f>
        <v/>
      </c>
      <c r="E122" t="n">
        <v>0.3</v>
      </c>
      <c r="F122">
        <f>A122*1024/(C122*0.000001)/1000000000*C113</f>
        <v/>
      </c>
      <c r="G122">
        <f>E122/F122</f>
        <v/>
      </c>
    </row>
    <row r="123">
      <c r="A123" t="n">
        <v>64</v>
      </c>
      <c r="B123" t="n">
        <v>168</v>
      </c>
      <c r="C123">
        <f>C114*CEILING(A123*1024/(C108*C109*MIN(4*1024*1024,A123*1024/(C108*C109))),1)+A123*1024*C112</f>
        <v/>
      </c>
      <c r="D123">
        <f>B123/C123</f>
        <v/>
      </c>
      <c r="E123" t="n">
        <v>0.59</v>
      </c>
      <c r="F123">
        <f>A123*1024/(C123*0.000001)/1000000000*C113</f>
        <v/>
      </c>
      <c r="G123">
        <f>E123/F123</f>
        <v/>
      </c>
    </row>
    <row r="124">
      <c r="A124" t="n">
        <v>128</v>
      </c>
      <c r="B124" t="n">
        <v>185.82</v>
      </c>
      <c r="C124">
        <f>C114*CEILING(A124*1024/(C108*C109*MIN(4*1024*1024,A124*1024/(C108*C109))),1)+A124*1024*C112</f>
        <v/>
      </c>
      <c r="D124">
        <f>B124/C124</f>
        <v/>
      </c>
      <c r="E124" t="n">
        <v>1.06</v>
      </c>
      <c r="F124">
        <f>A124*1024/(C124*0.000001)/1000000000*C113</f>
        <v/>
      </c>
      <c r="G124">
        <f>E124/F124</f>
        <v/>
      </c>
    </row>
    <row r="125">
      <c r="A125" t="n">
        <v>256</v>
      </c>
      <c r="B125" t="n">
        <v>227.85</v>
      </c>
      <c r="C125">
        <f>C114*CEILING(A125*1024/(C108*C109*MIN(4*1024*1024,A125*1024/(C108*C109))),1)+A125*1024*C112</f>
        <v/>
      </c>
      <c r="D125">
        <f>B125/C125</f>
        <v/>
      </c>
      <c r="E125" t="n">
        <v>1.73</v>
      </c>
      <c r="F125">
        <f>A125*1024/(C125*0.000001)/1000000000*C113</f>
        <v/>
      </c>
      <c r="G125">
        <f>E125/F125</f>
        <v/>
      </c>
    </row>
    <row r="126">
      <c r="A126" t="n">
        <v>512</v>
      </c>
      <c r="B126" t="n">
        <v>250.32</v>
      </c>
      <c r="C126">
        <f>C114*CEILING(A126*1024/(C108*C109*MIN(4*1024*1024,A126*1024/(C108*C109))),1)+A126*1024*C112</f>
        <v/>
      </c>
      <c r="D126">
        <f>B126/C126</f>
        <v/>
      </c>
      <c r="E126" t="n">
        <v>3.14</v>
      </c>
      <c r="F126">
        <f>A126*1024/(C126*0.000001)/1000000000*C113</f>
        <v/>
      </c>
      <c r="G126">
        <f>E126/F126</f>
        <v/>
      </c>
    </row>
    <row r="127">
      <c r="A127" t="n">
        <v>1024</v>
      </c>
      <c r="B127" t="n">
        <v>271.37</v>
      </c>
      <c r="C127">
        <f>C114*CEILING(A127*1024/(C108*C109*MIN(4*1024*1024,A127*1024/(C108*C109))),1)+A127*1024*C112</f>
        <v/>
      </c>
      <c r="D127">
        <f>B127/C127</f>
        <v/>
      </c>
      <c r="E127" t="n">
        <v>5.8</v>
      </c>
      <c r="F127">
        <f>A127*1024/(C127*0.000001)/1000000000*C113</f>
        <v/>
      </c>
      <c r="G127">
        <f>E127/F127</f>
        <v/>
      </c>
    </row>
    <row r="128">
      <c r="A128" t="n">
        <v>2048</v>
      </c>
      <c r="B128" t="n">
        <v>301.11</v>
      </c>
      <c r="C128">
        <f>C114*CEILING(A128*1024/(C108*C109*MIN(4*1024*1024,A128*1024/(C108*C109))),1)+A128*1024*C112</f>
        <v/>
      </c>
      <c r="D128">
        <f>B128/C128</f>
        <v/>
      </c>
      <c r="E128" t="n">
        <v>10.45</v>
      </c>
      <c r="F128">
        <f>A128*1024/(C128*0.000001)/1000000000*C113</f>
        <v/>
      </c>
      <c r="G128">
        <f>E128/F128</f>
        <v/>
      </c>
    </row>
    <row r="129">
      <c r="A129" t="n">
        <v>4096</v>
      </c>
      <c r="B129" t="n">
        <v>321.2</v>
      </c>
      <c r="C129">
        <f>C114*CEILING(A129*1024/(C108*C109*MIN(4*1024*1024,A129*1024/(C108*C109))),1)+A129*1024*C112</f>
        <v/>
      </c>
      <c r="D129">
        <f>B129/C129</f>
        <v/>
      </c>
      <c r="E129" t="n">
        <v>19.59</v>
      </c>
      <c r="F129">
        <f>A129*1024/(C129*0.000001)/1000000000*C113</f>
        <v/>
      </c>
      <c r="G129">
        <f>E129/F129</f>
        <v/>
      </c>
    </row>
    <row r="130">
      <c r="A130" t="n">
        <v>8192</v>
      </c>
      <c r="B130" t="n">
        <v>438.37</v>
      </c>
      <c r="C130">
        <f>C114*CEILING(A130*1024/(C108*C109*MIN(4*1024*1024,A130*1024/(C108*C109))),1)+A130*1024*C112</f>
        <v/>
      </c>
      <c r="D130">
        <f>B130/C130</f>
        <v/>
      </c>
      <c r="E130" t="n">
        <v>28.7</v>
      </c>
      <c r="F130">
        <f>A130*1024/(C130*0.000001)/1000000000*C113</f>
        <v/>
      </c>
      <c r="G130">
        <f>E130/F130</f>
        <v/>
      </c>
    </row>
    <row r="131">
      <c r="A131" t="n">
        <v>16384</v>
      </c>
      <c r="B131" t="n">
        <v>657.09</v>
      </c>
      <c r="C131">
        <f>C114*CEILING(A131*1024/(C108*C109*MIN(4*1024*1024,A131*1024/(C108*C109))),1)+A131*1024*C112</f>
        <v/>
      </c>
      <c r="D131">
        <f>B131/C131</f>
        <v/>
      </c>
      <c r="E131" t="n">
        <v>38.3</v>
      </c>
      <c r="F131">
        <f>A131*1024/(C131*0.000001)/1000000000*C113</f>
        <v/>
      </c>
      <c r="G131">
        <f>E131/F131</f>
        <v/>
      </c>
    </row>
    <row r="132">
      <c r="A132" t="n">
        <v>32768</v>
      </c>
      <c r="B132" t="n">
        <v>1220.22</v>
      </c>
      <c r="C132">
        <f>C114*CEILING(A132*1024/(C108*C109*MIN(4*1024*1024,A132*1024/(C108*C109))),1)+A132*1024*C112</f>
        <v/>
      </c>
      <c r="D132">
        <f>B132/C132</f>
        <v/>
      </c>
      <c r="E132" t="n">
        <v>41.25</v>
      </c>
      <c r="F132">
        <f>A132*1024/(C132*0.000001)/1000000000*C113</f>
        <v/>
      </c>
      <c r="G132">
        <f>E132/F132</f>
        <v/>
      </c>
    </row>
    <row r="133">
      <c r="A133" t="n">
        <v>65536</v>
      </c>
      <c r="B133" t="n">
        <v>2340.61</v>
      </c>
      <c r="C133">
        <f>C114*CEILING(A133*1024/(C108*C109*MIN(4*1024*1024,A133*1024/(C108*C109))),1)+A133*1024*C112</f>
        <v/>
      </c>
      <c r="D133">
        <f>B133/C133</f>
        <v/>
      </c>
      <c r="E133" t="n">
        <v>43.01</v>
      </c>
      <c r="F133">
        <f>A133*1024/(C133*0.000001)/1000000000*C113</f>
        <v/>
      </c>
      <c r="G133">
        <f>E133/F133</f>
        <v/>
      </c>
    </row>
    <row r="134">
      <c r="A134" t="n">
        <v>131072</v>
      </c>
      <c r="B134" t="n">
        <v>4582.86</v>
      </c>
      <c r="C134">
        <f>C114*CEILING(A134*1024/(C108*C109*MIN(4*1024*1024,A134*1024/(C108*C109))),1)+A134*1024*C112</f>
        <v/>
      </c>
      <c r="D134">
        <f>B134/C134</f>
        <v/>
      </c>
      <c r="E134" t="n">
        <v>43.93</v>
      </c>
      <c r="F134">
        <f>A134*1024/(C134*0.000001)/1000000000*C113</f>
        <v/>
      </c>
      <c r="G134">
        <f>E134/F134</f>
        <v/>
      </c>
    </row>
    <row r="135">
      <c r="A135" t="n">
        <v>262144</v>
      </c>
      <c r="B135" t="n">
        <v>8890.209999999999</v>
      </c>
      <c r="C135">
        <f>C114*CEILING(A135*1024/(C108*C109*MIN(4*1024*1024,A135*1024/(C108*C109))),1)+A135*1024*C112</f>
        <v/>
      </c>
      <c r="D135">
        <f>B135/C135</f>
        <v/>
      </c>
      <c r="E135" t="n">
        <v>45.29</v>
      </c>
      <c r="F135">
        <f>A135*1024/(C135*0.000001)/1000000000*C113</f>
        <v/>
      </c>
      <c r="G135">
        <f>E135/F135</f>
        <v/>
      </c>
    </row>
    <row r="136">
      <c r="A136" t="n">
        <v>524288</v>
      </c>
      <c r="B136" t="n">
        <v>17544.6</v>
      </c>
      <c r="C136">
        <f>C114*CEILING(A136*1024/(C108*C109*MIN(4*1024*1024,A136*1024/(C108*C109))),1)+A136*1024*C112</f>
        <v/>
      </c>
      <c r="D136">
        <f>B136/C136</f>
        <v/>
      </c>
      <c r="E136" t="n">
        <v>45.9</v>
      </c>
      <c r="F136">
        <f>A136*1024/(C136*0.000001)/1000000000*C113</f>
        <v/>
      </c>
      <c r="G136">
        <f>E136/F136</f>
        <v/>
      </c>
    </row>
    <row r="137">
      <c r="A137" t="n">
        <v>1048576</v>
      </c>
      <c r="B137" t="n">
        <v>34844.2</v>
      </c>
      <c r="C137">
        <f>C114*CEILING(A137*1024/(C108*C109*MIN(4*1024*1024,A137*1024/(C108*C109))),1)+A137*1024*C112</f>
        <v/>
      </c>
      <c r="D137">
        <f>B137/C137</f>
        <v/>
      </c>
      <c r="E137" t="n">
        <v>46.22</v>
      </c>
      <c r="F137">
        <f>A137*1024/(C137*0.000001)/1000000000*C113</f>
        <v/>
      </c>
      <c r="G137">
        <f>E137/F137</f>
        <v/>
      </c>
    </row>
    <row r="138">
      <c r="A138" t="n">
        <v>2097152</v>
      </c>
      <c r="B138" t="n">
        <v>69478.60000000001</v>
      </c>
      <c r="C138">
        <f>C114*CEILING(A138*1024/(C108*C109*MIN(4*1024*1024,A138*1024/(C108*C109))),1)+A138*1024*C112</f>
        <v/>
      </c>
      <c r="D138">
        <f>B138/C138</f>
        <v/>
      </c>
      <c r="E138" t="n">
        <v>46.36</v>
      </c>
      <c r="F138">
        <f>A138*1024/(C138*0.000001)/1000000000*C113</f>
        <v/>
      </c>
      <c r="G138">
        <f>E138/F138</f>
        <v/>
      </c>
    </row>
    <row r="139">
      <c r="A139" t="n">
        <v>4194304</v>
      </c>
      <c r="B139" t="n">
        <v>138693</v>
      </c>
      <c r="C139">
        <f>C114*CEILING(A139*1024/(C108*C109*MIN(4*1024*1024,A139*1024/(C108*C109))),1)+A139*1024*C112</f>
        <v/>
      </c>
      <c r="D139">
        <f>B139/C139</f>
        <v/>
      </c>
      <c r="E139" t="n">
        <v>46.45</v>
      </c>
      <c r="F139">
        <f>A139*1024/(C139*0.000001)/1000000000*C113</f>
        <v/>
      </c>
      <c r="G139">
        <f>E139/F139</f>
        <v/>
      </c>
    </row>
    <row r="140"/>
    <row r="141">
      <c r="A141" t="inlineStr">
        <is>
          <t>Nodes: 4, Protocol: Simple, Channels: 16</t>
        </is>
      </c>
    </row>
    <row r="142">
      <c r="A142" t="inlineStr">
        <is>
          <t>Parameter</t>
        </is>
      </c>
      <c r="B142" t="inlineStr">
        <is>
          <t>Formula</t>
        </is>
      </c>
      <c r="C142" t="inlineStr">
        <is>
          <t>Value</t>
        </is>
      </c>
    </row>
    <row r="143">
      <c r="A143" t="inlineStr">
        <is>
          <t>n</t>
        </is>
      </c>
      <c r="B143" t="inlineStr">
        <is>
          <t>nodes on ring</t>
        </is>
      </c>
      <c r="C143" t="n">
        <v>4</v>
      </c>
    </row>
    <row r="144">
      <c r="A144" t="inlineStr">
        <is>
          <t>nch</t>
        </is>
      </c>
      <c r="B144" t="inlineStr">
        <is>
          <t>channels</t>
        </is>
      </c>
      <c r="C144" t="n">
        <v>16</v>
      </c>
    </row>
    <row r="145">
      <c r="A145" t="inlineStr">
        <is>
          <t>a</t>
        </is>
      </c>
      <c r="B145" t="inlineStr">
        <is>
          <t>RTT (us)</t>
        </is>
      </c>
      <c r="C145" t="n">
        <v>25.8107</v>
      </c>
    </row>
    <row r="146">
      <c r="A146" t="inlineStr">
        <is>
          <t>NIC_BW</t>
        </is>
      </c>
      <c r="B146" t="inlineStr">
        <is>
          <t>bytes/us</t>
        </is>
      </c>
      <c r="C146" t="n">
        <v>48750</v>
      </c>
    </row>
    <row r="147">
      <c r="A147" t="inlineStr">
        <is>
          <t>G</t>
        </is>
      </c>
      <c r="B147" t="inlineStr">
        <is>
          <t>2*(n-1)/(n*NIC_BW)</t>
        </is>
      </c>
      <c r="C147">
        <f>2*(C143-1)/(C143*C146)</f>
        <v/>
      </c>
    </row>
    <row r="148">
      <c r="A148" t="inlineStr">
        <is>
          <t>busbw_factor</t>
        </is>
      </c>
      <c r="B148" t="inlineStr">
        <is>
          <t>2*(n-1)/n</t>
        </is>
      </c>
      <c r="C148">
        <f>2*(C143-1)/C143</f>
        <v/>
      </c>
    </row>
    <row r="149">
      <c r="A149" t="inlineStr">
        <is>
          <t>fixed_per_step</t>
        </is>
      </c>
      <c r="B149" t="inlineStr">
        <is>
          <t>(2*n-2)*(a/2)</t>
        </is>
      </c>
      <c r="C149">
        <f>(2*C143-2)*(C145/2)</f>
        <v/>
      </c>
    </row>
    <row r="150"/>
    <row r="151">
      <c r="A151" t="inlineStr">
        <is>
          <t>size_KB</t>
        </is>
      </c>
      <c r="B151" t="inlineStr">
        <is>
          <t>Actual Time (us)</t>
        </is>
      </c>
      <c r="C151" t="inlineStr">
        <is>
          <t>Roofline Time (us)</t>
        </is>
      </c>
      <c r="D151" t="inlineStr">
        <is>
          <t>Actual/Roofline</t>
        </is>
      </c>
      <c r="E151" t="inlineStr">
        <is>
          <t>Actual busBW (GB/s)</t>
        </is>
      </c>
      <c r="F151" t="inlineStr">
        <is>
          <t>Roofline busBW (GB/s)</t>
        </is>
      </c>
      <c r="G151" t="inlineStr">
        <is>
          <t>Meas/Roof busBW</t>
        </is>
      </c>
    </row>
    <row r="152">
      <c r="A152" t="n">
        <v>1</v>
      </c>
      <c r="B152" t="n">
        <v>141.01</v>
      </c>
      <c r="C152">
        <f>C149*CEILING(A152*1024/(C143*C144*MIN(4*1024*1024,A152*1024/(C143*C144))),1)+A152*1024*C147</f>
        <v/>
      </c>
      <c r="D152">
        <f>B152/C152</f>
        <v/>
      </c>
      <c r="E152" t="n">
        <v>0.01</v>
      </c>
      <c r="F152">
        <f>A152*1024/(C152*0.000001)/1000000000*C148</f>
        <v/>
      </c>
      <c r="G152">
        <f>E152/F152</f>
        <v/>
      </c>
    </row>
    <row r="153">
      <c r="A153" t="n">
        <v>2</v>
      </c>
      <c r="B153" t="n">
        <v>140.84</v>
      </c>
      <c r="C153">
        <f>C149*CEILING(A153*1024/(C143*C144*MIN(4*1024*1024,A153*1024/(C143*C144))),1)+A153*1024*C147</f>
        <v/>
      </c>
      <c r="D153">
        <f>B153/C153</f>
        <v/>
      </c>
      <c r="E153" t="n">
        <v>0.02</v>
      </c>
      <c r="F153">
        <f>A153*1024/(C153*0.000001)/1000000000*C148</f>
        <v/>
      </c>
      <c r="G153">
        <f>E153/F153</f>
        <v/>
      </c>
    </row>
    <row r="154">
      <c r="A154" t="n">
        <v>4</v>
      </c>
      <c r="B154" t="n">
        <v>141.38</v>
      </c>
      <c r="C154">
        <f>C149*CEILING(A154*1024/(C143*C144*MIN(4*1024*1024,A154*1024/(C143*C144))),1)+A154*1024*C147</f>
        <v/>
      </c>
      <c r="D154">
        <f>B154/C154</f>
        <v/>
      </c>
      <c r="E154" t="n">
        <v>0.04</v>
      </c>
      <c r="F154">
        <f>A154*1024/(C154*0.000001)/1000000000*C148</f>
        <v/>
      </c>
      <c r="G154">
        <f>E154/F154</f>
        <v/>
      </c>
    </row>
    <row r="155">
      <c r="A155" t="n">
        <v>8</v>
      </c>
      <c r="B155" t="n">
        <v>142.62</v>
      </c>
      <c r="C155">
        <f>C149*CEILING(A155*1024/(C143*C144*MIN(4*1024*1024,A155*1024/(C143*C144))),1)+A155*1024*C147</f>
        <v/>
      </c>
      <c r="D155">
        <f>B155/C155</f>
        <v/>
      </c>
      <c r="E155" t="n">
        <v>0.09</v>
      </c>
      <c r="F155">
        <f>A155*1024/(C155*0.000001)/1000000000*C148</f>
        <v/>
      </c>
      <c r="G155">
        <f>E155/F155</f>
        <v/>
      </c>
    </row>
    <row r="156">
      <c r="A156" t="n">
        <v>16</v>
      </c>
      <c r="B156" t="n">
        <v>148.79</v>
      </c>
      <c r="C156">
        <f>C149*CEILING(A156*1024/(C143*C144*MIN(4*1024*1024,A156*1024/(C143*C144))),1)+A156*1024*C147</f>
        <v/>
      </c>
      <c r="D156">
        <f>B156/C156</f>
        <v/>
      </c>
      <c r="E156" t="n">
        <v>0.17</v>
      </c>
      <c r="F156">
        <f>A156*1024/(C156*0.000001)/1000000000*C148</f>
        <v/>
      </c>
      <c r="G156">
        <f>E156/F156</f>
        <v/>
      </c>
    </row>
    <row r="157">
      <c r="A157" t="n">
        <v>32</v>
      </c>
      <c r="B157" t="n">
        <v>161.15</v>
      </c>
      <c r="C157">
        <f>C149*CEILING(A157*1024/(C143*C144*MIN(4*1024*1024,A157*1024/(C143*C144))),1)+A157*1024*C147</f>
        <v/>
      </c>
      <c r="D157">
        <f>B157/C157</f>
        <v/>
      </c>
      <c r="E157" t="n">
        <v>0.31</v>
      </c>
      <c r="F157">
        <f>A157*1024/(C157*0.000001)/1000000000*C148</f>
        <v/>
      </c>
      <c r="G157">
        <f>E157/F157</f>
        <v/>
      </c>
    </row>
    <row r="158">
      <c r="A158" t="n">
        <v>64</v>
      </c>
      <c r="B158" t="n">
        <v>168.26</v>
      </c>
      <c r="C158">
        <f>C149*CEILING(A158*1024/(C143*C144*MIN(4*1024*1024,A158*1024/(C143*C144))),1)+A158*1024*C147</f>
        <v/>
      </c>
      <c r="D158">
        <f>B158/C158</f>
        <v/>
      </c>
      <c r="E158" t="n">
        <v>0.58</v>
      </c>
      <c r="F158">
        <f>A158*1024/(C158*0.000001)/1000000000*C148</f>
        <v/>
      </c>
      <c r="G158">
        <f>E158/F158</f>
        <v/>
      </c>
    </row>
    <row r="159">
      <c r="A159" t="n">
        <v>128</v>
      </c>
      <c r="B159" t="n">
        <v>184.35</v>
      </c>
      <c r="C159">
        <f>C149*CEILING(A159*1024/(C143*C144*MIN(4*1024*1024,A159*1024/(C143*C144))),1)+A159*1024*C147</f>
        <v/>
      </c>
      <c r="D159">
        <f>B159/C159</f>
        <v/>
      </c>
      <c r="E159" t="n">
        <v>1.07</v>
      </c>
      <c r="F159">
        <f>A159*1024/(C159*0.000001)/1000000000*C148</f>
        <v/>
      </c>
      <c r="G159">
        <f>E159/F159</f>
        <v/>
      </c>
    </row>
    <row r="160">
      <c r="A160" t="n">
        <v>256</v>
      </c>
      <c r="B160" t="n">
        <v>227.85</v>
      </c>
      <c r="C160">
        <f>C149*CEILING(A160*1024/(C143*C144*MIN(4*1024*1024,A160*1024/(C143*C144))),1)+A160*1024*C147</f>
        <v/>
      </c>
      <c r="D160">
        <f>B160/C160</f>
        <v/>
      </c>
      <c r="E160" t="n">
        <v>1.73</v>
      </c>
      <c r="F160">
        <f>A160*1024/(C160*0.000001)/1000000000*C148</f>
        <v/>
      </c>
      <c r="G160">
        <f>E160/F160</f>
        <v/>
      </c>
    </row>
    <row r="161">
      <c r="A161" t="n">
        <v>512</v>
      </c>
      <c r="B161" t="n">
        <v>353.67</v>
      </c>
      <c r="C161">
        <f>C149*CEILING(A161*1024/(C143*C144*MIN(4*1024*1024,A161*1024/(C143*C144))),1)+A161*1024*C147</f>
        <v/>
      </c>
      <c r="D161">
        <f>B161/C161</f>
        <v/>
      </c>
      <c r="E161" t="n">
        <v>2.22</v>
      </c>
      <c r="F161">
        <f>A161*1024/(C161*0.000001)/1000000000*C148</f>
        <v/>
      </c>
      <c r="G161">
        <f>E161/F161</f>
        <v/>
      </c>
    </row>
    <row r="162">
      <c r="A162" t="n">
        <v>1024</v>
      </c>
      <c r="B162" t="n">
        <v>357.18</v>
      </c>
      <c r="C162">
        <f>C149*CEILING(A162*1024/(C143*C144*MIN(4*1024*1024,A162*1024/(C143*C144))),1)+A162*1024*C147</f>
        <v/>
      </c>
      <c r="D162">
        <f>B162/C162</f>
        <v/>
      </c>
      <c r="E162" t="n">
        <v>4.4</v>
      </c>
      <c r="F162">
        <f>A162*1024/(C162*0.000001)/1000000000*C148</f>
        <v/>
      </c>
      <c r="G162">
        <f>E162/F162</f>
        <v/>
      </c>
    </row>
    <row r="163">
      <c r="A163" t="n">
        <v>2048</v>
      </c>
      <c r="B163" t="n">
        <v>373.77</v>
      </c>
      <c r="C163">
        <f>C149*CEILING(A163*1024/(C143*C144*MIN(4*1024*1024,A163*1024/(C143*C144))),1)+A163*1024*C147</f>
        <v/>
      </c>
      <c r="D163">
        <f>B163/C163</f>
        <v/>
      </c>
      <c r="E163" t="n">
        <v>8.42</v>
      </c>
      <c r="F163">
        <f>A163*1024/(C163*0.000001)/1000000000*C148</f>
        <v/>
      </c>
      <c r="G163">
        <f>E163/F163</f>
        <v/>
      </c>
    </row>
    <row r="164">
      <c r="A164" t="n">
        <v>4096</v>
      </c>
      <c r="B164" t="n">
        <v>409.73</v>
      </c>
      <c r="C164">
        <f>C149*CEILING(A164*1024/(C143*C144*MIN(4*1024*1024,A164*1024/(C143*C144))),1)+A164*1024*C147</f>
        <v/>
      </c>
      <c r="D164">
        <f>B164/C164</f>
        <v/>
      </c>
      <c r="E164" t="n">
        <v>15.36</v>
      </c>
      <c r="F164">
        <f>A164*1024/(C164*0.000001)/1000000000*C148</f>
        <v/>
      </c>
      <c r="G164">
        <f>E164/F164</f>
        <v/>
      </c>
    </row>
    <row r="165">
      <c r="A165" t="n">
        <v>8192</v>
      </c>
      <c r="B165" t="n">
        <v>448.05</v>
      </c>
      <c r="C165">
        <f>C149*CEILING(A165*1024/(C143*C144*MIN(4*1024*1024,A165*1024/(C143*C144))),1)+A165*1024*C147</f>
        <v/>
      </c>
      <c r="D165">
        <f>B165/C165</f>
        <v/>
      </c>
      <c r="E165" t="n">
        <v>28.08</v>
      </c>
      <c r="F165">
        <f>A165*1024/(C165*0.000001)/1000000000*C148</f>
        <v/>
      </c>
      <c r="G165">
        <f>E165/F165</f>
        <v/>
      </c>
    </row>
    <row r="166">
      <c r="A166" t="n">
        <v>16384</v>
      </c>
      <c r="B166" t="n">
        <v>681.78</v>
      </c>
      <c r="C166">
        <f>C149*CEILING(A166*1024/(C143*C144*MIN(4*1024*1024,A166*1024/(C143*C144))),1)+A166*1024*C147</f>
        <v/>
      </c>
      <c r="D166">
        <f>B166/C166</f>
        <v/>
      </c>
      <c r="E166" t="n">
        <v>36.91</v>
      </c>
      <c r="F166">
        <f>A166*1024/(C166*0.000001)/1000000000*C148</f>
        <v/>
      </c>
      <c r="G166">
        <f>E166/F166</f>
        <v/>
      </c>
    </row>
    <row r="167">
      <c r="A167" t="n">
        <v>32768</v>
      </c>
      <c r="B167" t="n">
        <v>1222.12</v>
      </c>
      <c r="C167">
        <f>C149*CEILING(A167*1024/(C143*C144*MIN(4*1024*1024,A167*1024/(C143*C144))),1)+A167*1024*C147</f>
        <v/>
      </c>
      <c r="D167">
        <f>B167/C167</f>
        <v/>
      </c>
      <c r="E167" t="n">
        <v>41.18</v>
      </c>
      <c r="F167">
        <f>A167*1024/(C167*0.000001)/1000000000*C148</f>
        <v/>
      </c>
      <c r="G167">
        <f>E167/F167</f>
        <v/>
      </c>
    </row>
    <row r="168">
      <c r="A168" t="n">
        <v>65536</v>
      </c>
      <c r="B168" t="n">
        <v>2326.72</v>
      </c>
      <c r="C168">
        <f>C149*CEILING(A168*1024/(C143*C144*MIN(4*1024*1024,A168*1024/(C143*C144))),1)+A168*1024*C147</f>
        <v/>
      </c>
      <c r="D168">
        <f>B168/C168</f>
        <v/>
      </c>
      <c r="E168" t="n">
        <v>43.26</v>
      </c>
      <c r="F168">
        <f>A168*1024/(C168*0.000001)/1000000000*C148</f>
        <v/>
      </c>
      <c r="G168">
        <f>E168/F168</f>
        <v/>
      </c>
    </row>
    <row r="169">
      <c r="A169" t="n">
        <v>131072</v>
      </c>
      <c r="B169" t="n">
        <v>4534.49</v>
      </c>
      <c r="C169">
        <f>C149*CEILING(A169*1024/(C143*C144*MIN(4*1024*1024,A169*1024/(C143*C144))),1)+A169*1024*C147</f>
        <v/>
      </c>
      <c r="D169">
        <f>B169/C169</f>
        <v/>
      </c>
      <c r="E169" t="n">
        <v>44.4</v>
      </c>
      <c r="F169">
        <f>A169*1024/(C169*0.000001)/1000000000*C148</f>
        <v/>
      </c>
      <c r="G169">
        <f>E169/F169</f>
        <v/>
      </c>
    </row>
    <row r="170">
      <c r="A170" t="n">
        <v>262144</v>
      </c>
      <c r="B170" t="n">
        <v>8907.370000000001</v>
      </c>
      <c r="C170">
        <f>C149*CEILING(A170*1024/(C143*C144*MIN(4*1024*1024,A170*1024/(C143*C144))),1)+A170*1024*C147</f>
        <v/>
      </c>
      <c r="D170">
        <f>B170/C170</f>
        <v/>
      </c>
      <c r="E170" t="n">
        <v>45.2</v>
      </c>
      <c r="F170">
        <f>A170*1024/(C170*0.000001)/1000000000*C148</f>
        <v/>
      </c>
      <c r="G170">
        <f>E170/F170</f>
        <v/>
      </c>
    </row>
    <row r="171">
      <c r="A171" t="n">
        <v>524288</v>
      </c>
      <c r="B171" t="n">
        <v>17550.7</v>
      </c>
      <c r="C171">
        <f>C149*CEILING(A171*1024/(C143*C144*MIN(4*1024*1024,A171*1024/(C143*C144))),1)+A171*1024*C147</f>
        <v/>
      </c>
      <c r="D171">
        <f>B171/C171</f>
        <v/>
      </c>
      <c r="E171" t="n">
        <v>45.88</v>
      </c>
      <c r="F171">
        <f>A171*1024/(C171*0.000001)/1000000000*C148</f>
        <v/>
      </c>
      <c r="G171">
        <f>E171/F171</f>
        <v/>
      </c>
    </row>
    <row r="172">
      <c r="A172" t="n">
        <v>1048576</v>
      </c>
      <c r="B172" t="n">
        <v>34845.1</v>
      </c>
      <c r="C172">
        <f>C149*CEILING(A172*1024/(C143*C144*MIN(4*1024*1024,A172*1024/(C143*C144))),1)+A172*1024*C147</f>
        <v/>
      </c>
      <c r="D172">
        <f>B172/C172</f>
        <v/>
      </c>
      <c r="E172" t="n">
        <v>46.22</v>
      </c>
      <c r="F172">
        <f>A172*1024/(C172*0.000001)/1000000000*C148</f>
        <v/>
      </c>
      <c r="G172">
        <f>E172/F172</f>
        <v/>
      </c>
    </row>
    <row r="173">
      <c r="A173" t="n">
        <v>2097152</v>
      </c>
      <c r="B173" t="n">
        <v>69428.5</v>
      </c>
      <c r="C173">
        <f>C149*CEILING(A173*1024/(C143*C144*MIN(4*1024*1024,A173*1024/(C143*C144))),1)+A173*1024*C147</f>
        <v/>
      </c>
      <c r="D173">
        <f>B173/C173</f>
        <v/>
      </c>
      <c r="E173" t="n">
        <v>46.4</v>
      </c>
      <c r="F173">
        <f>A173*1024/(C173*0.000001)/1000000000*C148</f>
        <v/>
      </c>
      <c r="G173">
        <f>E173/F173</f>
        <v/>
      </c>
    </row>
    <row r="174">
      <c r="A174" t="n">
        <v>4194304</v>
      </c>
      <c r="B174" t="n">
        <v>138665</v>
      </c>
      <c r="C174">
        <f>C149*CEILING(A174*1024/(C143*C144*MIN(4*1024*1024,A174*1024/(C143*C144))),1)+A174*1024*C147</f>
        <v/>
      </c>
      <c r="D174">
        <f>B174/C174</f>
        <v/>
      </c>
      <c r="E174" t="n">
        <v>46.46</v>
      </c>
      <c r="F174">
        <f>A174*1024/(C174*0.000001)/1000000000*C148</f>
        <v/>
      </c>
      <c r="G174">
        <f>E174/F174</f>
        <v/>
      </c>
    </row>
    <row r="175"/>
    <row r="176">
      <c r="A176" t="inlineStr">
        <is>
          <t>Nodes: 4, Protocol: LL, Channels: 1</t>
        </is>
      </c>
    </row>
    <row r="177">
      <c r="A177" t="inlineStr">
        <is>
          <t>Parameter</t>
        </is>
      </c>
      <c r="B177" t="inlineStr">
        <is>
          <t>Formula</t>
        </is>
      </c>
      <c r="C177" t="inlineStr">
        <is>
          <t>Value</t>
        </is>
      </c>
    </row>
    <row r="178">
      <c r="A178" t="inlineStr">
        <is>
          <t>n</t>
        </is>
      </c>
      <c r="B178" t="inlineStr">
        <is>
          <t>nodes on ring</t>
        </is>
      </c>
      <c r="C178" t="n">
        <v>4</v>
      </c>
    </row>
    <row r="179">
      <c r="A179" t="inlineStr">
        <is>
          <t>nch</t>
        </is>
      </c>
      <c r="B179" t="inlineStr">
        <is>
          <t>channels</t>
        </is>
      </c>
      <c r="C179" t="n">
        <v>1</v>
      </c>
    </row>
    <row r="180">
      <c r="A180" t="inlineStr">
        <is>
          <t>a</t>
        </is>
      </c>
      <c r="B180" t="inlineStr">
        <is>
          <t>RTT (us)</t>
        </is>
      </c>
      <c r="C180" t="n">
        <v>25.8107</v>
      </c>
    </row>
    <row r="181">
      <c r="A181" t="inlineStr">
        <is>
          <t>NIC_BW</t>
        </is>
      </c>
      <c r="B181" t="inlineStr">
        <is>
          <t>bytes/us</t>
        </is>
      </c>
      <c r="C181" t="n">
        <v>48750</v>
      </c>
    </row>
    <row r="182">
      <c r="A182" t="inlineStr">
        <is>
          <t>NIC_BW_single_efa</t>
        </is>
      </c>
      <c r="B182" t="inlineStr">
        <is>
          <t>50/2*1e3*0.975</t>
        </is>
      </c>
      <c r="C182" t="n">
        <v>24375</v>
      </c>
    </row>
    <row r="183">
      <c r="A183" t="inlineStr">
        <is>
          <t>chunk_size</t>
        </is>
      </c>
      <c r="B183" t="inlineStr">
        <is>
          <t>32KB (bytes)</t>
        </is>
      </c>
      <c r="C183" t="n">
        <v>32768</v>
      </c>
    </row>
    <row r="184">
      <c r="A184" t="inlineStr">
        <is>
          <t>G</t>
        </is>
      </c>
      <c r="B184" t="inlineStr">
        <is>
          <t>2*2*(n-1)/(n*NIC_BW)</t>
        </is>
      </c>
      <c r="C184">
        <f>2*2*(C178-1)/(C178*C181)</f>
        <v/>
      </c>
    </row>
    <row r="185">
      <c r="A185" t="inlineStr">
        <is>
          <t>busbw_factor</t>
        </is>
      </c>
      <c r="B185" t="inlineStr">
        <is>
          <t>2*(n-1)/n</t>
        </is>
      </c>
      <c r="C185">
        <f>2*(C178-1)/C178</f>
        <v/>
      </c>
    </row>
    <row r="186">
      <c r="A186" t="inlineStr">
        <is>
          <t>fixed_per_step</t>
        </is>
      </c>
      <c r="B186" t="inlineStr">
        <is>
          <t>2*(n-1)*a/2</t>
        </is>
      </c>
      <c r="C186">
        <f>2*(C178-1)*C180/2</f>
        <v/>
      </c>
    </row>
    <row r="187"/>
    <row r="188">
      <c r="A188" t="inlineStr">
        <is>
          <t>size_KB</t>
        </is>
      </c>
      <c r="B188" t="inlineStr">
        <is>
          <t>Actual Time (us)</t>
        </is>
      </c>
      <c r="C188" t="inlineStr">
        <is>
          <t>Roofline Time (us)</t>
        </is>
      </c>
      <c r="D188" t="inlineStr">
        <is>
          <t>Actual/Roofline</t>
        </is>
      </c>
      <c r="E188" t="inlineStr">
        <is>
          <t>Actual busBW (GB/s)</t>
        </is>
      </c>
      <c r="F188" t="inlineStr">
        <is>
          <t>Roofline busBW (GB/s)</t>
        </is>
      </c>
      <c r="G188" t="inlineStr">
        <is>
          <t>Meas/Roof busBW</t>
        </is>
      </c>
    </row>
    <row r="189">
      <c r="A189" t="n">
        <v>1</v>
      </c>
      <c r="B189" t="n">
        <v>99.3</v>
      </c>
      <c r="C189">
        <f>C186*CEILING(A189*1024/(C179*C183*C178),1)+A189*1024*C184</f>
        <v/>
      </c>
      <c r="D189">
        <f>B189/C189</f>
        <v/>
      </c>
      <c r="E189" t="n">
        <v>0.02</v>
      </c>
      <c r="F189">
        <f>A189*1024/(C189*0.000001)/1000000000*C185</f>
        <v/>
      </c>
      <c r="G189">
        <f>E189/F189</f>
        <v/>
      </c>
    </row>
    <row r="190">
      <c r="A190" t="n">
        <v>2</v>
      </c>
      <c r="B190" t="n">
        <v>98.42</v>
      </c>
      <c r="C190">
        <f>C186*CEILING(A190*1024/(C179*C183*C178),1)+A190*1024*C184</f>
        <v/>
      </c>
      <c r="D190">
        <f>B190/C190</f>
        <v/>
      </c>
      <c r="E190" t="n">
        <v>0.03</v>
      </c>
      <c r="F190">
        <f>A190*1024/(C190*0.000001)/1000000000*C185</f>
        <v/>
      </c>
      <c r="G190">
        <f>E190/F190</f>
        <v/>
      </c>
    </row>
    <row r="191">
      <c r="A191" t="n">
        <v>4</v>
      </c>
      <c r="B191" t="n">
        <v>99.56</v>
      </c>
      <c r="C191">
        <f>C186*CEILING(A191*1024/(C179*C183*C178),1)+A191*1024*C184</f>
        <v/>
      </c>
      <c r="D191">
        <f>B191/C191</f>
        <v/>
      </c>
      <c r="E191" t="n">
        <v>0.06</v>
      </c>
      <c r="F191">
        <f>A191*1024/(C191*0.000001)/1000000000*C185</f>
        <v/>
      </c>
      <c r="G191">
        <f>E191/F191</f>
        <v/>
      </c>
    </row>
    <row r="192">
      <c r="A192" t="n">
        <v>8</v>
      </c>
      <c r="B192" t="n">
        <v>104.64</v>
      </c>
      <c r="C192">
        <f>C186*CEILING(A192*1024/(C179*C183*C178),1)+A192*1024*C184</f>
        <v/>
      </c>
      <c r="D192">
        <f>B192/C192</f>
        <v/>
      </c>
      <c r="E192" t="n">
        <v>0.12</v>
      </c>
      <c r="F192">
        <f>A192*1024/(C192*0.000001)/1000000000*C185</f>
        <v/>
      </c>
      <c r="G192">
        <f>E192/F192</f>
        <v/>
      </c>
    </row>
    <row r="193">
      <c r="A193" t="n">
        <v>16</v>
      </c>
      <c r="B193" t="n">
        <v>115.74</v>
      </c>
      <c r="C193">
        <f>C186*CEILING(A193*1024/(C179*C183*C178),1)+A193*1024*C184</f>
        <v/>
      </c>
      <c r="D193">
        <f>B193/C193</f>
        <v/>
      </c>
      <c r="E193" t="n">
        <v>0.21</v>
      </c>
      <c r="F193">
        <f>A193*1024/(C193*0.000001)/1000000000*C185</f>
        <v/>
      </c>
      <c r="G193">
        <f>E193/F193</f>
        <v/>
      </c>
    </row>
    <row r="194">
      <c r="A194" t="n">
        <v>32</v>
      </c>
      <c r="B194" t="n">
        <v>124.67</v>
      </c>
      <c r="C194">
        <f>C186*CEILING(A194*1024/(C179*C183*C178),1)+A194*1024*C184</f>
        <v/>
      </c>
      <c r="D194">
        <f>B194/C194</f>
        <v/>
      </c>
      <c r="E194" t="n">
        <v>0.39</v>
      </c>
      <c r="F194">
        <f>A194*1024/(C194*0.000001)/1000000000*C185</f>
        <v/>
      </c>
      <c r="G194">
        <f>E194/F194</f>
        <v/>
      </c>
    </row>
    <row r="195">
      <c r="A195" t="n">
        <v>64</v>
      </c>
      <c r="B195" t="n">
        <v>136.55</v>
      </c>
      <c r="C195">
        <f>C186*CEILING(A195*1024/(C179*C183*C178),1)+A195*1024*C184</f>
        <v/>
      </c>
      <c r="D195">
        <f>B195/C195</f>
        <v/>
      </c>
      <c r="E195" t="n">
        <v>0.72</v>
      </c>
      <c r="F195">
        <f>A195*1024/(C195*0.000001)/1000000000*C185</f>
        <v/>
      </c>
      <c r="G195">
        <f>E195/F195</f>
        <v/>
      </c>
    </row>
    <row r="196">
      <c r="A196" t="n">
        <v>128</v>
      </c>
      <c r="B196" t="n">
        <v>158.61</v>
      </c>
      <c r="C196">
        <f>C186*CEILING(A196*1024/(C179*C183*C178),1)+A196*1024*C184</f>
        <v/>
      </c>
      <c r="D196">
        <f>B196/C196</f>
        <v/>
      </c>
      <c r="E196" t="n">
        <v>1.24</v>
      </c>
      <c r="F196">
        <f>A196*1024/(C196*0.000001)/1000000000*C185</f>
        <v/>
      </c>
      <c r="G196">
        <f>E196/F196</f>
        <v/>
      </c>
    </row>
    <row r="197">
      <c r="A197" t="n">
        <v>256</v>
      </c>
      <c r="B197" t="n">
        <v>307.64</v>
      </c>
      <c r="C197">
        <f>C186*CEILING(A197*1024/(C179*C183*C178),1)+A197*1024*C184</f>
        <v/>
      </c>
      <c r="D197">
        <f>B197/C197</f>
        <v/>
      </c>
      <c r="E197" t="n">
        <v>1.28</v>
      </c>
      <c r="F197">
        <f>A197*1024/(C197*0.000001)/1000000000*C185</f>
        <v/>
      </c>
      <c r="G197">
        <f>E197/F197</f>
        <v/>
      </c>
    </row>
    <row r="198">
      <c r="A198" t="n">
        <v>512</v>
      </c>
      <c r="B198" t="n">
        <v>611.65</v>
      </c>
      <c r="C198">
        <f>C186*CEILING(A198*1024/(C179*C183*C178),1)+A198*1024*C184</f>
        <v/>
      </c>
      <c r="D198">
        <f>B198/C198</f>
        <v/>
      </c>
      <c r="E198" t="n">
        <v>1.29</v>
      </c>
      <c r="F198">
        <f>A198*1024/(C198*0.000001)/1000000000*C185</f>
        <v/>
      </c>
      <c r="G198">
        <f>E198/F198</f>
        <v/>
      </c>
    </row>
    <row r="199">
      <c r="A199" t="n">
        <v>1024</v>
      </c>
      <c r="B199" t="n">
        <v>1211.73</v>
      </c>
      <c r="C199">
        <f>C186*CEILING(A199*1024/(C179*C183*C178),1)+A199*1024*C184</f>
        <v/>
      </c>
      <c r="D199">
        <f>B199/C199</f>
        <v/>
      </c>
      <c r="E199" t="n">
        <v>1.3</v>
      </c>
      <c r="F199">
        <f>A199*1024/(C199*0.000001)/1000000000*C185</f>
        <v/>
      </c>
      <c r="G199">
        <f>E199/F199</f>
        <v/>
      </c>
    </row>
    <row r="200">
      <c r="A200" t="n">
        <v>2048</v>
      </c>
      <c r="B200" t="n">
        <v>2409.27</v>
      </c>
      <c r="C200">
        <f>C186*CEILING(A200*1024/(C179*C183*C178),1)+A200*1024*C184</f>
        <v/>
      </c>
      <c r="D200">
        <f>B200/C200</f>
        <v/>
      </c>
      <c r="E200" t="n">
        <v>1.31</v>
      </c>
      <c r="F200">
        <f>A200*1024/(C200*0.000001)/1000000000*C185</f>
        <v/>
      </c>
      <c r="G200">
        <f>E200/F200</f>
        <v/>
      </c>
    </row>
    <row r="201">
      <c r="A201" t="n">
        <v>4096</v>
      </c>
      <c r="B201" t="n">
        <v>4808.78</v>
      </c>
      <c r="C201">
        <f>C186*CEILING(A201*1024/(C179*C183*C178),1)+A201*1024*C184</f>
        <v/>
      </c>
      <c r="D201">
        <f>B201/C201</f>
        <v/>
      </c>
      <c r="E201" t="n">
        <v>1.31</v>
      </c>
      <c r="F201">
        <f>A201*1024/(C201*0.000001)/1000000000*C185</f>
        <v/>
      </c>
      <c r="G201">
        <f>E201/F201</f>
        <v/>
      </c>
    </row>
    <row r="202">
      <c r="A202" t="n">
        <v>8192</v>
      </c>
      <c r="B202" t="n">
        <v>9603.32</v>
      </c>
      <c r="C202">
        <f>C186*CEILING(A202*1024/(C179*C183*C178),1)+A202*1024*C184</f>
        <v/>
      </c>
      <c r="D202">
        <f>B202/C202</f>
        <v/>
      </c>
      <c r="E202" t="n">
        <v>1.31</v>
      </c>
      <c r="F202">
        <f>A202*1024/(C202*0.000001)/1000000000*C185</f>
        <v/>
      </c>
      <c r="G202">
        <f>E202/F202</f>
        <v/>
      </c>
    </row>
    <row r="203">
      <c r="A203" t="n">
        <v>16384</v>
      </c>
      <c r="B203" t="n">
        <v>19198.8</v>
      </c>
      <c r="C203">
        <f>C186*CEILING(A203*1024/(C179*C183*C178),1)+A203*1024*C184</f>
        <v/>
      </c>
      <c r="D203">
        <f>B203/C203</f>
        <v/>
      </c>
      <c r="E203" t="n">
        <v>1.31</v>
      </c>
      <c r="F203">
        <f>A203*1024/(C203*0.000001)/1000000000*C185</f>
        <v/>
      </c>
      <c r="G203">
        <f>E203/F203</f>
        <v/>
      </c>
    </row>
    <row r="204">
      <c r="A204" t="n">
        <v>32768</v>
      </c>
      <c r="B204" t="n">
        <v>38399</v>
      </c>
      <c r="C204">
        <f>C186*CEILING(A204*1024/(C179*C183*C178),1)+A204*1024*C184</f>
        <v/>
      </c>
      <c r="D204">
        <f>B204/C204</f>
        <v/>
      </c>
      <c r="E204" t="n">
        <v>1.31</v>
      </c>
      <c r="F204">
        <f>A204*1024/(C204*0.000001)/1000000000*C185</f>
        <v/>
      </c>
      <c r="G204">
        <f>E204/F204</f>
        <v/>
      </c>
    </row>
    <row r="205">
      <c r="A205" t="n">
        <v>65536</v>
      </c>
      <c r="B205" t="n">
        <v>76673.39999999999</v>
      </c>
      <c r="C205">
        <f>C186*CEILING(A205*1024/(C179*C183*C178),1)+A205*1024*C184</f>
        <v/>
      </c>
      <c r="D205">
        <f>B205/C205</f>
        <v/>
      </c>
      <c r="E205" t="n">
        <v>1.31</v>
      </c>
      <c r="F205">
        <f>A205*1024/(C205*0.000001)/1000000000*C185</f>
        <v/>
      </c>
      <c r="G205">
        <f>E205/F205</f>
        <v/>
      </c>
    </row>
    <row r="206">
      <c r="A206" t="n">
        <v>131072</v>
      </c>
      <c r="B206" t="n">
        <v>153610</v>
      </c>
      <c r="C206">
        <f>C186*CEILING(A206*1024/(C179*C183*C178),1)+A206*1024*C184</f>
        <v/>
      </c>
      <c r="D206">
        <f>B206/C206</f>
        <v/>
      </c>
      <c r="E206" t="n">
        <v>1.31</v>
      </c>
      <c r="F206">
        <f>A206*1024/(C206*0.000001)/1000000000*C185</f>
        <v/>
      </c>
      <c r="G206">
        <f>E206/F206</f>
        <v/>
      </c>
    </row>
    <row r="207">
      <c r="A207" t="n">
        <v>262144</v>
      </c>
      <c r="B207" t="n">
        <v>307127</v>
      </c>
      <c r="C207">
        <f>C186*CEILING(A207*1024/(C179*C183*C178),1)+A207*1024*C184</f>
        <v/>
      </c>
      <c r="D207">
        <f>B207/C207</f>
        <v/>
      </c>
      <c r="E207" t="n">
        <v>1.31</v>
      </c>
      <c r="F207">
        <f>A207*1024/(C207*0.000001)/1000000000*C185</f>
        <v/>
      </c>
      <c r="G207">
        <f>E207/F207</f>
        <v/>
      </c>
    </row>
    <row r="208">
      <c r="A208" t="n">
        <v>524288</v>
      </c>
      <c r="B208" t="n">
        <v>613850</v>
      </c>
      <c r="C208">
        <f>C186*CEILING(A208*1024/(C179*C183*C178),1)+A208*1024*C184</f>
        <v/>
      </c>
      <c r="D208">
        <f>B208/C208</f>
        <v/>
      </c>
      <c r="E208" t="n">
        <v>1.31</v>
      </c>
      <c r="F208">
        <f>A208*1024/(C208*0.000001)/1000000000*C185</f>
        <v/>
      </c>
      <c r="G208">
        <f>E208/F208</f>
        <v/>
      </c>
    </row>
    <row r="209">
      <c r="A209" t="n">
        <v>1048576</v>
      </c>
      <c r="B209" t="n">
        <v>1230339</v>
      </c>
      <c r="C209">
        <f>C186*CEILING(A209*1024/(C179*C183*C178),1)+A209*1024*C184</f>
        <v/>
      </c>
      <c r="D209">
        <f>B209/C209</f>
        <v/>
      </c>
      <c r="E209" t="n">
        <v>1.31</v>
      </c>
      <c r="F209">
        <f>A209*1024/(C209*0.000001)/1000000000*C185</f>
        <v/>
      </c>
      <c r="G209">
        <f>E209/F209</f>
        <v/>
      </c>
    </row>
    <row r="210"/>
    <row r="211">
      <c r="A211" t="inlineStr">
        <is>
          <t>Nodes: 4, Protocol: LL, Channels: 2</t>
        </is>
      </c>
    </row>
    <row r="212">
      <c r="A212" t="inlineStr">
        <is>
          <t>Parameter</t>
        </is>
      </c>
      <c r="B212" t="inlineStr">
        <is>
          <t>Formula</t>
        </is>
      </c>
      <c r="C212" t="inlineStr">
        <is>
          <t>Value</t>
        </is>
      </c>
    </row>
    <row r="213">
      <c r="A213" t="inlineStr">
        <is>
          <t>n</t>
        </is>
      </c>
      <c r="B213" t="inlineStr">
        <is>
          <t>nodes on ring</t>
        </is>
      </c>
      <c r="C213" t="n">
        <v>4</v>
      </c>
    </row>
    <row r="214">
      <c r="A214" t="inlineStr">
        <is>
          <t>nch</t>
        </is>
      </c>
      <c r="B214" t="inlineStr">
        <is>
          <t>channels</t>
        </is>
      </c>
      <c r="C214" t="n">
        <v>2</v>
      </c>
    </row>
    <row r="215">
      <c r="A215" t="inlineStr">
        <is>
          <t>a</t>
        </is>
      </c>
      <c r="B215" t="inlineStr">
        <is>
          <t>RTT (us)</t>
        </is>
      </c>
      <c r="C215" t="n">
        <v>25.8107</v>
      </c>
    </row>
    <row r="216">
      <c r="A216" t="inlineStr">
        <is>
          <t>NIC_BW</t>
        </is>
      </c>
      <c r="B216" t="inlineStr">
        <is>
          <t>bytes/us</t>
        </is>
      </c>
      <c r="C216" t="n">
        <v>48750</v>
      </c>
    </row>
    <row r="217">
      <c r="A217" t="inlineStr">
        <is>
          <t>NIC_BW_single_efa</t>
        </is>
      </c>
      <c r="B217" t="inlineStr">
        <is>
          <t>50/2*1e3*0.975</t>
        </is>
      </c>
      <c r="C217" t="n">
        <v>24375</v>
      </c>
    </row>
    <row r="218">
      <c r="A218" t="inlineStr">
        <is>
          <t>chunk_size</t>
        </is>
      </c>
      <c r="B218" t="inlineStr">
        <is>
          <t>32KB (bytes)</t>
        </is>
      </c>
      <c r="C218" t="n">
        <v>32768</v>
      </c>
    </row>
    <row r="219">
      <c r="A219" t="inlineStr">
        <is>
          <t>G</t>
        </is>
      </c>
      <c r="B219" t="inlineStr">
        <is>
          <t>2*2*(n-1)/(n*NIC_BW)</t>
        </is>
      </c>
      <c r="C219">
        <f>2*2*(C213-1)/(C213*C216)</f>
        <v/>
      </c>
    </row>
    <row r="220">
      <c r="A220" t="inlineStr">
        <is>
          <t>busbw_factor</t>
        </is>
      </c>
      <c r="B220" t="inlineStr">
        <is>
          <t>2*(n-1)/n</t>
        </is>
      </c>
      <c r="C220">
        <f>2*(C213-1)/C213</f>
        <v/>
      </c>
    </row>
    <row r="221">
      <c r="A221" t="inlineStr">
        <is>
          <t>fixed_per_step</t>
        </is>
      </c>
      <c r="B221" t="inlineStr">
        <is>
          <t>2*(n-1)*a/2</t>
        </is>
      </c>
      <c r="C221">
        <f>2*(C213-1)*C215/2</f>
        <v/>
      </c>
    </row>
    <row r="222"/>
    <row r="223">
      <c r="A223" t="inlineStr">
        <is>
          <t>size_KB</t>
        </is>
      </c>
      <c r="B223" t="inlineStr">
        <is>
          <t>Actual Time (us)</t>
        </is>
      </c>
      <c r="C223" t="inlineStr">
        <is>
          <t>Roofline Time (us)</t>
        </is>
      </c>
      <c r="D223" t="inlineStr">
        <is>
          <t>Actual/Roofline</t>
        </is>
      </c>
      <c r="E223" t="inlineStr">
        <is>
          <t>Actual busBW (GB/s)</t>
        </is>
      </c>
      <c r="F223" t="inlineStr">
        <is>
          <t>Roofline busBW (GB/s)</t>
        </is>
      </c>
      <c r="G223" t="inlineStr">
        <is>
          <t>Meas/Roof busBW</t>
        </is>
      </c>
    </row>
    <row r="224">
      <c r="A224" t="n">
        <v>1</v>
      </c>
      <c r="B224" t="n">
        <v>99.2</v>
      </c>
      <c r="C224">
        <f>C221*CEILING(A224*1024/(C214*C218*C213),1)+A224*1024*C219</f>
        <v/>
      </c>
      <c r="D224">
        <f>B224/C224</f>
        <v/>
      </c>
      <c r="E224" t="n">
        <v>0.02</v>
      </c>
      <c r="F224">
        <f>A224*1024/(C224*0.000001)/1000000000*C220</f>
        <v/>
      </c>
      <c r="G224">
        <f>E224/F224</f>
        <v/>
      </c>
    </row>
    <row r="225">
      <c r="A225" t="n">
        <v>2</v>
      </c>
      <c r="B225" t="n">
        <v>98.7</v>
      </c>
      <c r="C225">
        <f>C221*CEILING(A225*1024/(C214*C218*C213),1)+A225*1024*C219</f>
        <v/>
      </c>
      <c r="D225">
        <f>B225/C225</f>
        <v/>
      </c>
      <c r="E225" t="n">
        <v>0.03</v>
      </c>
      <c r="F225">
        <f>A225*1024/(C225*0.000001)/1000000000*C220</f>
        <v/>
      </c>
      <c r="G225">
        <f>E225/F225</f>
        <v/>
      </c>
    </row>
    <row r="226">
      <c r="A226" t="n">
        <v>4</v>
      </c>
      <c r="B226" t="n">
        <v>100.07</v>
      </c>
      <c r="C226">
        <f>C221*CEILING(A226*1024/(C214*C218*C213),1)+A226*1024*C219</f>
        <v/>
      </c>
      <c r="D226">
        <f>B226/C226</f>
        <v/>
      </c>
      <c r="E226" t="n">
        <v>0.06</v>
      </c>
      <c r="F226">
        <f>A226*1024/(C226*0.000001)/1000000000*C220</f>
        <v/>
      </c>
      <c r="G226">
        <f>E226/F226</f>
        <v/>
      </c>
    </row>
    <row r="227">
      <c r="A227" t="n">
        <v>8</v>
      </c>
      <c r="B227" t="n">
        <v>105.06</v>
      </c>
      <c r="C227">
        <f>C221*CEILING(A227*1024/(C214*C218*C213),1)+A227*1024*C219</f>
        <v/>
      </c>
      <c r="D227">
        <f>B227/C227</f>
        <v/>
      </c>
      <c r="E227" t="n">
        <v>0.12</v>
      </c>
      <c r="F227">
        <f>A227*1024/(C227*0.000001)/1000000000*C220</f>
        <v/>
      </c>
      <c r="G227">
        <f>E227/F227</f>
        <v/>
      </c>
    </row>
    <row r="228">
      <c r="A228" t="n">
        <v>16</v>
      </c>
      <c r="B228" t="n">
        <v>115.99</v>
      </c>
      <c r="C228">
        <f>C221*CEILING(A228*1024/(C214*C218*C213),1)+A228*1024*C219</f>
        <v/>
      </c>
      <c r="D228">
        <f>B228/C228</f>
        <v/>
      </c>
      <c r="E228" t="n">
        <v>0.21</v>
      </c>
      <c r="F228">
        <f>A228*1024/(C228*0.000001)/1000000000*C220</f>
        <v/>
      </c>
      <c r="G228">
        <f>E228/F228</f>
        <v/>
      </c>
    </row>
    <row r="229">
      <c r="A229" t="n">
        <v>32</v>
      </c>
      <c r="B229" t="n">
        <v>117.82</v>
      </c>
      <c r="C229">
        <f>C221*CEILING(A229*1024/(C214*C218*C213),1)+A229*1024*C219</f>
        <v/>
      </c>
      <c r="D229">
        <f>B229/C229</f>
        <v/>
      </c>
      <c r="E229" t="n">
        <v>0.42</v>
      </c>
      <c r="F229">
        <f>A229*1024/(C229*0.000001)/1000000000*C220</f>
        <v/>
      </c>
      <c r="G229">
        <f>E229/F229</f>
        <v/>
      </c>
    </row>
    <row r="230">
      <c r="A230" t="n">
        <v>64</v>
      </c>
      <c r="B230" t="n">
        <v>127.95</v>
      </c>
      <c r="C230">
        <f>C221*CEILING(A230*1024/(C214*C218*C213),1)+A230*1024*C219</f>
        <v/>
      </c>
      <c r="D230">
        <f>B230/C230</f>
        <v/>
      </c>
      <c r="E230" t="n">
        <v>0.77</v>
      </c>
      <c r="F230">
        <f>A230*1024/(C230*0.000001)/1000000000*C220</f>
        <v/>
      </c>
      <c r="G230">
        <f>E230/F230</f>
        <v/>
      </c>
    </row>
    <row r="231">
      <c r="A231" t="n">
        <v>128</v>
      </c>
      <c r="B231" t="n">
        <v>142.34</v>
      </c>
      <c r="C231">
        <f>C221*CEILING(A231*1024/(C214*C218*C213),1)+A231*1024*C219</f>
        <v/>
      </c>
      <c r="D231">
        <f>B231/C231</f>
        <v/>
      </c>
      <c r="E231" t="n">
        <v>1.38</v>
      </c>
      <c r="F231">
        <f>A231*1024/(C231*0.000001)/1000000000*C220</f>
        <v/>
      </c>
      <c r="G231">
        <f>E231/F231</f>
        <v/>
      </c>
    </row>
    <row r="232">
      <c r="A232" t="n">
        <v>256</v>
      </c>
      <c r="B232" t="n">
        <v>172.33</v>
      </c>
      <c r="C232">
        <f>C221*CEILING(A232*1024/(C214*C218*C213),1)+A232*1024*C219</f>
        <v/>
      </c>
      <c r="D232">
        <f>B232/C232</f>
        <v/>
      </c>
      <c r="E232" t="n">
        <v>2.28</v>
      </c>
      <c r="F232">
        <f>A232*1024/(C232*0.000001)/1000000000*C220</f>
        <v/>
      </c>
      <c r="G232">
        <f>E232/F232</f>
        <v/>
      </c>
    </row>
    <row r="233">
      <c r="A233" t="n">
        <v>512</v>
      </c>
      <c r="B233" t="n">
        <v>333.04</v>
      </c>
      <c r="C233">
        <f>C221*CEILING(A233*1024/(C214*C218*C213),1)+A233*1024*C219</f>
        <v/>
      </c>
      <c r="D233">
        <f>B233/C233</f>
        <v/>
      </c>
      <c r="E233" t="n">
        <v>2.36</v>
      </c>
      <c r="F233">
        <f>A233*1024/(C233*0.000001)/1000000000*C220</f>
        <v/>
      </c>
      <c r="G233">
        <f>E233/F233</f>
        <v/>
      </c>
    </row>
    <row r="234">
      <c r="A234" t="n">
        <v>1024</v>
      </c>
      <c r="B234" t="n">
        <v>648.24</v>
      </c>
      <c r="C234">
        <f>C221*CEILING(A234*1024/(C214*C218*C213),1)+A234*1024*C219</f>
        <v/>
      </c>
      <c r="D234">
        <f>B234/C234</f>
        <v/>
      </c>
      <c r="E234" t="n">
        <v>2.43</v>
      </c>
      <c r="F234">
        <f>A234*1024/(C234*0.000001)/1000000000*C220</f>
        <v/>
      </c>
      <c r="G234">
        <f>E234/F234</f>
        <v/>
      </c>
    </row>
    <row r="235">
      <c r="A235" t="n">
        <v>2048</v>
      </c>
      <c r="B235" t="n">
        <v>1277.67</v>
      </c>
      <c r="C235">
        <f>C221*CEILING(A235*1024/(C214*C218*C213),1)+A235*1024*C219</f>
        <v/>
      </c>
      <c r="D235">
        <f>B235/C235</f>
        <v/>
      </c>
      <c r="E235" t="n">
        <v>2.46</v>
      </c>
      <c r="F235">
        <f>A235*1024/(C235*0.000001)/1000000000*C220</f>
        <v/>
      </c>
      <c r="G235">
        <f>E235/F235</f>
        <v/>
      </c>
    </row>
    <row r="236">
      <c r="A236" t="n">
        <v>4096</v>
      </c>
      <c r="B236" t="n">
        <v>2533.23</v>
      </c>
      <c r="C236">
        <f>C221*CEILING(A236*1024/(C214*C218*C213),1)+A236*1024*C219</f>
        <v/>
      </c>
      <c r="D236">
        <f>B236/C236</f>
        <v/>
      </c>
      <c r="E236" t="n">
        <v>2.48</v>
      </c>
      <c r="F236">
        <f>A236*1024/(C236*0.000001)/1000000000*C220</f>
        <v/>
      </c>
      <c r="G236">
        <f>E236/F236</f>
        <v/>
      </c>
    </row>
    <row r="237">
      <c r="A237" t="n">
        <v>8192</v>
      </c>
      <c r="B237" t="n">
        <v>5043.71</v>
      </c>
      <c r="C237">
        <f>C221*CEILING(A237*1024/(C214*C218*C213),1)+A237*1024*C219</f>
        <v/>
      </c>
      <c r="D237">
        <f>B237/C237</f>
        <v/>
      </c>
      <c r="E237" t="n">
        <v>2.49</v>
      </c>
      <c r="F237">
        <f>A237*1024/(C237*0.000001)/1000000000*C220</f>
        <v/>
      </c>
      <c r="G237">
        <f>E237/F237</f>
        <v/>
      </c>
    </row>
    <row r="238">
      <c r="A238" t="n">
        <v>16384</v>
      </c>
      <c r="B238" t="n">
        <v>10059.1</v>
      </c>
      <c r="C238">
        <f>C221*CEILING(A238*1024/(C214*C218*C213),1)+A238*1024*C219</f>
        <v/>
      </c>
      <c r="D238">
        <f>B238/C238</f>
        <v/>
      </c>
      <c r="E238" t="n">
        <v>2.5</v>
      </c>
      <c r="F238">
        <f>A238*1024/(C238*0.000001)/1000000000*C220</f>
        <v/>
      </c>
      <c r="G238">
        <f>E238/F238</f>
        <v/>
      </c>
    </row>
    <row r="239">
      <c r="A239" t="n">
        <v>32768</v>
      </c>
      <c r="B239" t="n">
        <v>20098.3</v>
      </c>
      <c r="C239">
        <f>C221*CEILING(A239*1024/(C214*C218*C213),1)+A239*1024*C219</f>
        <v/>
      </c>
      <c r="D239">
        <f>B239/C239</f>
        <v/>
      </c>
      <c r="E239" t="n">
        <v>2.5</v>
      </c>
      <c r="F239">
        <f>A239*1024/(C239*0.000001)/1000000000*C220</f>
        <v/>
      </c>
      <c r="G239">
        <f>E239/F239</f>
        <v/>
      </c>
    </row>
    <row r="240">
      <c r="A240" t="n">
        <v>65536</v>
      </c>
      <c r="B240" t="n">
        <v>40157.9</v>
      </c>
      <c r="C240">
        <f>C221*CEILING(A240*1024/(C214*C218*C213),1)+A240*1024*C219</f>
        <v/>
      </c>
      <c r="D240">
        <f>B240/C240</f>
        <v/>
      </c>
      <c r="E240" t="n">
        <v>2.51</v>
      </c>
      <c r="F240">
        <f>A240*1024/(C240*0.000001)/1000000000*C220</f>
        <v/>
      </c>
      <c r="G240">
        <f>E240/F240</f>
        <v/>
      </c>
    </row>
    <row r="241">
      <c r="A241" t="n">
        <v>131072</v>
      </c>
      <c r="B241" t="n">
        <v>80725.89999999999</v>
      </c>
      <c r="C241">
        <f>C221*CEILING(A241*1024/(C214*C218*C213),1)+A241*1024*C219</f>
        <v/>
      </c>
      <c r="D241">
        <f>B241/C241</f>
        <v/>
      </c>
      <c r="E241" t="n">
        <v>2.49</v>
      </c>
      <c r="F241">
        <f>A241*1024/(C241*0.000001)/1000000000*C220</f>
        <v/>
      </c>
      <c r="G241">
        <f>E241/F241</f>
        <v/>
      </c>
    </row>
    <row r="242">
      <c r="A242" t="n">
        <v>262144</v>
      </c>
      <c r="B242" t="n">
        <v>160927</v>
      </c>
      <c r="C242">
        <f>C221*CEILING(A242*1024/(C214*C218*C213),1)+A242*1024*C219</f>
        <v/>
      </c>
      <c r="D242">
        <f>B242/C242</f>
        <v/>
      </c>
      <c r="E242" t="n">
        <v>2.5</v>
      </c>
      <c r="F242">
        <f>A242*1024/(C242*0.000001)/1000000000*C220</f>
        <v/>
      </c>
      <c r="G242">
        <f>E242/F242</f>
        <v/>
      </c>
    </row>
    <row r="243">
      <c r="A243" t="n">
        <v>524288</v>
      </c>
      <c r="B243" t="n">
        <v>322444</v>
      </c>
      <c r="C243">
        <f>C221*CEILING(A243*1024/(C214*C218*C213),1)+A243*1024*C219</f>
        <v/>
      </c>
      <c r="D243">
        <f>B243/C243</f>
        <v/>
      </c>
      <c r="E243" t="n">
        <v>2.5</v>
      </c>
      <c r="F243">
        <f>A243*1024/(C243*0.000001)/1000000000*C220</f>
        <v/>
      </c>
      <c r="G243">
        <f>E243/F243</f>
        <v/>
      </c>
    </row>
    <row r="244">
      <c r="A244" t="n">
        <v>1048576</v>
      </c>
      <c r="B244" t="n">
        <v>643846</v>
      </c>
      <c r="C244">
        <f>C221*CEILING(A244*1024/(C214*C218*C213),1)+A244*1024*C219</f>
        <v/>
      </c>
      <c r="D244">
        <f>B244/C244</f>
        <v/>
      </c>
      <c r="E244" t="n">
        <v>2.5</v>
      </c>
      <c r="F244">
        <f>A244*1024/(C244*0.000001)/1000000000*C220</f>
        <v/>
      </c>
      <c r="G244">
        <f>E244/F244</f>
        <v/>
      </c>
    </row>
    <row r="245"/>
    <row r="246">
      <c r="A246" t="inlineStr">
        <is>
          <t>Nodes: 4, Protocol: LL, Channels: 4</t>
        </is>
      </c>
    </row>
    <row r="247">
      <c r="A247" t="inlineStr">
        <is>
          <t>Parameter</t>
        </is>
      </c>
      <c r="B247" t="inlineStr">
        <is>
          <t>Formula</t>
        </is>
      </c>
      <c r="C247" t="inlineStr">
        <is>
          <t>Value</t>
        </is>
      </c>
    </row>
    <row r="248">
      <c r="A248" t="inlineStr">
        <is>
          <t>n</t>
        </is>
      </c>
      <c r="B248" t="inlineStr">
        <is>
          <t>nodes on ring</t>
        </is>
      </c>
      <c r="C248" t="n">
        <v>4</v>
      </c>
    </row>
    <row r="249">
      <c r="A249" t="inlineStr">
        <is>
          <t>nch</t>
        </is>
      </c>
      <c r="B249" t="inlineStr">
        <is>
          <t>channels</t>
        </is>
      </c>
      <c r="C249" t="n">
        <v>4</v>
      </c>
    </row>
    <row r="250">
      <c r="A250" t="inlineStr">
        <is>
          <t>a</t>
        </is>
      </c>
      <c r="B250" t="inlineStr">
        <is>
          <t>RTT (us)</t>
        </is>
      </c>
      <c r="C250" t="n">
        <v>25.8107</v>
      </c>
    </row>
    <row r="251">
      <c r="A251" t="inlineStr">
        <is>
          <t>NIC_BW</t>
        </is>
      </c>
      <c r="B251" t="inlineStr">
        <is>
          <t>bytes/us</t>
        </is>
      </c>
      <c r="C251" t="n">
        <v>48750</v>
      </c>
    </row>
    <row r="252">
      <c r="A252" t="inlineStr">
        <is>
          <t>NIC_BW_single_efa</t>
        </is>
      </c>
      <c r="B252" t="inlineStr">
        <is>
          <t>50/2*1e3*0.975</t>
        </is>
      </c>
      <c r="C252" t="n">
        <v>24375</v>
      </c>
    </row>
    <row r="253">
      <c r="A253" t="inlineStr">
        <is>
          <t>chunk_size</t>
        </is>
      </c>
      <c r="B253" t="inlineStr">
        <is>
          <t>32KB (bytes)</t>
        </is>
      </c>
      <c r="C253" t="n">
        <v>32768</v>
      </c>
    </row>
    <row r="254">
      <c r="A254" t="inlineStr">
        <is>
          <t>G</t>
        </is>
      </c>
      <c r="B254" t="inlineStr">
        <is>
          <t>2*2*(n-1)/(n*NIC_BW)</t>
        </is>
      </c>
      <c r="C254">
        <f>2*2*(C248-1)/(C248*C251)</f>
        <v/>
      </c>
    </row>
    <row r="255">
      <c r="A255" t="inlineStr">
        <is>
          <t>busbw_factor</t>
        </is>
      </c>
      <c r="B255" t="inlineStr">
        <is>
          <t>2*(n-1)/n</t>
        </is>
      </c>
      <c r="C255">
        <f>2*(C248-1)/C248</f>
        <v/>
      </c>
    </row>
    <row r="256">
      <c r="A256" t="inlineStr">
        <is>
          <t>fixed_per_step</t>
        </is>
      </c>
      <c r="B256" t="inlineStr">
        <is>
          <t>2*(n-1)*a/2</t>
        </is>
      </c>
      <c r="C256">
        <f>2*(C248-1)*C250/2</f>
        <v/>
      </c>
    </row>
    <row r="257"/>
    <row r="258">
      <c r="A258" t="inlineStr">
        <is>
          <t>size_KB</t>
        </is>
      </c>
      <c r="B258" t="inlineStr">
        <is>
          <t>Actual Time (us)</t>
        </is>
      </c>
      <c r="C258" t="inlineStr">
        <is>
          <t>Roofline Time (us)</t>
        </is>
      </c>
      <c r="D258" t="inlineStr">
        <is>
          <t>Actual/Roofline</t>
        </is>
      </c>
      <c r="E258" t="inlineStr">
        <is>
          <t>Actual busBW (GB/s)</t>
        </is>
      </c>
      <c r="F258" t="inlineStr">
        <is>
          <t>Roofline busBW (GB/s)</t>
        </is>
      </c>
      <c r="G258" t="inlineStr">
        <is>
          <t>Meas/Roof busBW</t>
        </is>
      </c>
    </row>
    <row r="259">
      <c r="A259" t="n">
        <v>1</v>
      </c>
      <c r="B259" t="n">
        <v>98.63</v>
      </c>
      <c r="C259">
        <f>C256*CEILING(A259*1024/(C249*C253*C248),1)+A259*1024*C254</f>
        <v/>
      </c>
      <c r="D259">
        <f>B259/C259</f>
        <v/>
      </c>
      <c r="E259" t="n">
        <v>0.02</v>
      </c>
      <c r="F259">
        <f>A259*1024/(C259*0.000001)/1000000000*C255</f>
        <v/>
      </c>
      <c r="G259">
        <f>E259/F259</f>
        <v/>
      </c>
    </row>
    <row r="260">
      <c r="A260" t="n">
        <v>2</v>
      </c>
      <c r="B260" t="n">
        <v>99.2</v>
      </c>
      <c r="C260">
        <f>C256*CEILING(A260*1024/(C249*C253*C248),1)+A260*1024*C254</f>
        <v/>
      </c>
      <c r="D260">
        <f>B260/C260</f>
        <v/>
      </c>
      <c r="E260" t="n">
        <v>0.03</v>
      </c>
      <c r="F260">
        <f>A260*1024/(C260*0.000001)/1000000000*C255</f>
        <v/>
      </c>
      <c r="G260">
        <f>E260/F260</f>
        <v/>
      </c>
    </row>
    <row r="261">
      <c r="A261" t="n">
        <v>4</v>
      </c>
      <c r="B261" t="n">
        <v>99.77</v>
      </c>
      <c r="C261">
        <f>C256*CEILING(A261*1024/(C249*C253*C248),1)+A261*1024*C254</f>
        <v/>
      </c>
      <c r="D261">
        <f>B261/C261</f>
        <v/>
      </c>
      <c r="E261" t="n">
        <v>0.06</v>
      </c>
      <c r="F261">
        <f>A261*1024/(C261*0.000001)/1000000000*C255</f>
        <v/>
      </c>
      <c r="G261">
        <f>E261/F261</f>
        <v/>
      </c>
    </row>
    <row r="262">
      <c r="A262" t="n">
        <v>8</v>
      </c>
      <c r="B262" t="n">
        <v>104.98</v>
      </c>
      <c r="C262">
        <f>C256*CEILING(A262*1024/(C249*C253*C248),1)+A262*1024*C254</f>
        <v/>
      </c>
      <c r="D262">
        <f>B262/C262</f>
        <v/>
      </c>
      <c r="E262" t="n">
        <v>0.12</v>
      </c>
      <c r="F262">
        <f>A262*1024/(C262*0.000001)/1000000000*C255</f>
        <v/>
      </c>
      <c r="G262">
        <f>E262/F262</f>
        <v/>
      </c>
    </row>
    <row r="263">
      <c r="A263" t="n">
        <v>16</v>
      </c>
      <c r="B263" t="n">
        <v>116.11</v>
      </c>
      <c r="C263">
        <f>C256*CEILING(A263*1024/(C249*C253*C248),1)+A263*1024*C254</f>
        <v/>
      </c>
      <c r="D263">
        <f>B263/C263</f>
        <v/>
      </c>
      <c r="E263" t="n">
        <v>0.21</v>
      </c>
      <c r="F263">
        <f>A263*1024/(C263*0.000001)/1000000000*C255</f>
        <v/>
      </c>
      <c r="G263">
        <f>E263/F263</f>
        <v/>
      </c>
    </row>
    <row r="264">
      <c r="A264" t="n">
        <v>32</v>
      </c>
      <c r="B264" t="n">
        <v>118.1</v>
      </c>
      <c r="C264">
        <f>C256*CEILING(A264*1024/(C249*C253*C248),1)+A264*1024*C254</f>
        <v/>
      </c>
      <c r="D264">
        <f>B264/C264</f>
        <v/>
      </c>
      <c r="E264" t="n">
        <v>0.42</v>
      </c>
      <c r="F264">
        <f>A264*1024/(C264*0.000001)/1000000000*C255</f>
        <v/>
      </c>
      <c r="G264">
        <f>E264/F264</f>
        <v/>
      </c>
    </row>
    <row r="265">
      <c r="A265" t="n">
        <v>64</v>
      </c>
      <c r="B265" t="n">
        <v>123.83</v>
      </c>
      <c r="C265">
        <f>C256*CEILING(A265*1024/(C249*C253*C248),1)+A265*1024*C254</f>
        <v/>
      </c>
      <c r="D265">
        <f>B265/C265</f>
        <v/>
      </c>
      <c r="E265" t="n">
        <v>0.79</v>
      </c>
      <c r="F265">
        <f>A265*1024/(C265*0.000001)/1000000000*C255</f>
        <v/>
      </c>
      <c r="G265">
        <f>E265/F265</f>
        <v/>
      </c>
    </row>
    <row r="266">
      <c r="A266" t="n">
        <v>128</v>
      </c>
      <c r="B266" t="n">
        <v>135.21</v>
      </c>
      <c r="C266">
        <f>C256*CEILING(A266*1024/(C249*C253*C248),1)+A266*1024*C254</f>
        <v/>
      </c>
      <c r="D266">
        <f>B266/C266</f>
        <v/>
      </c>
      <c r="E266" t="n">
        <v>1.45</v>
      </c>
      <c r="F266">
        <f>A266*1024/(C266*0.000001)/1000000000*C255</f>
        <v/>
      </c>
      <c r="G266">
        <f>E266/F266</f>
        <v/>
      </c>
    </row>
    <row r="267">
      <c r="A267" t="n">
        <v>256</v>
      </c>
      <c r="B267" t="n">
        <v>158.39</v>
      </c>
      <c r="C267">
        <f>C256*CEILING(A267*1024/(C249*C253*C248),1)+A267*1024*C254</f>
        <v/>
      </c>
      <c r="D267">
        <f>B267/C267</f>
        <v/>
      </c>
      <c r="E267" t="n">
        <v>2.48</v>
      </c>
      <c r="F267">
        <f>A267*1024/(C267*0.000001)/1000000000*C255</f>
        <v/>
      </c>
      <c r="G267">
        <f>E267/F267</f>
        <v/>
      </c>
    </row>
    <row r="268">
      <c r="A268" t="n">
        <v>512</v>
      </c>
      <c r="B268" t="n">
        <v>213.79</v>
      </c>
      <c r="C268">
        <f>C256*CEILING(A268*1024/(C249*C253*C248),1)+A268*1024*C254</f>
        <v/>
      </c>
      <c r="D268">
        <f>B268/C268</f>
        <v/>
      </c>
      <c r="E268" t="n">
        <v>3.68</v>
      </c>
      <c r="F268">
        <f>A268*1024/(C268*0.000001)/1000000000*C255</f>
        <v/>
      </c>
      <c r="G268">
        <f>E268/F268</f>
        <v/>
      </c>
    </row>
    <row r="269">
      <c r="A269" t="n">
        <v>1024</v>
      </c>
      <c r="B269" t="n">
        <v>401.99</v>
      </c>
      <c r="C269">
        <f>C256*CEILING(A269*1024/(C249*C253*C248),1)+A269*1024*C254</f>
        <v/>
      </c>
      <c r="D269">
        <f>B269/C269</f>
        <v/>
      </c>
      <c r="E269" t="n">
        <v>3.91</v>
      </c>
      <c r="F269">
        <f>A269*1024/(C269*0.000001)/1000000000*C255</f>
        <v/>
      </c>
      <c r="G269">
        <f>E269/F269</f>
        <v/>
      </c>
    </row>
    <row r="270">
      <c r="A270" t="n">
        <v>2048</v>
      </c>
      <c r="B270" t="n">
        <v>768.11</v>
      </c>
      <c r="C270">
        <f>C256*CEILING(A270*1024/(C249*C253*C248),1)+A270*1024*C254</f>
        <v/>
      </c>
      <c r="D270">
        <f>B270/C270</f>
        <v/>
      </c>
      <c r="E270" t="n">
        <v>4.1</v>
      </c>
      <c r="F270">
        <f>A270*1024/(C270*0.000001)/1000000000*C255</f>
        <v/>
      </c>
      <c r="G270">
        <f>E270/F270</f>
        <v/>
      </c>
    </row>
    <row r="271">
      <c r="A271" t="n">
        <v>4096</v>
      </c>
      <c r="B271" t="n">
        <v>1500.42</v>
      </c>
      <c r="C271">
        <f>C256*CEILING(A271*1024/(C249*C253*C248),1)+A271*1024*C254</f>
        <v/>
      </c>
      <c r="D271">
        <f>B271/C271</f>
        <v/>
      </c>
      <c r="E271" t="n">
        <v>4.19</v>
      </c>
      <c r="F271">
        <f>A271*1024/(C271*0.000001)/1000000000*C255</f>
        <v/>
      </c>
      <c r="G271">
        <f>E271/F271</f>
        <v/>
      </c>
    </row>
    <row r="272">
      <c r="A272" t="n">
        <v>8192</v>
      </c>
      <c r="B272" t="n">
        <v>2959.14</v>
      </c>
      <c r="C272">
        <f>C256*CEILING(A272*1024/(C249*C253*C248),1)+A272*1024*C254</f>
        <v/>
      </c>
      <c r="D272">
        <f>B272/C272</f>
        <v/>
      </c>
      <c r="E272" t="n">
        <v>4.25</v>
      </c>
      <c r="F272">
        <f>A272*1024/(C272*0.000001)/1000000000*C255</f>
        <v/>
      </c>
      <c r="G272">
        <f>E272/F272</f>
        <v/>
      </c>
    </row>
    <row r="273">
      <c r="A273" t="n">
        <v>16384</v>
      </c>
      <c r="B273" t="n">
        <v>5878.88</v>
      </c>
      <c r="C273">
        <f>C256*CEILING(A273*1024/(C249*C253*C248),1)+A273*1024*C254</f>
        <v/>
      </c>
      <c r="D273">
        <f>B273/C273</f>
        <v/>
      </c>
      <c r="E273" t="n">
        <v>4.28</v>
      </c>
      <c r="F273">
        <f>A273*1024/(C273*0.000001)/1000000000*C255</f>
        <v/>
      </c>
      <c r="G273">
        <f>E273/F273</f>
        <v/>
      </c>
    </row>
    <row r="274">
      <c r="A274" t="n">
        <v>32768</v>
      </c>
      <c r="B274" t="n">
        <v>11761.7</v>
      </c>
      <c r="C274">
        <f>C256*CEILING(A274*1024/(C249*C253*C248),1)+A274*1024*C254</f>
        <v/>
      </c>
      <c r="D274">
        <f>B274/C274</f>
        <v/>
      </c>
      <c r="E274" t="n">
        <v>4.28</v>
      </c>
      <c r="F274">
        <f>A274*1024/(C274*0.000001)/1000000000*C255</f>
        <v/>
      </c>
      <c r="G274">
        <f>E274/F274</f>
        <v/>
      </c>
    </row>
    <row r="275">
      <c r="A275" t="n">
        <v>65536</v>
      </c>
      <c r="B275" t="n">
        <v>23377</v>
      </c>
      <c r="C275">
        <f>C256*CEILING(A275*1024/(C249*C253*C248),1)+A275*1024*C254</f>
        <v/>
      </c>
      <c r="D275">
        <f>B275/C275</f>
        <v/>
      </c>
      <c r="E275" t="n">
        <v>4.31</v>
      </c>
      <c r="F275">
        <f>A275*1024/(C275*0.000001)/1000000000*C255</f>
        <v/>
      </c>
      <c r="G275">
        <f>E275/F275</f>
        <v/>
      </c>
    </row>
    <row r="276">
      <c r="A276" t="n">
        <v>131072</v>
      </c>
      <c r="B276" t="n">
        <v>46886.5</v>
      </c>
      <c r="C276">
        <f>C256*CEILING(A276*1024/(C249*C253*C248),1)+A276*1024*C254</f>
        <v/>
      </c>
      <c r="D276">
        <f>B276/C276</f>
        <v/>
      </c>
      <c r="E276" t="n">
        <v>4.29</v>
      </c>
      <c r="F276">
        <f>A276*1024/(C276*0.000001)/1000000000*C255</f>
        <v/>
      </c>
      <c r="G276">
        <f>E276/F276</f>
        <v/>
      </c>
    </row>
    <row r="277">
      <c r="A277" t="n">
        <v>262144</v>
      </c>
      <c r="B277" t="n">
        <v>93300.8</v>
      </c>
      <c r="C277">
        <f>C256*CEILING(A277*1024/(C249*C253*C248),1)+A277*1024*C254</f>
        <v/>
      </c>
      <c r="D277">
        <f>B277/C277</f>
        <v/>
      </c>
      <c r="E277" t="n">
        <v>4.32</v>
      </c>
      <c r="F277">
        <f>A277*1024/(C277*0.000001)/1000000000*C255</f>
        <v/>
      </c>
      <c r="G277">
        <f>E277/F277</f>
        <v/>
      </c>
    </row>
    <row r="278">
      <c r="A278" t="n">
        <v>524288</v>
      </c>
      <c r="B278" t="n">
        <v>186718</v>
      </c>
      <c r="C278">
        <f>C256*CEILING(A278*1024/(C249*C253*C248),1)+A278*1024*C254</f>
        <v/>
      </c>
      <c r="D278">
        <f>B278/C278</f>
        <v/>
      </c>
      <c r="E278" t="n">
        <v>4.31</v>
      </c>
      <c r="F278">
        <f>A278*1024/(C278*0.000001)/1000000000*C255</f>
        <v/>
      </c>
      <c r="G278">
        <f>E278/F278</f>
        <v/>
      </c>
    </row>
    <row r="279">
      <c r="A279" t="n">
        <v>1048576</v>
      </c>
      <c r="B279" t="n">
        <v>374338</v>
      </c>
      <c r="C279">
        <f>C256*CEILING(A279*1024/(C249*C253*C248),1)+A279*1024*C254</f>
        <v/>
      </c>
      <c r="D279">
        <f>B279/C279</f>
        <v/>
      </c>
      <c r="E279" t="n">
        <v>4.3</v>
      </c>
      <c r="F279">
        <f>A279*1024/(C279*0.000001)/1000000000*C255</f>
        <v/>
      </c>
      <c r="G279">
        <f>E279/F279</f>
        <v/>
      </c>
    </row>
    <row r="280"/>
    <row r="281">
      <c r="A281" t="inlineStr">
        <is>
          <t>Nodes: 4, Protocol: LL, Channels: 8</t>
        </is>
      </c>
    </row>
    <row r="282">
      <c r="A282" t="inlineStr">
        <is>
          <t>Parameter</t>
        </is>
      </c>
      <c r="B282" t="inlineStr">
        <is>
          <t>Formula</t>
        </is>
      </c>
      <c r="C282" t="inlineStr">
        <is>
          <t>Value</t>
        </is>
      </c>
    </row>
    <row r="283">
      <c r="A283" t="inlineStr">
        <is>
          <t>n</t>
        </is>
      </c>
      <c r="B283" t="inlineStr">
        <is>
          <t>nodes on ring</t>
        </is>
      </c>
      <c r="C283" t="n">
        <v>4</v>
      </c>
    </row>
    <row r="284">
      <c r="A284" t="inlineStr">
        <is>
          <t>nch</t>
        </is>
      </c>
      <c r="B284" t="inlineStr">
        <is>
          <t>channels</t>
        </is>
      </c>
      <c r="C284" t="n">
        <v>8</v>
      </c>
    </row>
    <row r="285">
      <c r="A285" t="inlineStr">
        <is>
          <t>a</t>
        </is>
      </c>
      <c r="B285" t="inlineStr">
        <is>
          <t>RTT (us)</t>
        </is>
      </c>
      <c r="C285" t="n">
        <v>25.8107</v>
      </c>
    </row>
    <row r="286">
      <c r="A286" t="inlineStr">
        <is>
          <t>NIC_BW</t>
        </is>
      </c>
      <c r="B286" t="inlineStr">
        <is>
          <t>bytes/us</t>
        </is>
      </c>
      <c r="C286" t="n">
        <v>48750</v>
      </c>
    </row>
    <row r="287">
      <c r="A287" t="inlineStr">
        <is>
          <t>NIC_BW_single_efa</t>
        </is>
      </c>
      <c r="B287" t="inlineStr">
        <is>
          <t>50/2*1e3*0.975</t>
        </is>
      </c>
      <c r="C287" t="n">
        <v>24375</v>
      </c>
    </row>
    <row r="288">
      <c r="A288" t="inlineStr">
        <is>
          <t>chunk_size</t>
        </is>
      </c>
      <c r="B288" t="inlineStr">
        <is>
          <t>32KB (bytes)</t>
        </is>
      </c>
      <c r="C288" t="n">
        <v>32768</v>
      </c>
    </row>
    <row r="289">
      <c r="A289" t="inlineStr">
        <is>
          <t>G</t>
        </is>
      </c>
      <c r="B289" t="inlineStr">
        <is>
          <t>2*2*(n-1)/(n*NIC_BW)</t>
        </is>
      </c>
      <c r="C289">
        <f>2*2*(C283-1)/(C283*C286)</f>
        <v/>
      </c>
    </row>
    <row r="290">
      <c r="A290" t="inlineStr">
        <is>
          <t>busbw_factor</t>
        </is>
      </c>
      <c r="B290" t="inlineStr">
        <is>
          <t>2*(n-1)/n</t>
        </is>
      </c>
      <c r="C290">
        <f>2*(C283-1)/C283</f>
        <v/>
      </c>
    </row>
    <row r="291">
      <c r="A291" t="inlineStr">
        <is>
          <t>fixed_per_step</t>
        </is>
      </c>
      <c r="B291" t="inlineStr">
        <is>
          <t>2*(n-1)*a/2</t>
        </is>
      </c>
      <c r="C291">
        <f>2*(C283-1)*C285/2</f>
        <v/>
      </c>
    </row>
    <row r="292"/>
    <row r="293">
      <c r="A293" t="inlineStr">
        <is>
          <t>size_KB</t>
        </is>
      </c>
      <c r="B293" t="inlineStr">
        <is>
          <t>Actual Time (us)</t>
        </is>
      </c>
      <c r="C293" t="inlineStr">
        <is>
          <t>Roofline Time (us)</t>
        </is>
      </c>
      <c r="D293" t="inlineStr">
        <is>
          <t>Actual/Roofline</t>
        </is>
      </c>
      <c r="E293" t="inlineStr">
        <is>
          <t>Actual busBW (GB/s)</t>
        </is>
      </c>
      <c r="F293" t="inlineStr">
        <is>
          <t>Roofline busBW (GB/s)</t>
        </is>
      </c>
      <c r="G293" t="inlineStr">
        <is>
          <t>Meas/Roof busBW</t>
        </is>
      </c>
    </row>
    <row r="294">
      <c r="A294" t="n">
        <v>1</v>
      </c>
      <c r="B294" t="n">
        <v>98.40000000000001</v>
      </c>
      <c r="C294">
        <f>C291*CEILING(A294*1024/(C284*C288*C283),1)+A294*1024*C289</f>
        <v/>
      </c>
      <c r="D294">
        <f>B294/C294</f>
        <v/>
      </c>
      <c r="E294" t="n">
        <v>0.02</v>
      </c>
      <c r="F294">
        <f>A294*1024/(C294*0.000001)/1000000000*C290</f>
        <v/>
      </c>
      <c r="G294">
        <f>E294/F294</f>
        <v/>
      </c>
    </row>
    <row r="295">
      <c r="A295" t="n">
        <v>2</v>
      </c>
      <c r="B295" t="n">
        <v>98.54000000000001</v>
      </c>
      <c r="C295">
        <f>C291*CEILING(A295*1024/(C284*C288*C283),1)+A295*1024*C289</f>
        <v/>
      </c>
      <c r="D295">
        <f>B295/C295</f>
        <v/>
      </c>
      <c r="E295" t="n">
        <v>0.03</v>
      </c>
      <c r="F295">
        <f>A295*1024/(C295*0.000001)/1000000000*C290</f>
        <v/>
      </c>
      <c r="G295">
        <f>E295/F295</f>
        <v/>
      </c>
    </row>
    <row r="296">
      <c r="A296" t="n">
        <v>4</v>
      </c>
      <c r="B296" t="n">
        <v>99.73999999999999</v>
      </c>
      <c r="C296">
        <f>C291*CEILING(A296*1024/(C284*C288*C283),1)+A296*1024*C289</f>
        <v/>
      </c>
      <c r="D296">
        <f>B296/C296</f>
        <v/>
      </c>
      <c r="E296" t="n">
        <v>0.06</v>
      </c>
      <c r="F296">
        <f>A296*1024/(C296*0.000001)/1000000000*C290</f>
        <v/>
      </c>
      <c r="G296">
        <f>E296/F296</f>
        <v/>
      </c>
    </row>
    <row r="297">
      <c r="A297" t="n">
        <v>8</v>
      </c>
      <c r="B297" t="n">
        <v>104.57</v>
      </c>
      <c r="C297">
        <f>C291*CEILING(A297*1024/(C284*C288*C283),1)+A297*1024*C289</f>
        <v/>
      </c>
      <c r="D297">
        <f>B297/C297</f>
        <v/>
      </c>
      <c r="E297" t="n">
        <v>0.12</v>
      </c>
      <c r="F297">
        <f>A297*1024/(C297*0.000001)/1000000000*C290</f>
        <v/>
      </c>
      <c r="G297">
        <f>E297/F297</f>
        <v/>
      </c>
    </row>
    <row r="298">
      <c r="A298" t="n">
        <v>16</v>
      </c>
      <c r="B298" t="n">
        <v>116.66</v>
      </c>
      <c r="C298">
        <f>C291*CEILING(A298*1024/(C284*C288*C283),1)+A298*1024*C289</f>
        <v/>
      </c>
      <c r="D298">
        <f>B298/C298</f>
        <v/>
      </c>
      <c r="E298" t="n">
        <v>0.21</v>
      </c>
      <c r="F298">
        <f>A298*1024/(C298*0.000001)/1000000000*C290</f>
        <v/>
      </c>
      <c r="G298">
        <f>E298/F298</f>
        <v/>
      </c>
    </row>
    <row r="299">
      <c r="A299" t="n">
        <v>32</v>
      </c>
      <c r="B299" t="n">
        <v>118.51</v>
      </c>
      <c r="C299">
        <f>C291*CEILING(A299*1024/(C284*C288*C283),1)+A299*1024*C289</f>
        <v/>
      </c>
      <c r="D299">
        <f>B299/C299</f>
        <v/>
      </c>
      <c r="E299" t="n">
        <v>0.41</v>
      </c>
      <c r="F299">
        <f>A299*1024/(C299*0.000001)/1000000000*C290</f>
        <v/>
      </c>
      <c r="G299">
        <f>E299/F299</f>
        <v/>
      </c>
    </row>
    <row r="300">
      <c r="A300" t="n">
        <v>64</v>
      </c>
      <c r="B300" t="n">
        <v>124.82</v>
      </c>
      <c r="C300">
        <f>C291*CEILING(A300*1024/(C284*C288*C283),1)+A300*1024*C289</f>
        <v/>
      </c>
      <c r="D300">
        <f>B300/C300</f>
        <v/>
      </c>
      <c r="E300" t="n">
        <v>0.79</v>
      </c>
      <c r="F300">
        <f>A300*1024/(C300*0.000001)/1000000000*C290</f>
        <v/>
      </c>
      <c r="G300">
        <f>E300/F300</f>
        <v/>
      </c>
    </row>
    <row r="301">
      <c r="A301" t="n">
        <v>128</v>
      </c>
      <c r="B301" t="n">
        <v>144.16</v>
      </c>
      <c r="C301">
        <f>C291*CEILING(A301*1024/(C284*C288*C283),1)+A301*1024*C289</f>
        <v/>
      </c>
      <c r="D301">
        <f>B301/C301</f>
        <v/>
      </c>
      <c r="E301" t="n">
        <v>1.36</v>
      </c>
      <c r="F301">
        <f>A301*1024/(C301*0.000001)/1000000000*C290</f>
        <v/>
      </c>
      <c r="G301">
        <f>E301/F301</f>
        <v/>
      </c>
    </row>
    <row r="302">
      <c r="A302" t="n">
        <v>256</v>
      </c>
      <c r="B302" t="n">
        <v>163.86</v>
      </c>
      <c r="C302">
        <f>C291*CEILING(A302*1024/(C284*C288*C283),1)+A302*1024*C289</f>
        <v/>
      </c>
      <c r="D302">
        <f>B302/C302</f>
        <v/>
      </c>
      <c r="E302" t="n">
        <v>2.4</v>
      </c>
      <c r="F302">
        <f>A302*1024/(C302*0.000001)/1000000000*C290</f>
        <v/>
      </c>
      <c r="G302">
        <f>E302/F302</f>
        <v/>
      </c>
    </row>
    <row r="303">
      <c r="A303" t="n">
        <v>512</v>
      </c>
      <c r="B303" t="n">
        <v>210.75</v>
      </c>
      <c r="C303">
        <f>C291*CEILING(A303*1024/(C284*C288*C283),1)+A303*1024*C289</f>
        <v/>
      </c>
      <c r="D303">
        <f>B303/C303</f>
        <v/>
      </c>
      <c r="E303" t="n">
        <v>3.73</v>
      </c>
      <c r="F303">
        <f>A303*1024/(C303*0.000001)/1000000000*C290</f>
        <v/>
      </c>
      <c r="G303">
        <f>E303/F303</f>
        <v/>
      </c>
    </row>
    <row r="304">
      <c r="A304" t="n">
        <v>1024</v>
      </c>
      <c r="B304" t="n">
        <v>363.65</v>
      </c>
      <c r="C304">
        <f>C291*CEILING(A304*1024/(C284*C288*C283),1)+A304*1024*C289</f>
        <v/>
      </c>
      <c r="D304">
        <f>B304/C304</f>
        <v/>
      </c>
      <c r="E304" t="n">
        <v>4.33</v>
      </c>
      <c r="F304">
        <f>A304*1024/(C304*0.000001)/1000000000*C290</f>
        <v/>
      </c>
      <c r="G304">
        <f>E304/F304</f>
        <v/>
      </c>
    </row>
    <row r="305">
      <c r="A305" t="n">
        <v>2048</v>
      </c>
      <c r="B305" t="n">
        <v>677.11</v>
      </c>
      <c r="C305">
        <f>C291*CEILING(A305*1024/(C284*C288*C283),1)+A305*1024*C289</f>
        <v/>
      </c>
      <c r="D305">
        <f>B305/C305</f>
        <v/>
      </c>
      <c r="E305" t="n">
        <v>4.65</v>
      </c>
      <c r="F305">
        <f>A305*1024/(C305*0.000001)/1000000000*C290</f>
        <v/>
      </c>
      <c r="G305">
        <f>E305/F305</f>
        <v/>
      </c>
    </row>
    <row r="306">
      <c r="A306" t="n">
        <v>4096</v>
      </c>
      <c r="B306" t="n">
        <v>1308.52</v>
      </c>
      <c r="C306">
        <f>C291*CEILING(A306*1024/(C284*C288*C283),1)+A306*1024*C289</f>
        <v/>
      </c>
      <c r="D306">
        <f>B306/C306</f>
        <v/>
      </c>
      <c r="E306" t="n">
        <v>4.81</v>
      </c>
      <c r="F306">
        <f>A306*1024/(C306*0.000001)/1000000000*C290</f>
        <v/>
      </c>
      <c r="G306">
        <f>E306/F306</f>
        <v/>
      </c>
    </row>
    <row r="307">
      <c r="A307" t="n">
        <v>8192</v>
      </c>
      <c r="B307" t="n">
        <v>2568.34</v>
      </c>
      <c r="C307">
        <f>C291*CEILING(A307*1024/(C284*C288*C283),1)+A307*1024*C289</f>
        <v/>
      </c>
      <c r="D307">
        <f>B307/C307</f>
        <v/>
      </c>
      <c r="E307" t="n">
        <v>4.9</v>
      </c>
      <c r="F307">
        <f>A307*1024/(C307*0.000001)/1000000000*C290</f>
        <v/>
      </c>
      <c r="G307">
        <f>E307/F307</f>
        <v/>
      </c>
    </row>
    <row r="308">
      <c r="A308" t="n">
        <v>16384</v>
      </c>
      <c r="B308" t="n">
        <v>5097.1</v>
      </c>
      <c r="C308">
        <f>C291*CEILING(A308*1024/(C284*C288*C283),1)+A308*1024*C289</f>
        <v/>
      </c>
      <c r="D308">
        <f>B308/C308</f>
        <v/>
      </c>
      <c r="E308" t="n">
        <v>4.94</v>
      </c>
      <c r="F308">
        <f>A308*1024/(C308*0.000001)/1000000000*C290</f>
        <v/>
      </c>
      <c r="G308">
        <f>E308/F308</f>
        <v/>
      </c>
    </row>
    <row r="309">
      <c r="A309" t="n">
        <v>32768</v>
      </c>
      <c r="B309" t="n">
        <v>10128.8</v>
      </c>
      <c r="C309">
        <f>C291*CEILING(A309*1024/(C284*C288*C283),1)+A309*1024*C289</f>
        <v/>
      </c>
      <c r="D309">
        <f>B309/C309</f>
        <v/>
      </c>
      <c r="E309" t="n">
        <v>4.97</v>
      </c>
      <c r="F309">
        <f>A309*1024/(C309*0.000001)/1000000000*C290</f>
        <v/>
      </c>
      <c r="G309">
        <f>E309/F309</f>
        <v/>
      </c>
    </row>
    <row r="310">
      <c r="A310" t="n">
        <v>65536</v>
      </c>
      <c r="B310" t="n">
        <v>20208</v>
      </c>
      <c r="C310">
        <f>C291*CEILING(A310*1024/(C284*C288*C283),1)+A310*1024*C289</f>
        <v/>
      </c>
      <c r="D310">
        <f>B310/C310</f>
        <v/>
      </c>
      <c r="E310" t="n">
        <v>4.98</v>
      </c>
      <c r="F310">
        <f>A310*1024/(C310*0.000001)/1000000000*C290</f>
        <v/>
      </c>
      <c r="G310">
        <f>E310/F310</f>
        <v/>
      </c>
    </row>
    <row r="311">
      <c r="A311" t="n">
        <v>131072</v>
      </c>
      <c r="B311" t="n">
        <v>40329.3</v>
      </c>
      <c r="C311">
        <f>C291*CEILING(A311*1024/(C284*C288*C283),1)+A311*1024*C289</f>
        <v/>
      </c>
      <c r="D311">
        <f>B311/C311</f>
        <v/>
      </c>
      <c r="E311" t="n">
        <v>4.99</v>
      </c>
      <c r="F311">
        <f>A311*1024/(C311*0.000001)/1000000000*C290</f>
        <v/>
      </c>
      <c r="G311">
        <f>E311/F311</f>
        <v/>
      </c>
    </row>
    <row r="312">
      <c r="A312" t="n">
        <v>262144</v>
      </c>
      <c r="B312" t="n">
        <v>80590.60000000001</v>
      </c>
      <c r="C312">
        <f>C291*CEILING(A312*1024/(C284*C288*C283),1)+A312*1024*C289</f>
        <v/>
      </c>
      <c r="D312">
        <f>B312/C312</f>
        <v/>
      </c>
      <c r="E312" t="n">
        <v>5</v>
      </c>
      <c r="F312">
        <f>A312*1024/(C312*0.000001)/1000000000*C290</f>
        <v/>
      </c>
      <c r="G312">
        <f>E312/F312</f>
        <v/>
      </c>
    </row>
    <row r="313">
      <c r="A313" t="n">
        <v>524288</v>
      </c>
      <c r="B313" t="n">
        <v>161028</v>
      </c>
      <c r="C313">
        <f>C291*CEILING(A313*1024/(C284*C288*C283),1)+A313*1024*C289</f>
        <v/>
      </c>
      <c r="D313">
        <f>B313/C313</f>
        <v/>
      </c>
      <c r="E313" t="n">
        <v>5</v>
      </c>
      <c r="F313">
        <f>A313*1024/(C313*0.000001)/1000000000*C290</f>
        <v/>
      </c>
      <c r="G313">
        <f>E313/F313</f>
        <v/>
      </c>
    </row>
    <row r="314">
      <c r="A314" t="n">
        <v>1048576</v>
      </c>
      <c r="B314" t="n">
        <v>322936</v>
      </c>
      <c r="C314">
        <f>C291*CEILING(A314*1024/(C284*C288*C283),1)+A314*1024*C289</f>
        <v/>
      </c>
      <c r="D314">
        <f>B314/C314</f>
        <v/>
      </c>
      <c r="E314" t="n">
        <v>4.99</v>
      </c>
      <c r="F314">
        <f>A314*1024/(C314*0.000001)/1000000000*C290</f>
        <v/>
      </c>
      <c r="G314">
        <f>E314/F314</f>
        <v/>
      </c>
    </row>
    <row r="315"/>
    <row r="316">
      <c r="A316" t="inlineStr">
        <is>
          <t>Nodes: 4, Protocol: LL, Channels: 16</t>
        </is>
      </c>
    </row>
    <row r="317">
      <c r="A317" t="inlineStr">
        <is>
          <t>Parameter</t>
        </is>
      </c>
      <c r="B317" t="inlineStr">
        <is>
          <t>Formula</t>
        </is>
      </c>
      <c r="C317" t="inlineStr">
        <is>
          <t>Value</t>
        </is>
      </c>
    </row>
    <row r="318">
      <c r="A318" t="inlineStr">
        <is>
          <t>n</t>
        </is>
      </c>
      <c r="B318" t="inlineStr">
        <is>
          <t>nodes on ring</t>
        </is>
      </c>
      <c r="C318" t="n">
        <v>4</v>
      </c>
    </row>
    <row r="319">
      <c r="A319" t="inlineStr">
        <is>
          <t>nch</t>
        </is>
      </c>
      <c r="B319" t="inlineStr">
        <is>
          <t>channels</t>
        </is>
      </c>
      <c r="C319" t="n">
        <v>16</v>
      </c>
    </row>
    <row r="320">
      <c r="A320" t="inlineStr">
        <is>
          <t>a</t>
        </is>
      </c>
      <c r="B320" t="inlineStr">
        <is>
          <t>RTT (us)</t>
        </is>
      </c>
      <c r="C320" t="n">
        <v>25.8107</v>
      </c>
    </row>
    <row r="321">
      <c r="A321" t="inlineStr">
        <is>
          <t>NIC_BW</t>
        </is>
      </c>
      <c r="B321" t="inlineStr">
        <is>
          <t>bytes/us</t>
        </is>
      </c>
      <c r="C321" t="n">
        <v>48750</v>
      </c>
    </row>
    <row r="322">
      <c r="A322" t="inlineStr">
        <is>
          <t>NIC_BW_single_efa</t>
        </is>
      </c>
      <c r="B322" t="inlineStr">
        <is>
          <t>50/2*1e3*0.975</t>
        </is>
      </c>
      <c r="C322" t="n">
        <v>24375</v>
      </c>
    </row>
    <row r="323">
      <c r="A323" t="inlineStr">
        <is>
          <t>chunk_size</t>
        </is>
      </c>
      <c r="B323" t="inlineStr">
        <is>
          <t>32KB (bytes)</t>
        </is>
      </c>
      <c r="C323" t="n">
        <v>32768</v>
      </c>
    </row>
    <row r="324">
      <c r="A324" t="inlineStr">
        <is>
          <t>G</t>
        </is>
      </c>
      <c r="B324" t="inlineStr">
        <is>
          <t>2*2*(n-1)/(n*NIC_BW)</t>
        </is>
      </c>
      <c r="C324">
        <f>2*2*(C318-1)/(C318*C321)</f>
        <v/>
      </c>
    </row>
    <row r="325">
      <c r="A325" t="inlineStr">
        <is>
          <t>busbw_factor</t>
        </is>
      </c>
      <c r="B325" t="inlineStr">
        <is>
          <t>2*(n-1)/n</t>
        </is>
      </c>
      <c r="C325">
        <f>2*(C318-1)/C318</f>
        <v/>
      </c>
    </row>
    <row r="326">
      <c r="A326" t="inlineStr">
        <is>
          <t>fixed_per_step</t>
        </is>
      </c>
      <c r="B326" t="inlineStr">
        <is>
          <t>2*(n-1)*a/2</t>
        </is>
      </c>
      <c r="C326">
        <f>2*(C318-1)*C320/2</f>
        <v/>
      </c>
    </row>
    <row r="327"/>
    <row r="328">
      <c r="A328" t="inlineStr">
        <is>
          <t>size_KB</t>
        </is>
      </c>
      <c r="B328" t="inlineStr">
        <is>
          <t>Actual Time (us)</t>
        </is>
      </c>
      <c r="C328" t="inlineStr">
        <is>
          <t>Roofline Time (us)</t>
        </is>
      </c>
      <c r="D328" t="inlineStr">
        <is>
          <t>Actual/Roofline</t>
        </is>
      </c>
      <c r="E328" t="inlineStr">
        <is>
          <t>Actual busBW (GB/s)</t>
        </is>
      </c>
      <c r="F328" t="inlineStr">
        <is>
          <t>Roofline busBW (GB/s)</t>
        </is>
      </c>
      <c r="G328" t="inlineStr">
        <is>
          <t>Meas/Roof busBW</t>
        </is>
      </c>
    </row>
    <row r="329">
      <c r="A329" t="n">
        <v>1</v>
      </c>
      <c r="B329" t="n">
        <v>98.33</v>
      </c>
      <c r="C329">
        <f>C326*CEILING(A329*1024/(C319*C323*C318),1)+A329*1024*C324</f>
        <v/>
      </c>
      <c r="D329">
        <f>B329/C329</f>
        <v/>
      </c>
      <c r="E329" t="n">
        <v>0.02</v>
      </c>
      <c r="F329">
        <f>A329*1024/(C329*0.000001)/1000000000*C325</f>
        <v/>
      </c>
      <c r="G329">
        <f>E329/F329</f>
        <v/>
      </c>
    </row>
    <row r="330">
      <c r="A330" t="n">
        <v>2</v>
      </c>
      <c r="B330" t="n">
        <v>98.81</v>
      </c>
      <c r="C330">
        <f>C326*CEILING(A330*1024/(C319*C323*C318),1)+A330*1024*C324</f>
        <v/>
      </c>
      <c r="D330">
        <f>B330/C330</f>
        <v/>
      </c>
      <c r="E330" t="n">
        <v>0.03</v>
      </c>
      <c r="F330">
        <f>A330*1024/(C330*0.000001)/1000000000*C325</f>
        <v/>
      </c>
      <c r="G330">
        <f>E330/F330</f>
        <v/>
      </c>
    </row>
    <row r="331">
      <c r="A331" t="n">
        <v>4</v>
      </c>
      <c r="B331" t="n">
        <v>100.24</v>
      </c>
      <c r="C331">
        <f>C326*CEILING(A331*1024/(C319*C323*C318),1)+A331*1024*C324</f>
        <v/>
      </c>
      <c r="D331">
        <f>B331/C331</f>
        <v/>
      </c>
      <c r="E331" t="n">
        <v>0.06</v>
      </c>
      <c r="F331">
        <f>A331*1024/(C331*0.000001)/1000000000*C325</f>
        <v/>
      </c>
      <c r="G331">
        <f>E331/F331</f>
        <v/>
      </c>
    </row>
    <row r="332">
      <c r="A332" t="n">
        <v>8</v>
      </c>
      <c r="B332" t="n">
        <v>105.13</v>
      </c>
      <c r="C332">
        <f>C326*CEILING(A332*1024/(C319*C323*C318),1)+A332*1024*C324</f>
        <v/>
      </c>
      <c r="D332">
        <f>B332/C332</f>
        <v/>
      </c>
      <c r="E332" t="n">
        <v>0.12</v>
      </c>
      <c r="F332">
        <f>A332*1024/(C332*0.000001)/1000000000*C325</f>
        <v/>
      </c>
      <c r="G332">
        <f>E332/F332</f>
        <v/>
      </c>
    </row>
    <row r="333">
      <c r="A333" t="n">
        <v>16</v>
      </c>
      <c r="B333" t="n">
        <v>116.01</v>
      </c>
      <c r="C333">
        <f>C326*CEILING(A333*1024/(C319*C323*C318),1)+A333*1024*C324</f>
        <v/>
      </c>
      <c r="D333">
        <f>B333/C333</f>
        <v/>
      </c>
      <c r="E333" t="n">
        <v>0.21</v>
      </c>
      <c r="F333">
        <f>A333*1024/(C333*0.000001)/1000000000*C325</f>
        <v/>
      </c>
      <c r="G333">
        <f>E333/F333</f>
        <v/>
      </c>
    </row>
    <row r="334">
      <c r="A334" t="n">
        <v>32</v>
      </c>
      <c r="B334" t="n">
        <v>117.99</v>
      </c>
      <c r="C334">
        <f>C326*CEILING(A334*1024/(C319*C323*C318),1)+A334*1024*C324</f>
        <v/>
      </c>
      <c r="D334">
        <f>B334/C334</f>
        <v/>
      </c>
      <c r="E334" t="n">
        <v>0.42</v>
      </c>
      <c r="F334">
        <f>A334*1024/(C334*0.000001)/1000000000*C325</f>
        <v/>
      </c>
      <c r="G334">
        <f>E334/F334</f>
        <v/>
      </c>
    </row>
    <row r="335">
      <c r="A335" t="n">
        <v>64</v>
      </c>
      <c r="B335" t="n">
        <v>123.52</v>
      </c>
      <c r="C335">
        <f>C326*CEILING(A335*1024/(C319*C323*C318),1)+A335*1024*C324</f>
        <v/>
      </c>
      <c r="D335">
        <f>B335/C335</f>
        <v/>
      </c>
      <c r="E335" t="n">
        <v>0.8</v>
      </c>
      <c r="F335">
        <f>A335*1024/(C335*0.000001)/1000000000*C325</f>
        <v/>
      </c>
      <c r="G335">
        <f>E335/F335</f>
        <v/>
      </c>
    </row>
    <row r="336">
      <c r="A336" t="n">
        <v>128</v>
      </c>
      <c r="B336" t="n">
        <v>144.15</v>
      </c>
      <c r="C336">
        <f>C326*CEILING(A336*1024/(C319*C323*C318),1)+A336*1024*C324</f>
        <v/>
      </c>
      <c r="D336">
        <f>B336/C336</f>
        <v/>
      </c>
      <c r="E336" t="n">
        <v>1.36</v>
      </c>
      <c r="F336">
        <f>A336*1024/(C336*0.000001)/1000000000*C325</f>
        <v/>
      </c>
      <c r="G336">
        <f>E336/F336</f>
        <v/>
      </c>
    </row>
    <row r="337">
      <c r="A337" t="n">
        <v>256</v>
      </c>
      <c r="B337" t="n">
        <v>209.63</v>
      </c>
      <c r="C337">
        <f>C326*CEILING(A337*1024/(C319*C323*C318),1)+A337*1024*C324</f>
        <v/>
      </c>
      <c r="D337">
        <f>B337/C337</f>
        <v/>
      </c>
      <c r="E337" t="n">
        <v>1.88</v>
      </c>
      <c r="F337">
        <f>A337*1024/(C337*0.000001)/1000000000*C325</f>
        <v/>
      </c>
      <c r="G337">
        <f>E337/F337</f>
        <v/>
      </c>
    </row>
    <row r="338">
      <c r="A338" t="n">
        <v>512</v>
      </c>
      <c r="B338" t="n">
        <v>260.42</v>
      </c>
      <c r="C338">
        <f>C326*CEILING(A338*1024/(C319*C323*C318),1)+A338*1024*C324</f>
        <v/>
      </c>
      <c r="D338">
        <f>B338/C338</f>
        <v/>
      </c>
      <c r="E338" t="n">
        <v>3.02</v>
      </c>
      <c r="F338">
        <f>A338*1024/(C338*0.000001)/1000000000*C325</f>
        <v/>
      </c>
      <c r="G338">
        <f>E338/F338</f>
        <v/>
      </c>
    </row>
    <row r="339">
      <c r="A339" t="n">
        <v>1024</v>
      </c>
      <c r="B339" t="n">
        <v>388.66</v>
      </c>
      <c r="C339">
        <f>C326*CEILING(A339*1024/(C319*C323*C318),1)+A339*1024*C324</f>
        <v/>
      </c>
      <c r="D339">
        <f>B339/C339</f>
        <v/>
      </c>
      <c r="E339" t="n">
        <v>4.05</v>
      </c>
      <c r="F339">
        <f>A339*1024/(C339*0.000001)/1000000000*C325</f>
        <v/>
      </c>
      <c r="G339">
        <f>E339/F339</f>
        <v/>
      </c>
    </row>
    <row r="340">
      <c r="A340" t="n">
        <v>2048</v>
      </c>
      <c r="B340" t="n">
        <v>670.11</v>
      </c>
      <c r="C340">
        <f>C326*CEILING(A340*1024/(C319*C323*C318),1)+A340*1024*C324</f>
        <v/>
      </c>
      <c r="D340">
        <f>B340/C340</f>
        <v/>
      </c>
      <c r="E340" t="n">
        <v>4.69</v>
      </c>
      <c r="F340">
        <f>A340*1024/(C340*0.000001)/1000000000*C325</f>
        <v/>
      </c>
      <c r="G340">
        <f>E340/F340</f>
        <v/>
      </c>
    </row>
    <row r="341">
      <c r="A341" t="n">
        <v>4096</v>
      </c>
      <c r="B341" t="n">
        <v>1288.7</v>
      </c>
      <c r="C341">
        <f>C326*CEILING(A341*1024/(C319*C323*C318),1)+A341*1024*C324</f>
        <v/>
      </c>
      <c r="D341">
        <f>B341/C341</f>
        <v/>
      </c>
      <c r="E341" t="n">
        <v>4.88</v>
      </c>
      <c r="F341">
        <f>A341*1024/(C341*0.000001)/1000000000*C325</f>
        <v/>
      </c>
      <c r="G341">
        <f>E341/F341</f>
        <v/>
      </c>
    </row>
    <row r="342">
      <c r="A342" t="n">
        <v>8192</v>
      </c>
      <c r="B342" t="n">
        <v>2512.69</v>
      </c>
      <c r="C342">
        <f>C326*CEILING(A342*1024/(C319*C323*C318),1)+A342*1024*C324</f>
        <v/>
      </c>
      <c r="D342">
        <f>B342/C342</f>
        <v/>
      </c>
      <c r="E342" t="n">
        <v>5.01</v>
      </c>
      <c r="F342">
        <f>A342*1024/(C342*0.000001)/1000000000*C325</f>
        <v/>
      </c>
      <c r="G342">
        <f>E342/F342</f>
        <v/>
      </c>
    </row>
    <row r="343">
      <c r="A343" t="n">
        <v>16384</v>
      </c>
      <c r="B343" t="n">
        <v>4947.1</v>
      </c>
      <c r="C343">
        <f>C326*CEILING(A343*1024/(C319*C323*C318),1)+A343*1024*C324</f>
        <v/>
      </c>
      <c r="D343">
        <f>B343/C343</f>
        <v/>
      </c>
      <c r="E343" t="n">
        <v>5.09</v>
      </c>
      <c r="F343">
        <f>A343*1024/(C343*0.000001)/1000000000*C325</f>
        <v/>
      </c>
      <c r="G343">
        <f>E343/F343</f>
        <v/>
      </c>
    </row>
    <row r="344">
      <c r="A344" t="n">
        <v>32768</v>
      </c>
      <c r="B344" t="n">
        <v>9825.879999999999</v>
      </c>
      <c r="C344">
        <f>C326*CEILING(A344*1024/(C319*C323*C318),1)+A344*1024*C324</f>
        <v/>
      </c>
      <c r="D344">
        <f>B344/C344</f>
        <v/>
      </c>
      <c r="E344" t="n">
        <v>5.12</v>
      </c>
      <c r="F344">
        <f>A344*1024/(C344*0.000001)/1000000000*C325</f>
        <v/>
      </c>
      <c r="G344">
        <f>E344/F344</f>
        <v/>
      </c>
    </row>
    <row r="345">
      <c r="A345" t="n">
        <v>65536</v>
      </c>
      <c r="B345" t="n">
        <v>19497.9</v>
      </c>
      <c r="C345">
        <f>C326*CEILING(A345*1024/(C319*C323*C318),1)+A345*1024*C324</f>
        <v/>
      </c>
      <c r="D345">
        <f>B345/C345</f>
        <v/>
      </c>
      <c r="E345" t="n">
        <v>5.16</v>
      </c>
      <c r="F345">
        <f>A345*1024/(C345*0.000001)/1000000000*C325</f>
        <v/>
      </c>
      <c r="G345">
        <f>E345/F345</f>
        <v/>
      </c>
    </row>
    <row r="346">
      <c r="A346" t="n">
        <v>131072</v>
      </c>
      <c r="B346" t="n">
        <v>38919.8</v>
      </c>
      <c r="C346">
        <f>C326*CEILING(A346*1024/(C319*C323*C318),1)+A346*1024*C324</f>
        <v/>
      </c>
      <c r="D346">
        <f>B346/C346</f>
        <v/>
      </c>
      <c r="E346" t="n">
        <v>5.17</v>
      </c>
      <c r="F346">
        <f>A346*1024/(C346*0.000001)/1000000000*C325</f>
        <v/>
      </c>
      <c r="G346">
        <f>E346/F346</f>
        <v/>
      </c>
    </row>
    <row r="347">
      <c r="A347" t="n">
        <v>262144</v>
      </c>
      <c r="B347" t="n">
        <v>77612.3</v>
      </c>
      <c r="C347">
        <f>C326*CEILING(A347*1024/(C319*C323*C318),1)+A347*1024*C324</f>
        <v/>
      </c>
      <c r="D347">
        <f>B347/C347</f>
        <v/>
      </c>
      <c r="E347" t="n">
        <v>5.19</v>
      </c>
      <c r="F347">
        <f>A347*1024/(C347*0.000001)/1000000000*C325</f>
        <v/>
      </c>
      <c r="G347">
        <f>E347/F347</f>
        <v/>
      </c>
    </row>
    <row r="348">
      <c r="A348" t="n">
        <v>524288</v>
      </c>
      <c r="B348" t="n">
        <v>155060</v>
      </c>
      <c r="C348">
        <f>C326*CEILING(A348*1024/(C319*C323*C318),1)+A348*1024*C324</f>
        <v/>
      </c>
      <c r="D348">
        <f>B348/C348</f>
        <v/>
      </c>
      <c r="E348" t="n">
        <v>5.19</v>
      </c>
      <c r="F348">
        <f>A348*1024/(C348*0.000001)/1000000000*C325</f>
        <v/>
      </c>
      <c r="G348">
        <f>E348/F348</f>
        <v/>
      </c>
    </row>
    <row r="349">
      <c r="A349" t="n">
        <v>1048576</v>
      </c>
      <c r="B349" t="n">
        <v>309371</v>
      </c>
      <c r="C349">
        <f>C326*CEILING(A349*1024/(C319*C323*C318),1)+A349*1024*C324</f>
        <v/>
      </c>
      <c r="D349">
        <f>B349/C349</f>
        <v/>
      </c>
      <c r="E349" t="n">
        <v>5.21</v>
      </c>
      <c r="F349">
        <f>A349*1024/(C349*0.000001)/1000000000*C325</f>
        <v/>
      </c>
      <c r="G349">
        <f>E349/F349</f>
        <v/>
      </c>
    </row>
    <row r="350"/>
    <row r="351">
      <c r="A351" t="inlineStr">
        <is>
          <t>Nodes: 4, Protocol: LL128, Channels: 1</t>
        </is>
      </c>
    </row>
    <row r="352">
      <c r="A352" t="inlineStr">
        <is>
          <t>Parameter</t>
        </is>
      </c>
      <c r="B352" t="inlineStr">
        <is>
          <t>Formula</t>
        </is>
      </c>
      <c r="C352" t="inlineStr">
        <is>
          <t>Value</t>
        </is>
      </c>
    </row>
    <row r="353">
      <c r="A353" t="inlineStr">
        <is>
          <t>n</t>
        </is>
      </c>
      <c r="B353" t="inlineStr">
        <is>
          <t>nodes on ring</t>
        </is>
      </c>
      <c r="C353" t="n">
        <v>4</v>
      </c>
    </row>
    <row r="354">
      <c r="A354" t="inlineStr">
        <is>
          <t>nch</t>
        </is>
      </c>
      <c r="B354" t="inlineStr">
        <is>
          <t>channels</t>
        </is>
      </c>
      <c r="C354" t="n">
        <v>1</v>
      </c>
    </row>
    <row r="355">
      <c r="A355" t="inlineStr">
        <is>
          <t>a</t>
        </is>
      </c>
      <c r="B355" t="inlineStr">
        <is>
          <t>RTT (us)</t>
        </is>
      </c>
      <c r="C355" t="n">
        <v>25.8107</v>
      </c>
    </row>
    <row r="356">
      <c r="A356" t="inlineStr">
        <is>
          <t>NIC_BW</t>
        </is>
      </c>
      <c r="B356" t="inlineStr">
        <is>
          <t>bytes/us</t>
        </is>
      </c>
      <c r="C356" t="n">
        <v>48750</v>
      </c>
    </row>
    <row r="357">
      <c r="A357" t="inlineStr">
        <is>
          <t>NIC_BW_single_efa</t>
        </is>
      </c>
      <c r="B357" t="inlineStr">
        <is>
          <t>50/2*1e3*0.975</t>
        </is>
      </c>
      <c r="C357" t="n">
        <v>24375</v>
      </c>
    </row>
    <row r="358">
      <c r="A358" t="inlineStr">
        <is>
          <t>chunk_size</t>
        </is>
      </c>
      <c r="B358" t="inlineStr">
        <is>
          <t>576000 bytes</t>
        </is>
      </c>
      <c r="C358" t="n">
        <v>576000</v>
      </c>
    </row>
    <row r="359">
      <c r="A359" t="inlineStr">
        <is>
          <t>G</t>
        </is>
      </c>
      <c r="B359" t="inlineStr">
        <is>
          <t>(16/15)*2*(n-1)/(n*NIC_BW)</t>
        </is>
      </c>
      <c r="C359">
        <f>(16/15)*2*(C353-1)/(C353*C356)</f>
        <v/>
      </c>
    </row>
    <row r="360">
      <c r="A360" t="inlineStr">
        <is>
          <t>busbw_factor</t>
        </is>
      </c>
      <c r="B360" t="inlineStr">
        <is>
          <t>2*(n-1)/n</t>
        </is>
      </c>
      <c r="C360">
        <f>2*(C353-1)/C353</f>
        <v/>
      </c>
    </row>
    <row r="361">
      <c r="A361" t="inlineStr">
        <is>
          <t>fixed_per_step</t>
        </is>
      </c>
      <c r="B361" t="inlineStr">
        <is>
          <t>2*(n-1)*a/2</t>
        </is>
      </c>
      <c r="C361">
        <f>2*(C353-1)*C355/2</f>
        <v/>
      </c>
    </row>
    <row r="362"/>
    <row r="363">
      <c r="A363" t="inlineStr">
        <is>
          <t>size_KB</t>
        </is>
      </c>
      <c r="B363" t="inlineStr">
        <is>
          <t>Actual Time (us)</t>
        </is>
      </c>
      <c r="C363" t="inlineStr">
        <is>
          <t>Roofline Time (us)</t>
        </is>
      </c>
      <c r="D363" t="inlineStr">
        <is>
          <t>Actual/Roofline</t>
        </is>
      </c>
      <c r="E363" t="inlineStr">
        <is>
          <t>Actual busBW (GB/s)</t>
        </is>
      </c>
      <c r="F363" t="inlineStr">
        <is>
          <t>Roofline busBW (GB/s)</t>
        </is>
      </c>
      <c r="G363" t="inlineStr">
        <is>
          <t>Meas/Roof busBW</t>
        </is>
      </c>
    </row>
    <row r="364">
      <c r="A364" t="n">
        <v>1</v>
      </c>
      <c r="B364" t="n">
        <v>110.85</v>
      </c>
      <c r="C364">
        <f>C361*CEILING(A364*1024/(C354*C358*C353),1)+A364*1024*C359</f>
        <v/>
      </c>
      <c r="D364">
        <f>B364/C364</f>
        <v/>
      </c>
      <c r="E364" t="n">
        <v>0.01</v>
      </c>
      <c r="F364">
        <f>A364*1024/(C364*0.000001)/1000000000*C360</f>
        <v/>
      </c>
      <c r="G364">
        <f>E364/F364</f>
        <v/>
      </c>
    </row>
    <row r="365">
      <c r="A365" t="n">
        <v>2</v>
      </c>
      <c r="B365" t="n">
        <v>110.8</v>
      </c>
      <c r="C365">
        <f>C361*CEILING(A365*1024/(C354*C358*C353),1)+A365*1024*C359</f>
        <v/>
      </c>
      <c r="D365">
        <f>B365/C365</f>
        <v/>
      </c>
      <c r="E365" t="n">
        <v>0.03</v>
      </c>
      <c r="F365">
        <f>A365*1024/(C365*0.000001)/1000000000*C360</f>
        <v/>
      </c>
      <c r="G365">
        <f>E365/F365</f>
        <v/>
      </c>
    </row>
    <row r="366">
      <c r="A366" t="n">
        <v>4</v>
      </c>
      <c r="B366" t="n">
        <v>111.3</v>
      </c>
      <c r="C366">
        <f>C361*CEILING(A366*1024/(C354*C358*C353),1)+A366*1024*C359</f>
        <v/>
      </c>
      <c r="D366">
        <f>B366/C366</f>
        <v/>
      </c>
      <c r="E366" t="n">
        <v>0.06</v>
      </c>
      <c r="F366">
        <f>A366*1024/(C366*0.000001)/1000000000*C360</f>
        <v/>
      </c>
      <c r="G366">
        <f>E366/F366</f>
        <v/>
      </c>
    </row>
    <row r="367">
      <c r="A367" t="n">
        <v>8</v>
      </c>
      <c r="B367" t="n">
        <v>116</v>
      </c>
      <c r="C367">
        <f>C361*CEILING(A367*1024/(C354*C358*C353),1)+A367*1024*C359</f>
        <v/>
      </c>
      <c r="D367">
        <f>B367/C367</f>
        <v/>
      </c>
      <c r="E367" t="n">
        <v>0.11</v>
      </c>
      <c r="F367">
        <f>A367*1024/(C367*0.000001)/1000000000*C360</f>
        <v/>
      </c>
      <c r="G367">
        <f>E367/F367</f>
        <v/>
      </c>
    </row>
    <row r="368">
      <c r="A368" t="n">
        <v>16</v>
      </c>
      <c r="B368" t="n">
        <v>121.34</v>
      </c>
      <c r="C368">
        <f>C361*CEILING(A368*1024/(C354*C358*C353),1)+A368*1024*C359</f>
        <v/>
      </c>
      <c r="D368">
        <f>B368/C368</f>
        <v/>
      </c>
      <c r="E368" t="n">
        <v>0.2</v>
      </c>
      <c r="F368">
        <f>A368*1024/(C368*0.000001)/1000000000*C360</f>
        <v/>
      </c>
      <c r="G368">
        <f>E368/F368</f>
        <v/>
      </c>
    </row>
    <row r="369">
      <c r="A369" t="n">
        <v>32</v>
      </c>
      <c r="B369" t="n">
        <v>129.81</v>
      </c>
      <c r="C369">
        <f>C361*CEILING(A369*1024/(C354*C358*C353),1)+A369*1024*C359</f>
        <v/>
      </c>
      <c r="D369">
        <f>B369/C369</f>
        <v/>
      </c>
      <c r="E369" t="n">
        <v>0.38</v>
      </c>
      <c r="F369">
        <f>A369*1024/(C369*0.000001)/1000000000*C360</f>
        <v/>
      </c>
      <c r="G369">
        <f>E369/F369</f>
        <v/>
      </c>
    </row>
    <row r="370">
      <c r="A370" t="n">
        <v>64</v>
      </c>
      <c r="B370" t="n">
        <v>134.97</v>
      </c>
      <c r="C370">
        <f>C361*CEILING(A370*1024/(C354*C358*C353),1)+A370*1024*C359</f>
        <v/>
      </c>
      <c r="D370">
        <f>B370/C370</f>
        <v/>
      </c>
      <c r="E370" t="n">
        <v>0.73</v>
      </c>
      <c r="F370">
        <f>A370*1024/(C370*0.000001)/1000000000*C360</f>
        <v/>
      </c>
      <c r="G370">
        <f>E370/F370</f>
        <v/>
      </c>
    </row>
    <row r="371">
      <c r="A371" t="n">
        <v>128</v>
      </c>
      <c r="B371" t="n">
        <v>144.55</v>
      </c>
      <c r="C371">
        <f>C361*CEILING(A371*1024/(C354*C358*C353),1)+A371*1024*C359</f>
        <v/>
      </c>
      <c r="D371">
        <f>B371/C371</f>
        <v/>
      </c>
      <c r="E371" t="n">
        <v>1.36</v>
      </c>
      <c r="F371">
        <f>A371*1024/(C371*0.000001)/1000000000*C360</f>
        <v/>
      </c>
      <c r="G371">
        <f>E371/F371</f>
        <v/>
      </c>
    </row>
    <row r="372">
      <c r="A372" t="n">
        <v>256</v>
      </c>
      <c r="B372" t="n">
        <v>160.98</v>
      </c>
      <c r="C372">
        <f>C361*CEILING(A372*1024/(C354*C358*C353),1)+A372*1024*C359</f>
        <v/>
      </c>
      <c r="D372">
        <f>B372/C372</f>
        <v/>
      </c>
      <c r="E372" t="n">
        <v>2.44</v>
      </c>
      <c r="F372">
        <f>A372*1024/(C372*0.000001)/1000000000*C360</f>
        <v/>
      </c>
      <c r="G372">
        <f>E372/F372</f>
        <v/>
      </c>
    </row>
    <row r="373">
      <c r="A373" t="n">
        <v>512</v>
      </c>
      <c r="B373" t="n">
        <v>176.77</v>
      </c>
      <c r="C373">
        <f>C361*CEILING(A373*1024/(C354*C358*C353),1)+A373*1024*C359</f>
        <v/>
      </c>
      <c r="D373">
        <f>B373/C373</f>
        <v/>
      </c>
      <c r="E373" t="n">
        <v>4.45</v>
      </c>
      <c r="F373">
        <f>A373*1024/(C373*0.000001)/1000000000*C360</f>
        <v/>
      </c>
      <c r="G373">
        <f>E373/F373</f>
        <v/>
      </c>
    </row>
    <row r="374">
      <c r="A374" t="n">
        <v>1024</v>
      </c>
      <c r="B374" t="n">
        <v>228.62</v>
      </c>
      <c r="C374">
        <f>C361*CEILING(A374*1024/(C354*C358*C353),1)+A374*1024*C359</f>
        <v/>
      </c>
      <c r="D374">
        <f>B374/C374</f>
        <v/>
      </c>
      <c r="E374" t="n">
        <v>6.88</v>
      </c>
      <c r="F374">
        <f>A374*1024/(C374*0.000001)/1000000000*C360</f>
        <v/>
      </c>
      <c r="G374">
        <f>E374/F374</f>
        <v/>
      </c>
    </row>
    <row r="375">
      <c r="A375" t="n">
        <v>2048</v>
      </c>
      <c r="B375" t="n">
        <v>319.49</v>
      </c>
      <c r="C375">
        <f>C361*CEILING(A375*1024/(C354*C358*C353),1)+A375*1024*C359</f>
        <v/>
      </c>
      <c r="D375">
        <f>B375/C375</f>
        <v/>
      </c>
      <c r="E375" t="n">
        <v>9.85</v>
      </c>
      <c r="F375">
        <f>A375*1024/(C375*0.000001)/1000000000*C360</f>
        <v/>
      </c>
      <c r="G375">
        <f>E375/F375</f>
        <v/>
      </c>
    </row>
    <row r="376">
      <c r="A376" t="n">
        <v>4096</v>
      </c>
      <c r="B376" t="n">
        <v>631.15</v>
      </c>
      <c r="C376">
        <f>C361*CEILING(A376*1024/(C354*C358*C353),1)+A376*1024*C359</f>
        <v/>
      </c>
      <c r="D376">
        <f>B376/C376</f>
        <v/>
      </c>
      <c r="E376" t="n">
        <v>9.970000000000001</v>
      </c>
      <c r="F376">
        <f>A376*1024/(C376*0.000001)/1000000000*C360</f>
        <v/>
      </c>
      <c r="G376">
        <f>E376/F376</f>
        <v/>
      </c>
    </row>
    <row r="377">
      <c r="A377" t="n">
        <v>8192</v>
      </c>
      <c r="B377" t="n">
        <v>1254.61</v>
      </c>
      <c r="C377">
        <f>C361*CEILING(A377*1024/(C354*C358*C353),1)+A377*1024*C359</f>
        <v/>
      </c>
      <c r="D377">
        <f>B377/C377</f>
        <v/>
      </c>
      <c r="E377" t="n">
        <v>10.03</v>
      </c>
      <c r="F377">
        <f>A377*1024/(C377*0.000001)/1000000000*C360</f>
        <v/>
      </c>
      <c r="G377">
        <f>E377/F377</f>
        <v/>
      </c>
    </row>
    <row r="378">
      <c r="A378" t="n">
        <v>16384</v>
      </c>
      <c r="B378" t="n">
        <v>2499.82</v>
      </c>
      <c r="C378">
        <f>C361*CEILING(A378*1024/(C354*C358*C353),1)+A378*1024*C359</f>
        <v/>
      </c>
      <c r="D378">
        <f>B378/C378</f>
        <v/>
      </c>
      <c r="E378" t="n">
        <v>10.07</v>
      </c>
      <c r="F378">
        <f>A378*1024/(C378*0.000001)/1000000000*C360</f>
        <v/>
      </c>
      <c r="G378">
        <f>E378/F378</f>
        <v/>
      </c>
    </row>
    <row r="379">
      <c r="A379" t="n">
        <v>32768</v>
      </c>
      <c r="B379" t="n">
        <v>4875.52</v>
      </c>
      <c r="C379">
        <f>C361*CEILING(A379*1024/(C354*C358*C353),1)+A379*1024*C359</f>
        <v/>
      </c>
      <c r="D379">
        <f>B379/C379</f>
        <v/>
      </c>
      <c r="E379" t="n">
        <v>10.32</v>
      </c>
      <c r="F379">
        <f>A379*1024/(C379*0.000001)/1000000000*C360</f>
        <v/>
      </c>
      <c r="G379">
        <f>E379/F379</f>
        <v/>
      </c>
    </row>
    <row r="380">
      <c r="A380" t="n">
        <v>65536</v>
      </c>
      <c r="B380" t="n">
        <v>9745.799999999999</v>
      </c>
      <c r="C380">
        <f>C361*CEILING(A380*1024/(C354*C358*C353),1)+A380*1024*C359</f>
        <v/>
      </c>
      <c r="D380">
        <f>B380/C380</f>
        <v/>
      </c>
      <c r="E380" t="n">
        <v>10.33</v>
      </c>
      <c r="F380">
        <f>A380*1024/(C380*0.000001)/1000000000*C360</f>
        <v/>
      </c>
      <c r="G380">
        <f>E380/F380</f>
        <v/>
      </c>
    </row>
    <row r="381">
      <c r="A381" t="n">
        <v>131072</v>
      </c>
      <c r="B381" t="n">
        <v>19347.2</v>
      </c>
      <c r="C381">
        <f>C361*CEILING(A381*1024/(C354*C358*C353),1)+A381*1024*C359</f>
        <v/>
      </c>
      <c r="D381">
        <f>B381/C381</f>
        <v/>
      </c>
      <c r="E381" t="n">
        <v>10.41</v>
      </c>
      <c r="F381">
        <f>A381*1024/(C381*0.000001)/1000000000*C360</f>
        <v/>
      </c>
      <c r="G381">
        <f>E381/F381</f>
        <v/>
      </c>
    </row>
    <row r="382">
      <c r="A382" t="n">
        <v>262144</v>
      </c>
      <c r="B382" t="n">
        <v>38580.3</v>
      </c>
      <c r="C382">
        <f>C361*CEILING(A382*1024/(C354*C358*C353),1)+A382*1024*C359</f>
        <v/>
      </c>
      <c r="D382">
        <f>B382/C382</f>
        <v/>
      </c>
      <c r="E382" t="n">
        <v>10.44</v>
      </c>
      <c r="F382">
        <f>A382*1024/(C382*0.000001)/1000000000*C360</f>
        <v/>
      </c>
      <c r="G382">
        <f>E382/F382</f>
        <v/>
      </c>
    </row>
    <row r="383">
      <c r="A383" t="n">
        <v>524288</v>
      </c>
      <c r="B383" t="n">
        <v>77013.2</v>
      </c>
      <c r="C383">
        <f>C361*CEILING(A383*1024/(C354*C358*C353),1)+A383*1024*C359</f>
        <v/>
      </c>
      <c r="D383">
        <f>B383/C383</f>
        <v/>
      </c>
      <c r="E383" t="n">
        <v>10.46</v>
      </c>
      <c r="F383">
        <f>A383*1024/(C383*0.000001)/1000000000*C360</f>
        <v/>
      </c>
      <c r="G383">
        <f>E383/F383</f>
        <v/>
      </c>
    </row>
    <row r="384">
      <c r="A384" t="n">
        <v>1048576</v>
      </c>
      <c r="B384" t="n">
        <v>154202</v>
      </c>
      <c r="C384">
        <f>C361*CEILING(A384*1024/(C354*C358*C353),1)+A384*1024*C359</f>
        <v/>
      </c>
      <c r="D384">
        <f>B384/C384</f>
        <v/>
      </c>
      <c r="E384" t="n">
        <v>10.44</v>
      </c>
      <c r="F384">
        <f>A384*1024/(C384*0.000001)/1000000000*C360</f>
        <v/>
      </c>
      <c r="G384">
        <f>E384/F384</f>
        <v/>
      </c>
    </row>
    <row r="385"/>
    <row r="386">
      <c r="A386" t="inlineStr">
        <is>
          <t>Nodes: 4, Protocol: LL128, Channels: 2</t>
        </is>
      </c>
    </row>
    <row r="387">
      <c r="A387" t="inlineStr">
        <is>
          <t>Parameter</t>
        </is>
      </c>
      <c r="B387" t="inlineStr">
        <is>
          <t>Formula</t>
        </is>
      </c>
      <c r="C387" t="inlineStr">
        <is>
          <t>Value</t>
        </is>
      </c>
    </row>
    <row r="388">
      <c r="A388" t="inlineStr">
        <is>
          <t>n</t>
        </is>
      </c>
      <c r="B388" t="inlineStr">
        <is>
          <t>nodes on ring</t>
        </is>
      </c>
      <c r="C388" t="n">
        <v>4</v>
      </c>
    </row>
    <row r="389">
      <c r="A389" t="inlineStr">
        <is>
          <t>nch</t>
        </is>
      </c>
      <c r="B389" t="inlineStr">
        <is>
          <t>channels</t>
        </is>
      </c>
      <c r="C389" t="n">
        <v>2</v>
      </c>
    </row>
    <row r="390">
      <c r="A390" t="inlineStr">
        <is>
          <t>a</t>
        </is>
      </c>
      <c r="B390" t="inlineStr">
        <is>
          <t>RTT (us)</t>
        </is>
      </c>
      <c r="C390" t="n">
        <v>25.8107</v>
      </c>
    </row>
    <row r="391">
      <c r="A391" t="inlineStr">
        <is>
          <t>NIC_BW</t>
        </is>
      </c>
      <c r="B391" t="inlineStr">
        <is>
          <t>bytes/us</t>
        </is>
      </c>
      <c r="C391" t="n">
        <v>48750</v>
      </c>
    </row>
    <row r="392">
      <c r="A392" t="inlineStr">
        <is>
          <t>NIC_BW_single_efa</t>
        </is>
      </c>
      <c r="B392" t="inlineStr">
        <is>
          <t>50/2*1e3*0.975</t>
        </is>
      </c>
      <c r="C392" t="n">
        <v>24375</v>
      </c>
    </row>
    <row r="393">
      <c r="A393" t="inlineStr">
        <is>
          <t>chunk_size</t>
        </is>
      </c>
      <c r="B393" t="inlineStr">
        <is>
          <t>576000 bytes</t>
        </is>
      </c>
      <c r="C393" t="n">
        <v>576000</v>
      </c>
    </row>
    <row r="394">
      <c r="A394" t="inlineStr">
        <is>
          <t>G</t>
        </is>
      </c>
      <c r="B394" t="inlineStr">
        <is>
          <t>(16/15)*2*(n-1)/(n*NIC_BW)</t>
        </is>
      </c>
      <c r="C394">
        <f>(16/15)*2*(C388-1)/(C388*C391)</f>
        <v/>
      </c>
    </row>
    <row r="395">
      <c r="A395" t="inlineStr">
        <is>
          <t>busbw_factor</t>
        </is>
      </c>
      <c r="B395" t="inlineStr">
        <is>
          <t>2*(n-1)/n</t>
        </is>
      </c>
      <c r="C395">
        <f>2*(C388-1)/C388</f>
        <v/>
      </c>
    </row>
    <row r="396">
      <c r="A396" t="inlineStr">
        <is>
          <t>fixed_per_step</t>
        </is>
      </c>
      <c r="B396" t="inlineStr">
        <is>
          <t>2*(n-1)*a/2</t>
        </is>
      </c>
      <c r="C396">
        <f>2*(C388-1)*C390/2</f>
        <v/>
      </c>
    </row>
    <row r="397"/>
    <row r="398">
      <c r="A398" t="inlineStr">
        <is>
          <t>size_KB</t>
        </is>
      </c>
      <c r="B398" t="inlineStr">
        <is>
          <t>Actual Time (us)</t>
        </is>
      </c>
      <c r="C398" t="inlineStr">
        <is>
          <t>Roofline Time (us)</t>
        </is>
      </c>
      <c r="D398" t="inlineStr">
        <is>
          <t>Actual/Roofline</t>
        </is>
      </c>
      <c r="E398" t="inlineStr">
        <is>
          <t>Actual busBW (GB/s)</t>
        </is>
      </c>
      <c r="F398" t="inlineStr">
        <is>
          <t>Roofline busBW (GB/s)</t>
        </is>
      </c>
      <c r="G398" t="inlineStr">
        <is>
          <t>Meas/Roof busBW</t>
        </is>
      </c>
    </row>
    <row r="399">
      <c r="A399" t="n">
        <v>1</v>
      </c>
      <c r="B399" t="n">
        <v>111.31</v>
      </c>
      <c r="C399">
        <f>C396*CEILING(A399*1024/(C389*C393*C388),1)+A399*1024*C394</f>
        <v/>
      </c>
      <c r="D399">
        <f>B399/C399</f>
        <v/>
      </c>
      <c r="E399" t="n">
        <v>0.01</v>
      </c>
      <c r="F399">
        <f>A399*1024/(C399*0.000001)/1000000000*C395</f>
        <v/>
      </c>
      <c r="G399">
        <f>E399/F399</f>
        <v/>
      </c>
    </row>
    <row r="400">
      <c r="A400" t="n">
        <v>2</v>
      </c>
      <c r="B400" t="n">
        <v>111.03</v>
      </c>
      <c r="C400">
        <f>C396*CEILING(A400*1024/(C389*C393*C388),1)+A400*1024*C394</f>
        <v/>
      </c>
      <c r="D400">
        <f>B400/C400</f>
        <v/>
      </c>
      <c r="E400" t="n">
        <v>0.03</v>
      </c>
      <c r="F400">
        <f>A400*1024/(C400*0.000001)/1000000000*C395</f>
        <v/>
      </c>
      <c r="G400">
        <f>E400/F400</f>
        <v/>
      </c>
    </row>
    <row r="401">
      <c r="A401" t="n">
        <v>4</v>
      </c>
      <c r="B401" t="n">
        <v>110.87</v>
      </c>
      <c r="C401">
        <f>C396*CEILING(A401*1024/(C389*C393*C388),1)+A401*1024*C394</f>
        <v/>
      </c>
      <c r="D401">
        <f>B401/C401</f>
        <v/>
      </c>
      <c r="E401" t="n">
        <v>0.06</v>
      </c>
      <c r="F401">
        <f>A401*1024/(C401*0.000001)/1000000000*C395</f>
        <v/>
      </c>
      <c r="G401">
        <f>E401/F401</f>
        <v/>
      </c>
    </row>
    <row r="402">
      <c r="A402" t="n">
        <v>8</v>
      </c>
      <c r="B402" t="n">
        <v>115.96</v>
      </c>
      <c r="C402">
        <f>C396*CEILING(A402*1024/(C389*C393*C388),1)+A402*1024*C394</f>
        <v/>
      </c>
      <c r="D402">
        <f>B402/C402</f>
        <v/>
      </c>
      <c r="E402" t="n">
        <v>0.11</v>
      </c>
      <c r="F402">
        <f>A402*1024/(C402*0.000001)/1000000000*C395</f>
        <v/>
      </c>
      <c r="G402">
        <f>E402/F402</f>
        <v/>
      </c>
    </row>
    <row r="403">
      <c r="A403" t="n">
        <v>16</v>
      </c>
      <c r="B403" t="n">
        <v>121.57</v>
      </c>
      <c r="C403">
        <f>C396*CEILING(A403*1024/(C389*C393*C388),1)+A403*1024*C394</f>
        <v/>
      </c>
      <c r="D403">
        <f>B403/C403</f>
        <v/>
      </c>
      <c r="E403" t="n">
        <v>0.2</v>
      </c>
      <c r="F403">
        <f>A403*1024/(C403*0.000001)/1000000000*C395</f>
        <v/>
      </c>
      <c r="G403">
        <f>E403/F403</f>
        <v/>
      </c>
    </row>
    <row r="404">
      <c r="A404" t="n">
        <v>32</v>
      </c>
      <c r="B404" t="n">
        <v>123.49</v>
      </c>
      <c r="C404">
        <f>C396*CEILING(A404*1024/(C389*C393*C388),1)+A404*1024*C394</f>
        <v/>
      </c>
      <c r="D404">
        <f>B404/C404</f>
        <v/>
      </c>
      <c r="E404" t="n">
        <v>0.4</v>
      </c>
      <c r="F404">
        <f>A404*1024/(C404*0.000001)/1000000000*C395</f>
        <v/>
      </c>
      <c r="G404">
        <f>E404/F404</f>
        <v/>
      </c>
    </row>
    <row r="405">
      <c r="A405" t="n">
        <v>64</v>
      </c>
      <c r="B405" t="n">
        <v>132</v>
      </c>
      <c r="C405">
        <f>C396*CEILING(A405*1024/(C389*C393*C388),1)+A405*1024*C394</f>
        <v/>
      </c>
      <c r="D405">
        <f>B405/C405</f>
        <v/>
      </c>
      <c r="E405" t="n">
        <v>0.74</v>
      </c>
      <c r="F405">
        <f>A405*1024/(C405*0.000001)/1000000000*C395</f>
        <v/>
      </c>
      <c r="G405">
        <f>E405/F405</f>
        <v/>
      </c>
    </row>
    <row r="406">
      <c r="A406" t="n">
        <v>128</v>
      </c>
      <c r="B406" t="n">
        <v>138.41</v>
      </c>
      <c r="C406">
        <f>C396*CEILING(A406*1024/(C389*C393*C388),1)+A406*1024*C394</f>
        <v/>
      </c>
      <c r="D406">
        <f>B406/C406</f>
        <v/>
      </c>
      <c r="E406" t="n">
        <v>1.42</v>
      </c>
      <c r="F406">
        <f>A406*1024/(C406*0.000001)/1000000000*C395</f>
        <v/>
      </c>
      <c r="G406">
        <f>E406/F406</f>
        <v/>
      </c>
    </row>
    <row r="407">
      <c r="A407" t="n">
        <v>256</v>
      </c>
      <c r="B407" t="n">
        <v>148.45</v>
      </c>
      <c r="C407">
        <f>C396*CEILING(A407*1024/(C389*C393*C388),1)+A407*1024*C394</f>
        <v/>
      </c>
      <c r="D407">
        <f>B407/C407</f>
        <v/>
      </c>
      <c r="E407" t="n">
        <v>2.65</v>
      </c>
      <c r="F407">
        <f>A407*1024/(C407*0.000001)/1000000000*C395</f>
        <v/>
      </c>
      <c r="G407">
        <f>E407/F407</f>
        <v/>
      </c>
    </row>
    <row r="408">
      <c r="A408" t="n">
        <v>512</v>
      </c>
      <c r="B408" t="n">
        <v>165.97</v>
      </c>
      <c r="C408">
        <f>C396*CEILING(A408*1024/(C389*C393*C388),1)+A408*1024*C394</f>
        <v/>
      </c>
      <c r="D408">
        <f>B408/C408</f>
        <v/>
      </c>
      <c r="E408" t="n">
        <v>4.74</v>
      </c>
      <c r="F408">
        <f>A408*1024/(C408*0.000001)/1000000000*C395</f>
        <v/>
      </c>
      <c r="G408">
        <f>E408/F408</f>
        <v/>
      </c>
    </row>
    <row r="409">
      <c r="A409" t="n">
        <v>1024</v>
      </c>
      <c r="B409" t="n">
        <v>188.87</v>
      </c>
      <c r="C409">
        <f>C396*CEILING(A409*1024/(C389*C393*C388),1)+A409*1024*C394</f>
        <v/>
      </c>
      <c r="D409">
        <f>B409/C409</f>
        <v/>
      </c>
      <c r="E409" t="n">
        <v>8.33</v>
      </c>
      <c r="F409">
        <f>A409*1024/(C409*0.000001)/1000000000*C395</f>
        <v/>
      </c>
      <c r="G409">
        <f>E409/F409</f>
        <v/>
      </c>
    </row>
    <row r="410">
      <c r="A410" t="n">
        <v>2048</v>
      </c>
      <c r="B410" t="n">
        <v>245.59</v>
      </c>
      <c r="C410">
        <f>C396*CEILING(A410*1024/(C389*C393*C388),1)+A410*1024*C394</f>
        <v/>
      </c>
      <c r="D410">
        <f>B410/C410</f>
        <v/>
      </c>
      <c r="E410" t="n">
        <v>12.81</v>
      </c>
      <c r="F410">
        <f>A410*1024/(C410*0.000001)/1000000000*C395</f>
        <v/>
      </c>
      <c r="G410">
        <f>E410/F410</f>
        <v/>
      </c>
    </row>
    <row r="411">
      <c r="A411" t="n">
        <v>4096</v>
      </c>
      <c r="B411" t="n">
        <v>347.73</v>
      </c>
      <c r="C411">
        <f>C396*CEILING(A411*1024/(C389*C393*C388),1)+A411*1024*C394</f>
        <v/>
      </c>
      <c r="D411">
        <f>B411/C411</f>
        <v/>
      </c>
      <c r="E411" t="n">
        <v>18.09</v>
      </c>
      <c r="F411">
        <f>A411*1024/(C411*0.000001)/1000000000*C395</f>
        <v/>
      </c>
      <c r="G411">
        <f>E411/F411</f>
        <v/>
      </c>
    </row>
    <row r="412">
      <c r="A412" t="n">
        <v>8192</v>
      </c>
      <c r="B412" t="n">
        <v>675.15</v>
      </c>
      <c r="C412">
        <f>C396*CEILING(A412*1024/(C389*C393*C388),1)+A412*1024*C394</f>
        <v/>
      </c>
      <c r="D412">
        <f>B412/C412</f>
        <v/>
      </c>
      <c r="E412" t="n">
        <v>18.64</v>
      </c>
      <c r="F412">
        <f>A412*1024/(C412*0.000001)/1000000000*C395</f>
        <v/>
      </c>
      <c r="G412">
        <f>E412/F412</f>
        <v/>
      </c>
    </row>
    <row r="413">
      <c r="A413" t="n">
        <v>16384</v>
      </c>
      <c r="B413" t="n">
        <v>1329.63</v>
      </c>
      <c r="C413">
        <f>C396*CEILING(A413*1024/(C389*C393*C388),1)+A413*1024*C394</f>
        <v/>
      </c>
      <c r="D413">
        <f>B413/C413</f>
        <v/>
      </c>
      <c r="E413" t="n">
        <v>18.93</v>
      </c>
      <c r="F413">
        <f>A413*1024/(C413*0.000001)/1000000000*C395</f>
        <v/>
      </c>
      <c r="G413">
        <f>E413/F413</f>
        <v/>
      </c>
    </row>
    <row r="414">
      <c r="A414" t="n">
        <v>32768</v>
      </c>
      <c r="B414" t="n">
        <v>2615.07</v>
      </c>
      <c r="C414">
        <f>C396*CEILING(A414*1024/(C389*C393*C388),1)+A414*1024*C394</f>
        <v/>
      </c>
      <c r="D414">
        <f>B414/C414</f>
        <v/>
      </c>
      <c r="E414" t="n">
        <v>19.25</v>
      </c>
      <c r="F414">
        <f>A414*1024/(C414*0.000001)/1000000000*C395</f>
        <v/>
      </c>
      <c r="G414">
        <f>E414/F414</f>
        <v/>
      </c>
    </row>
    <row r="415">
      <c r="A415" t="n">
        <v>65536</v>
      </c>
      <c r="B415" t="n">
        <v>5082.31</v>
      </c>
      <c r="C415">
        <f>C396*CEILING(A415*1024/(C389*C393*C388),1)+A415*1024*C394</f>
        <v/>
      </c>
      <c r="D415">
        <f>B415/C415</f>
        <v/>
      </c>
      <c r="E415" t="n">
        <v>19.81</v>
      </c>
      <c r="F415">
        <f>A415*1024/(C415*0.000001)/1000000000*C395</f>
        <v/>
      </c>
      <c r="G415">
        <f>E415/F415</f>
        <v/>
      </c>
    </row>
    <row r="416">
      <c r="A416" t="n">
        <v>131072</v>
      </c>
      <c r="B416" t="n">
        <v>10135</v>
      </c>
      <c r="C416">
        <f>C396*CEILING(A416*1024/(C389*C393*C388),1)+A416*1024*C394</f>
        <v/>
      </c>
      <c r="D416">
        <f>B416/C416</f>
        <v/>
      </c>
      <c r="E416" t="n">
        <v>19.86</v>
      </c>
      <c r="F416">
        <f>A416*1024/(C416*0.000001)/1000000000*C395</f>
        <v/>
      </c>
      <c r="G416">
        <f>E416/F416</f>
        <v/>
      </c>
    </row>
    <row r="417">
      <c r="A417" t="n">
        <v>262144</v>
      </c>
      <c r="B417" t="n">
        <v>20104</v>
      </c>
      <c r="C417">
        <f>C396*CEILING(A417*1024/(C389*C393*C388),1)+A417*1024*C394</f>
        <v/>
      </c>
      <c r="D417">
        <f>B417/C417</f>
        <v/>
      </c>
      <c r="E417" t="n">
        <v>20.03</v>
      </c>
      <c r="F417">
        <f>A417*1024/(C417*0.000001)/1000000000*C395</f>
        <v/>
      </c>
      <c r="G417">
        <f>E417/F417</f>
        <v/>
      </c>
    </row>
    <row r="418">
      <c r="A418" t="n">
        <v>524288</v>
      </c>
      <c r="B418" t="n">
        <v>40070.2</v>
      </c>
      <c r="C418">
        <f>C396*CEILING(A418*1024/(C389*C393*C388),1)+A418*1024*C394</f>
        <v/>
      </c>
      <c r="D418">
        <f>B418/C418</f>
        <v/>
      </c>
      <c r="E418" t="n">
        <v>20.1</v>
      </c>
      <c r="F418">
        <f>A418*1024/(C418*0.000001)/1000000000*C395</f>
        <v/>
      </c>
      <c r="G418">
        <f>E418/F418</f>
        <v/>
      </c>
    </row>
    <row r="419">
      <c r="A419" t="n">
        <v>1048576</v>
      </c>
      <c r="B419" t="n">
        <v>80151.2</v>
      </c>
      <c r="C419">
        <f>C396*CEILING(A419*1024/(C389*C393*C388),1)+A419*1024*C394</f>
        <v/>
      </c>
      <c r="D419">
        <f>B419/C419</f>
        <v/>
      </c>
      <c r="E419" t="n">
        <v>20.09</v>
      </c>
      <c r="F419">
        <f>A419*1024/(C419*0.000001)/1000000000*C395</f>
        <v/>
      </c>
      <c r="G419">
        <f>E419/F419</f>
        <v/>
      </c>
    </row>
    <row r="420"/>
    <row r="421">
      <c r="A421" t="inlineStr">
        <is>
          <t>Nodes: 4, Protocol: LL128, Channels: 4</t>
        </is>
      </c>
    </row>
    <row r="422">
      <c r="A422" t="inlineStr">
        <is>
          <t>Parameter</t>
        </is>
      </c>
      <c r="B422" t="inlineStr">
        <is>
          <t>Formula</t>
        </is>
      </c>
      <c r="C422" t="inlineStr">
        <is>
          <t>Value</t>
        </is>
      </c>
    </row>
    <row r="423">
      <c r="A423" t="inlineStr">
        <is>
          <t>n</t>
        </is>
      </c>
      <c r="B423" t="inlineStr">
        <is>
          <t>nodes on ring</t>
        </is>
      </c>
      <c r="C423" t="n">
        <v>4</v>
      </c>
    </row>
    <row r="424">
      <c r="A424" t="inlineStr">
        <is>
          <t>nch</t>
        </is>
      </c>
      <c r="B424" t="inlineStr">
        <is>
          <t>channels</t>
        </is>
      </c>
      <c r="C424" t="n">
        <v>4</v>
      </c>
    </row>
    <row r="425">
      <c r="A425" t="inlineStr">
        <is>
          <t>a</t>
        </is>
      </c>
      <c r="B425" t="inlineStr">
        <is>
          <t>RTT (us)</t>
        </is>
      </c>
      <c r="C425" t="n">
        <v>25.8107</v>
      </c>
    </row>
    <row r="426">
      <c r="A426" t="inlineStr">
        <is>
          <t>NIC_BW</t>
        </is>
      </c>
      <c r="B426" t="inlineStr">
        <is>
          <t>bytes/us</t>
        </is>
      </c>
      <c r="C426" t="n">
        <v>48750</v>
      </c>
    </row>
    <row r="427">
      <c r="A427" t="inlineStr">
        <is>
          <t>NIC_BW_single_efa</t>
        </is>
      </c>
      <c r="B427" t="inlineStr">
        <is>
          <t>50/2*1e3*0.975</t>
        </is>
      </c>
      <c r="C427" t="n">
        <v>24375</v>
      </c>
    </row>
    <row r="428">
      <c r="A428" t="inlineStr">
        <is>
          <t>chunk_size</t>
        </is>
      </c>
      <c r="B428" t="inlineStr">
        <is>
          <t>576000 bytes</t>
        </is>
      </c>
      <c r="C428" t="n">
        <v>576000</v>
      </c>
    </row>
    <row r="429">
      <c r="A429" t="inlineStr">
        <is>
          <t>G</t>
        </is>
      </c>
      <c r="B429" t="inlineStr">
        <is>
          <t>(16/15)*2*(n-1)/(n*NIC_BW)</t>
        </is>
      </c>
      <c r="C429">
        <f>(16/15)*2*(C423-1)/(C423*C426)</f>
        <v/>
      </c>
    </row>
    <row r="430">
      <c r="A430" t="inlineStr">
        <is>
          <t>busbw_factor</t>
        </is>
      </c>
      <c r="B430" t="inlineStr">
        <is>
          <t>2*(n-1)/n</t>
        </is>
      </c>
      <c r="C430">
        <f>2*(C423-1)/C423</f>
        <v/>
      </c>
    </row>
    <row r="431">
      <c r="A431" t="inlineStr">
        <is>
          <t>fixed_per_step</t>
        </is>
      </c>
      <c r="B431" t="inlineStr">
        <is>
          <t>2*(n-1)*a/2</t>
        </is>
      </c>
      <c r="C431">
        <f>2*(C423-1)*C425/2</f>
        <v/>
      </c>
    </row>
    <row r="432"/>
    <row r="433">
      <c r="A433" t="inlineStr">
        <is>
          <t>size_KB</t>
        </is>
      </c>
      <c r="B433" t="inlineStr">
        <is>
          <t>Actual Time (us)</t>
        </is>
      </c>
      <c r="C433" t="inlineStr">
        <is>
          <t>Roofline Time (us)</t>
        </is>
      </c>
      <c r="D433" t="inlineStr">
        <is>
          <t>Actual/Roofline</t>
        </is>
      </c>
      <c r="E433" t="inlineStr">
        <is>
          <t>Actual busBW (GB/s)</t>
        </is>
      </c>
      <c r="F433" t="inlineStr">
        <is>
          <t>Roofline busBW (GB/s)</t>
        </is>
      </c>
      <c r="G433" t="inlineStr">
        <is>
          <t>Meas/Roof busBW</t>
        </is>
      </c>
    </row>
    <row r="434">
      <c r="A434" t="n">
        <v>1</v>
      </c>
      <c r="B434" t="n">
        <v>110.58</v>
      </c>
      <c r="C434">
        <f>C431*CEILING(A434*1024/(C424*C428*C423),1)+A434*1024*C429</f>
        <v/>
      </c>
      <c r="D434">
        <f>B434/C434</f>
        <v/>
      </c>
      <c r="E434" t="n">
        <v>0.01</v>
      </c>
      <c r="F434">
        <f>A434*1024/(C434*0.000001)/1000000000*C430</f>
        <v/>
      </c>
      <c r="G434">
        <f>E434/F434</f>
        <v/>
      </c>
    </row>
    <row r="435">
      <c r="A435" t="n">
        <v>2</v>
      </c>
      <c r="B435" t="n">
        <v>110.11</v>
      </c>
      <c r="C435">
        <f>C431*CEILING(A435*1024/(C424*C428*C423),1)+A435*1024*C429</f>
        <v/>
      </c>
      <c r="D435">
        <f>B435/C435</f>
        <v/>
      </c>
      <c r="E435" t="n">
        <v>0.03</v>
      </c>
      <c r="F435">
        <f>A435*1024/(C435*0.000001)/1000000000*C430</f>
        <v/>
      </c>
      <c r="G435">
        <f>E435/F435</f>
        <v/>
      </c>
    </row>
    <row r="436">
      <c r="A436" t="n">
        <v>4</v>
      </c>
      <c r="B436" t="n">
        <v>110.27</v>
      </c>
      <c r="C436">
        <f>C431*CEILING(A436*1024/(C424*C428*C423),1)+A436*1024*C429</f>
        <v/>
      </c>
      <c r="D436">
        <f>B436/C436</f>
        <v/>
      </c>
      <c r="E436" t="n">
        <v>0.06</v>
      </c>
      <c r="F436">
        <f>A436*1024/(C436*0.000001)/1000000000*C430</f>
        <v/>
      </c>
      <c r="G436">
        <f>E436/F436</f>
        <v/>
      </c>
    </row>
    <row r="437">
      <c r="A437" t="n">
        <v>8</v>
      </c>
      <c r="B437" t="n">
        <v>115.28</v>
      </c>
      <c r="C437">
        <f>C431*CEILING(A437*1024/(C424*C428*C423),1)+A437*1024*C429</f>
        <v/>
      </c>
      <c r="D437">
        <f>B437/C437</f>
        <v/>
      </c>
      <c r="E437" t="n">
        <v>0.11</v>
      </c>
      <c r="F437">
        <f>A437*1024/(C437*0.000001)/1000000000*C430</f>
        <v/>
      </c>
      <c r="G437">
        <f>E437/F437</f>
        <v/>
      </c>
    </row>
    <row r="438">
      <c r="A438" t="n">
        <v>16</v>
      </c>
      <c r="B438" t="n">
        <v>121.18</v>
      </c>
      <c r="C438">
        <f>C431*CEILING(A438*1024/(C424*C428*C423),1)+A438*1024*C429</f>
        <v/>
      </c>
      <c r="D438">
        <f>B438/C438</f>
        <v/>
      </c>
      <c r="E438" t="n">
        <v>0.2</v>
      </c>
      <c r="F438">
        <f>A438*1024/(C438*0.000001)/1000000000*C430</f>
        <v/>
      </c>
      <c r="G438">
        <f>E438/F438</f>
        <v/>
      </c>
    </row>
    <row r="439">
      <c r="A439" t="n">
        <v>32</v>
      </c>
      <c r="B439" t="n">
        <v>123.3</v>
      </c>
      <c r="C439">
        <f>C431*CEILING(A439*1024/(C424*C428*C423),1)+A439*1024*C429</f>
        <v/>
      </c>
      <c r="D439">
        <f>B439/C439</f>
        <v/>
      </c>
      <c r="E439" t="n">
        <v>0.4</v>
      </c>
      <c r="F439">
        <f>A439*1024/(C439*0.000001)/1000000000*C430</f>
        <v/>
      </c>
      <c r="G439">
        <f>E439/F439</f>
        <v/>
      </c>
    </row>
    <row r="440">
      <c r="A440" t="n">
        <v>64</v>
      </c>
      <c r="B440" t="n">
        <v>128.79</v>
      </c>
      <c r="C440">
        <f>C431*CEILING(A440*1024/(C424*C428*C423),1)+A440*1024*C429</f>
        <v/>
      </c>
      <c r="D440">
        <f>B440/C440</f>
        <v/>
      </c>
      <c r="E440" t="n">
        <v>0.76</v>
      </c>
      <c r="F440">
        <f>A440*1024/(C440*0.000001)/1000000000*C430</f>
        <v/>
      </c>
      <c r="G440">
        <f>E440/F440</f>
        <v/>
      </c>
    </row>
    <row r="441">
      <c r="A441" t="n">
        <v>128</v>
      </c>
      <c r="B441" t="n">
        <v>137.07</v>
      </c>
      <c r="C441">
        <f>C431*CEILING(A441*1024/(C424*C428*C423),1)+A441*1024*C429</f>
        <v/>
      </c>
      <c r="D441">
        <f>B441/C441</f>
        <v/>
      </c>
      <c r="E441" t="n">
        <v>1.43</v>
      </c>
      <c r="F441">
        <f>A441*1024/(C441*0.000001)/1000000000*C430</f>
        <v/>
      </c>
      <c r="G441">
        <f>E441/F441</f>
        <v/>
      </c>
    </row>
    <row r="442">
      <c r="A442" t="n">
        <v>256</v>
      </c>
      <c r="B442" t="n">
        <v>143.57</v>
      </c>
      <c r="C442">
        <f>C431*CEILING(A442*1024/(C424*C428*C423),1)+A442*1024*C429</f>
        <v/>
      </c>
      <c r="D442">
        <f>B442/C442</f>
        <v/>
      </c>
      <c r="E442" t="n">
        <v>2.74</v>
      </c>
      <c r="F442">
        <f>A442*1024/(C442*0.000001)/1000000000*C430</f>
        <v/>
      </c>
      <c r="G442">
        <f>E442/F442</f>
        <v/>
      </c>
    </row>
    <row r="443">
      <c r="A443" t="n">
        <v>512</v>
      </c>
      <c r="B443" t="n">
        <v>156.61</v>
      </c>
      <c r="C443">
        <f>C431*CEILING(A443*1024/(C424*C428*C423),1)+A443*1024*C429</f>
        <v/>
      </c>
      <c r="D443">
        <f>B443/C443</f>
        <v/>
      </c>
      <c r="E443" t="n">
        <v>5.02</v>
      </c>
      <c r="F443">
        <f>A443*1024/(C443*0.000001)/1000000000*C430</f>
        <v/>
      </c>
      <c r="G443">
        <f>E443/F443</f>
        <v/>
      </c>
    </row>
    <row r="444">
      <c r="A444" t="n">
        <v>1024</v>
      </c>
      <c r="B444" t="n">
        <v>176.34</v>
      </c>
      <c r="C444">
        <f>C431*CEILING(A444*1024/(C424*C428*C423),1)+A444*1024*C429</f>
        <v/>
      </c>
      <c r="D444">
        <f>B444/C444</f>
        <v/>
      </c>
      <c r="E444" t="n">
        <v>8.92</v>
      </c>
      <c r="F444">
        <f>A444*1024/(C444*0.000001)/1000000000*C430</f>
        <v/>
      </c>
      <c r="G444">
        <f>E444/F444</f>
        <v/>
      </c>
    </row>
    <row r="445">
      <c r="A445" t="n">
        <v>2048</v>
      </c>
      <c r="B445" t="n">
        <v>209.05</v>
      </c>
      <c r="C445">
        <f>C431*CEILING(A445*1024/(C424*C428*C423),1)+A445*1024*C429</f>
        <v/>
      </c>
      <c r="D445">
        <f>B445/C445</f>
        <v/>
      </c>
      <c r="E445" t="n">
        <v>15.05</v>
      </c>
      <c r="F445">
        <f>A445*1024/(C445*0.000001)/1000000000*C430</f>
        <v/>
      </c>
      <c r="G445">
        <f>E445/F445</f>
        <v/>
      </c>
    </row>
    <row r="446">
      <c r="A446" t="n">
        <v>4096</v>
      </c>
      <c r="B446" t="n">
        <v>280.66</v>
      </c>
      <c r="C446">
        <f>C431*CEILING(A446*1024/(C424*C428*C423),1)+A446*1024*C429</f>
        <v/>
      </c>
      <c r="D446">
        <f>B446/C446</f>
        <v/>
      </c>
      <c r="E446" t="n">
        <v>22.42</v>
      </c>
      <c r="F446">
        <f>A446*1024/(C446*0.000001)/1000000000*C430</f>
        <v/>
      </c>
      <c r="G446">
        <f>E446/F446</f>
        <v/>
      </c>
    </row>
    <row r="447">
      <c r="A447" t="n">
        <v>8192</v>
      </c>
      <c r="B447" t="n">
        <v>419.14</v>
      </c>
      <c r="C447">
        <f>C431*CEILING(A447*1024/(C424*C428*C423),1)+A447*1024*C429</f>
        <v/>
      </c>
      <c r="D447">
        <f>B447/C447</f>
        <v/>
      </c>
      <c r="E447" t="n">
        <v>30.02</v>
      </c>
      <c r="F447">
        <f>A447*1024/(C447*0.000001)/1000000000*C430</f>
        <v/>
      </c>
      <c r="G447">
        <f>E447/F447</f>
        <v/>
      </c>
    </row>
    <row r="448">
      <c r="A448" t="n">
        <v>16384</v>
      </c>
      <c r="B448" t="n">
        <v>797.8200000000001</v>
      </c>
      <c r="C448">
        <f>C431*CEILING(A448*1024/(C424*C428*C423),1)+A448*1024*C429</f>
        <v/>
      </c>
      <c r="D448">
        <f>B448/C448</f>
        <v/>
      </c>
      <c r="E448" t="n">
        <v>31.54</v>
      </c>
      <c r="F448">
        <f>A448*1024/(C448*0.000001)/1000000000*C430</f>
        <v/>
      </c>
      <c r="G448">
        <f>E448/F448</f>
        <v/>
      </c>
    </row>
    <row r="449">
      <c r="A449" t="n">
        <v>32768</v>
      </c>
      <c r="B449" t="n">
        <v>1554.46</v>
      </c>
      <c r="C449">
        <f>C431*CEILING(A449*1024/(C424*C428*C423),1)+A449*1024*C429</f>
        <v/>
      </c>
      <c r="D449">
        <f>B449/C449</f>
        <v/>
      </c>
      <c r="E449" t="n">
        <v>32.38</v>
      </c>
      <c r="F449">
        <f>A449*1024/(C449*0.000001)/1000000000*C430</f>
        <v/>
      </c>
      <c r="G449">
        <f>E449/F449</f>
        <v/>
      </c>
    </row>
    <row r="450">
      <c r="A450" t="n">
        <v>65536</v>
      </c>
      <c r="B450" t="n">
        <v>3059.43</v>
      </c>
      <c r="C450">
        <f>C431*CEILING(A450*1024/(C424*C428*C423),1)+A450*1024*C429</f>
        <v/>
      </c>
      <c r="D450">
        <f>B450/C450</f>
        <v/>
      </c>
      <c r="E450" t="n">
        <v>32.9</v>
      </c>
      <c r="F450">
        <f>A450*1024/(C450*0.000001)/1000000000*C430</f>
        <v/>
      </c>
      <c r="G450">
        <f>E450/F450</f>
        <v/>
      </c>
    </row>
    <row r="451">
      <c r="A451" t="n">
        <v>131072</v>
      </c>
      <c r="B451" t="n">
        <v>5963.4</v>
      </c>
      <c r="C451">
        <f>C431*CEILING(A451*1024/(C424*C428*C423),1)+A451*1024*C429</f>
        <v/>
      </c>
      <c r="D451">
        <f>B451/C451</f>
        <v/>
      </c>
      <c r="E451" t="n">
        <v>33.76</v>
      </c>
      <c r="F451">
        <f>A451*1024/(C451*0.000001)/1000000000*C430</f>
        <v/>
      </c>
      <c r="G451">
        <f>E451/F451</f>
        <v/>
      </c>
    </row>
    <row r="452">
      <c r="A452" t="n">
        <v>262144</v>
      </c>
      <c r="B452" t="n">
        <v>11894.6</v>
      </c>
      <c r="C452">
        <f>C431*CEILING(A452*1024/(C424*C428*C423),1)+A452*1024*C429</f>
        <v/>
      </c>
      <c r="D452">
        <f>B452/C452</f>
        <v/>
      </c>
      <c r="E452" t="n">
        <v>33.85</v>
      </c>
      <c r="F452">
        <f>A452*1024/(C452*0.000001)/1000000000*C430</f>
        <v/>
      </c>
      <c r="G452">
        <f>E452/F452</f>
        <v/>
      </c>
    </row>
    <row r="453">
      <c r="A453" t="n">
        <v>524288</v>
      </c>
      <c r="B453" t="n">
        <v>23659.6</v>
      </c>
      <c r="C453">
        <f>C431*CEILING(A453*1024/(C424*C428*C423),1)+A453*1024*C429</f>
        <v/>
      </c>
      <c r="D453">
        <f>B453/C453</f>
        <v/>
      </c>
      <c r="E453" t="n">
        <v>34.04</v>
      </c>
      <c r="F453">
        <f>A453*1024/(C453*0.000001)/1000000000*C430</f>
        <v/>
      </c>
      <c r="G453">
        <f>E453/F453</f>
        <v/>
      </c>
    </row>
    <row r="454">
      <c r="A454" t="n">
        <v>1048576</v>
      </c>
      <c r="B454" t="n">
        <v>47176.7</v>
      </c>
      <c r="C454">
        <f>C431*CEILING(A454*1024/(C424*C428*C423),1)+A454*1024*C429</f>
        <v/>
      </c>
      <c r="D454">
        <f>B454/C454</f>
        <v/>
      </c>
      <c r="E454" t="n">
        <v>34.14</v>
      </c>
      <c r="F454">
        <f>A454*1024/(C454*0.000001)/1000000000*C430</f>
        <v/>
      </c>
      <c r="G454">
        <f>E454/F454</f>
        <v/>
      </c>
    </row>
    <row r="455"/>
    <row r="456">
      <c r="A456" t="inlineStr">
        <is>
          <t>Nodes: 4, Protocol: LL128, Channels: 8</t>
        </is>
      </c>
    </row>
    <row r="457">
      <c r="A457" t="inlineStr">
        <is>
          <t>Parameter</t>
        </is>
      </c>
      <c r="B457" t="inlineStr">
        <is>
          <t>Formula</t>
        </is>
      </c>
      <c r="C457" t="inlineStr">
        <is>
          <t>Value</t>
        </is>
      </c>
    </row>
    <row r="458">
      <c r="A458" t="inlineStr">
        <is>
          <t>n</t>
        </is>
      </c>
      <c r="B458" t="inlineStr">
        <is>
          <t>nodes on ring</t>
        </is>
      </c>
      <c r="C458" t="n">
        <v>4</v>
      </c>
    </row>
    <row r="459">
      <c r="A459" t="inlineStr">
        <is>
          <t>nch</t>
        </is>
      </c>
      <c r="B459" t="inlineStr">
        <is>
          <t>channels</t>
        </is>
      </c>
      <c r="C459" t="n">
        <v>8</v>
      </c>
    </row>
    <row r="460">
      <c r="A460" t="inlineStr">
        <is>
          <t>a</t>
        </is>
      </c>
      <c r="B460" t="inlineStr">
        <is>
          <t>RTT (us)</t>
        </is>
      </c>
      <c r="C460" t="n">
        <v>25.8107</v>
      </c>
    </row>
    <row r="461">
      <c r="A461" t="inlineStr">
        <is>
          <t>NIC_BW</t>
        </is>
      </c>
      <c r="B461" t="inlineStr">
        <is>
          <t>bytes/us</t>
        </is>
      </c>
      <c r="C461" t="n">
        <v>48750</v>
      </c>
    </row>
    <row r="462">
      <c r="A462" t="inlineStr">
        <is>
          <t>NIC_BW_single_efa</t>
        </is>
      </c>
      <c r="B462" t="inlineStr">
        <is>
          <t>50/2*1e3*0.975</t>
        </is>
      </c>
      <c r="C462" t="n">
        <v>24375</v>
      </c>
    </row>
    <row r="463">
      <c r="A463" t="inlineStr">
        <is>
          <t>chunk_size</t>
        </is>
      </c>
      <c r="B463" t="inlineStr">
        <is>
          <t>576000 bytes</t>
        </is>
      </c>
      <c r="C463" t="n">
        <v>576000</v>
      </c>
    </row>
    <row r="464">
      <c r="A464" t="inlineStr">
        <is>
          <t>G</t>
        </is>
      </c>
      <c r="B464" t="inlineStr">
        <is>
          <t>(16/15)*2*(n-1)/(n*NIC_BW)</t>
        </is>
      </c>
      <c r="C464">
        <f>(16/15)*2*(C458-1)/(C458*C461)</f>
        <v/>
      </c>
    </row>
    <row r="465">
      <c r="A465" t="inlineStr">
        <is>
          <t>busbw_factor</t>
        </is>
      </c>
      <c r="B465" t="inlineStr">
        <is>
          <t>2*(n-1)/n</t>
        </is>
      </c>
      <c r="C465">
        <f>2*(C458-1)/C458</f>
        <v/>
      </c>
    </row>
    <row r="466">
      <c r="A466" t="inlineStr">
        <is>
          <t>fixed_per_step</t>
        </is>
      </c>
      <c r="B466" t="inlineStr">
        <is>
          <t>2*(n-1)*a/2</t>
        </is>
      </c>
      <c r="C466">
        <f>2*(C458-1)*C460/2</f>
        <v/>
      </c>
    </row>
    <row r="467"/>
    <row r="468">
      <c r="A468" t="inlineStr">
        <is>
          <t>size_KB</t>
        </is>
      </c>
      <c r="B468" t="inlineStr">
        <is>
          <t>Actual Time (us)</t>
        </is>
      </c>
      <c r="C468" t="inlineStr">
        <is>
          <t>Roofline Time (us)</t>
        </is>
      </c>
      <c r="D468" t="inlineStr">
        <is>
          <t>Actual/Roofline</t>
        </is>
      </c>
      <c r="E468" t="inlineStr">
        <is>
          <t>Actual busBW (GB/s)</t>
        </is>
      </c>
      <c r="F468" t="inlineStr">
        <is>
          <t>Roofline busBW (GB/s)</t>
        </is>
      </c>
      <c r="G468" t="inlineStr">
        <is>
          <t>Meas/Roof busBW</t>
        </is>
      </c>
    </row>
    <row r="469">
      <c r="A469" t="n">
        <v>1</v>
      </c>
      <c r="B469" t="n">
        <v>110.79</v>
      </c>
      <c r="C469">
        <f>C466*CEILING(A469*1024/(C459*C463*C458),1)+A469*1024*C464</f>
        <v/>
      </c>
      <c r="D469">
        <f>B469/C469</f>
        <v/>
      </c>
      <c r="E469" t="n">
        <v>0.01</v>
      </c>
      <c r="F469">
        <f>A469*1024/(C469*0.000001)/1000000000*C465</f>
        <v/>
      </c>
      <c r="G469">
        <f>E469/F469</f>
        <v/>
      </c>
    </row>
    <row r="470">
      <c r="A470" t="n">
        <v>2</v>
      </c>
      <c r="B470" t="n">
        <v>110.63</v>
      </c>
      <c r="C470">
        <f>C466*CEILING(A470*1024/(C459*C463*C458),1)+A470*1024*C464</f>
        <v/>
      </c>
      <c r="D470">
        <f>B470/C470</f>
        <v/>
      </c>
      <c r="E470" t="n">
        <v>0.03</v>
      </c>
      <c r="F470">
        <f>A470*1024/(C470*0.000001)/1000000000*C465</f>
        <v/>
      </c>
      <c r="G470">
        <f>E470/F470</f>
        <v/>
      </c>
    </row>
    <row r="471">
      <c r="A471" t="n">
        <v>4</v>
      </c>
      <c r="B471" t="n">
        <v>110.44</v>
      </c>
      <c r="C471">
        <f>C466*CEILING(A471*1024/(C459*C463*C458),1)+A471*1024*C464</f>
        <v/>
      </c>
      <c r="D471">
        <f>B471/C471</f>
        <v/>
      </c>
      <c r="E471" t="n">
        <v>0.06</v>
      </c>
      <c r="F471">
        <f>A471*1024/(C471*0.000001)/1000000000*C465</f>
        <v/>
      </c>
      <c r="G471">
        <f>E471/F471</f>
        <v/>
      </c>
    </row>
    <row r="472">
      <c r="A472" t="n">
        <v>8</v>
      </c>
      <c r="B472" t="n">
        <v>115.34</v>
      </c>
      <c r="C472">
        <f>C466*CEILING(A472*1024/(C459*C463*C458),1)+A472*1024*C464</f>
        <v/>
      </c>
      <c r="D472">
        <f>B472/C472</f>
        <v/>
      </c>
      <c r="E472" t="n">
        <v>0.11</v>
      </c>
      <c r="F472">
        <f>A472*1024/(C472*0.000001)/1000000000*C465</f>
        <v/>
      </c>
      <c r="G472">
        <f>E472/F472</f>
        <v/>
      </c>
    </row>
    <row r="473">
      <c r="A473" t="n">
        <v>16</v>
      </c>
      <c r="B473" t="n">
        <v>121.39</v>
      </c>
      <c r="C473">
        <f>C466*CEILING(A473*1024/(C459*C463*C458),1)+A473*1024*C464</f>
        <v/>
      </c>
      <c r="D473">
        <f>B473/C473</f>
        <v/>
      </c>
      <c r="E473" t="n">
        <v>0.2</v>
      </c>
      <c r="F473">
        <f>A473*1024/(C473*0.000001)/1000000000*C465</f>
        <v/>
      </c>
      <c r="G473">
        <f>E473/F473</f>
        <v/>
      </c>
    </row>
    <row r="474">
      <c r="A474" t="n">
        <v>32</v>
      </c>
      <c r="B474" t="n">
        <v>124.31</v>
      </c>
      <c r="C474">
        <f>C466*CEILING(A474*1024/(C459*C463*C458),1)+A474*1024*C464</f>
        <v/>
      </c>
      <c r="D474">
        <f>B474/C474</f>
        <v/>
      </c>
      <c r="E474" t="n">
        <v>0.4</v>
      </c>
      <c r="F474">
        <f>A474*1024/(C474*0.000001)/1000000000*C465</f>
        <v/>
      </c>
      <c r="G474">
        <f>E474/F474</f>
        <v/>
      </c>
    </row>
    <row r="475">
      <c r="A475" t="n">
        <v>64</v>
      </c>
      <c r="B475" t="n">
        <v>128.85</v>
      </c>
      <c r="C475">
        <f>C466*CEILING(A475*1024/(C459*C463*C458),1)+A475*1024*C464</f>
        <v/>
      </c>
      <c r="D475">
        <f>B475/C475</f>
        <v/>
      </c>
      <c r="E475" t="n">
        <v>0.76</v>
      </c>
      <c r="F475">
        <f>A475*1024/(C475*0.000001)/1000000000*C465</f>
        <v/>
      </c>
      <c r="G475">
        <f>E475/F475</f>
        <v/>
      </c>
    </row>
    <row r="476">
      <c r="A476" t="n">
        <v>128</v>
      </c>
      <c r="B476" t="n">
        <v>144.2</v>
      </c>
      <c r="C476">
        <f>C466*CEILING(A476*1024/(C459*C463*C458),1)+A476*1024*C464</f>
        <v/>
      </c>
      <c r="D476">
        <f>B476/C476</f>
        <v/>
      </c>
      <c r="E476" t="n">
        <v>1.36</v>
      </c>
      <c r="F476">
        <f>A476*1024/(C476*0.000001)/1000000000*C465</f>
        <v/>
      </c>
      <c r="G476">
        <f>E476/F476</f>
        <v/>
      </c>
    </row>
    <row r="477">
      <c r="A477" t="n">
        <v>256</v>
      </c>
      <c r="B477" t="n">
        <v>154.54</v>
      </c>
      <c r="C477">
        <f>C466*CEILING(A477*1024/(C459*C463*C458),1)+A477*1024*C464</f>
        <v/>
      </c>
      <c r="D477">
        <f>B477/C477</f>
        <v/>
      </c>
      <c r="E477" t="n">
        <v>2.54</v>
      </c>
      <c r="F477">
        <f>A477*1024/(C477*0.000001)/1000000000*C465</f>
        <v/>
      </c>
      <c r="G477">
        <f>E477/F477</f>
        <v/>
      </c>
    </row>
    <row r="478">
      <c r="A478" t="n">
        <v>512</v>
      </c>
      <c r="B478" t="n">
        <v>160.89</v>
      </c>
      <c r="C478">
        <f>C466*CEILING(A478*1024/(C459*C463*C458),1)+A478*1024*C464</f>
        <v/>
      </c>
      <c r="D478">
        <f>B478/C478</f>
        <v/>
      </c>
      <c r="E478" t="n">
        <v>4.89</v>
      </c>
      <c r="F478">
        <f>A478*1024/(C478*0.000001)/1000000000*C465</f>
        <v/>
      </c>
      <c r="G478">
        <f>E478/F478</f>
        <v/>
      </c>
    </row>
    <row r="479">
      <c r="A479" t="n">
        <v>1024</v>
      </c>
      <c r="B479" t="n">
        <v>177.78</v>
      </c>
      <c r="C479">
        <f>C466*CEILING(A479*1024/(C459*C463*C458),1)+A479*1024*C464</f>
        <v/>
      </c>
      <c r="D479">
        <f>B479/C479</f>
        <v/>
      </c>
      <c r="E479" t="n">
        <v>8.85</v>
      </c>
      <c r="F479">
        <f>A479*1024/(C479*0.000001)/1000000000*C465</f>
        <v/>
      </c>
      <c r="G479">
        <f>E479/F479</f>
        <v/>
      </c>
    </row>
    <row r="480">
      <c r="A480" t="n">
        <v>2048</v>
      </c>
      <c r="B480" t="n">
        <v>202.75</v>
      </c>
      <c r="C480">
        <f>C466*CEILING(A480*1024/(C459*C463*C458),1)+A480*1024*C464</f>
        <v/>
      </c>
      <c r="D480">
        <f>B480/C480</f>
        <v/>
      </c>
      <c r="E480" t="n">
        <v>15.52</v>
      </c>
      <c r="F480">
        <f>A480*1024/(C480*0.000001)/1000000000*C465</f>
        <v/>
      </c>
      <c r="G480">
        <f>E480/F480</f>
        <v/>
      </c>
    </row>
    <row r="481">
      <c r="A481" t="n">
        <v>4096</v>
      </c>
      <c r="B481" t="n">
        <v>252.44</v>
      </c>
      <c r="C481">
        <f>C466*CEILING(A481*1024/(C459*C463*C458),1)+A481*1024*C464</f>
        <v/>
      </c>
      <c r="D481">
        <f>B481/C481</f>
        <v/>
      </c>
      <c r="E481" t="n">
        <v>24.92</v>
      </c>
      <c r="F481">
        <f>A481*1024/(C481*0.000001)/1000000000*C465</f>
        <v/>
      </c>
      <c r="G481">
        <f>E481/F481</f>
        <v/>
      </c>
    </row>
    <row r="482">
      <c r="A482" t="n">
        <v>8192</v>
      </c>
      <c r="B482" t="n">
        <v>384.78</v>
      </c>
      <c r="C482">
        <f>C466*CEILING(A482*1024/(C459*C463*C458),1)+A482*1024*C464</f>
        <v/>
      </c>
      <c r="D482">
        <f>B482/C482</f>
        <v/>
      </c>
      <c r="E482" t="n">
        <v>32.7</v>
      </c>
      <c r="F482">
        <f>A482*1024/(C482*0.000001)/1000000000*C465</f>
        <v/>
      </c>
      <c r="G482">
        <f>E482/F482</f>
        <v/>
      </c>
    </row>
    <row r="483">
      <c r="A483" t="n">
        <v>16384</v>
      </c>
      <c r="B483" t="n">
        <v>678.73</v>
      </c>
      <c r="C483">
        <f>C466*CEILING(A483*1024/(C459*C463*C458),1)+A483*1024*C464</f>
        <v/>
      </c>
      <c r="D483">
        <f>B483/C483</f>
        <v/>
      </c>
      <c r="E483" t="n">
        <v>37.08</v>
      </c>
      <c r="F483">
        <f>A483*1024/(C483*0.000001)/1000000000*C465</f>
        <v/>
      </c>
      <c r="G483">
        <f>E483/F483</f>
        <v/>
      </c>
    </row>
    <row r="484">
      <c r="A484" t="n">
        <v>32768</v>
      </c>
      <c r="B484" t="n">
        <v>1268.84</v>
      </c>
      <c r="C484">
        <f>C466*CEILING(A484*1024/(C459*C463*C458),1)+A484*1024*C464</f>
        <v/>
      </c>
      <c r="D484">
        <f>B484/C484</f>
        <v/>
      </c>
      <c r="E484" t="n">
        <v>39.67</v>
      </c>
      <c r="F484">
        <f>A484*1024/(C484*0.000001)/1000000000*C465</f>
        <v/>
      </c>
      <c r="G484">
        <f>E484/F484</f>
        <v/>
      </c>
    </row>
    <row r="485">
      <c r="A485" t="n">
        <v>65536</v>
      </c>
      <c r="B485" t="n">
        <v>2459.83</v>
      </c>
      <c r="C485">
        <f>C466*CEILING(A485*1024/(C459*C463*C458),1)+A485*1024*C464</f>
        <v/>
      </c>
      <c r="D485">
        <f>B485/C485</f>
        <v/>
      </c>
      <c r="E485" t="n">
        <v>40.92</v>
      </c>
      <c r="F485">
        <f>A485*1024/(C485*0.000001)/1000000000*C465</f>
        <v/>
      </c>
      <c r="G485">
        <f>E485/F485</f>
        <v/>
      </c>
    </row>
    <row r="486">
      <c r="A486" t="n">
        <v>131072</v>
      </c>
      <c r="B486" t="n">
        <v>4861.22</v>
      </c>
      <c r="C486">
        <f>C466*CEILING(A486*1024/(C459*C463*C458),1)+A486*1024*C464</f>
        <v/>
      </c>
      <c r="D486">
        <f>B486/C486</f>
        <v/>
      </c>
      <c r="E486" t="n">
        <v>41.41</v>
      </c>
      <c r="F486">
        <f>A486*1024/(C486*0.000001)/1000000000*C465</f>
        <v/>
      </c>
      <c r="G486">
        <f>E486/F486</f>
        <v/>
      </c>
    </row>
    <row r="487">
      <c r="A487" t="n">
        <v>262144</v>
      </c>
      <c r="B487" t="n">
        <v>9487.93</v>
      </c>
      <c r="C487">
        <f>C466*CEILING(A487*1024/(C459*C463*C458),1)+A487*1024*C464</f>
        <v/>
      </c>
      <c r="D487">
        <f>B487/C487</f>
        <v/>
      </c>
      <c r="E487" t="n">
        <v>42.44</v>
      </c>
      <c r="F487">
        <f>A487*1024/(C487*0.000001)/1000000000*C465</f>
        <v/>
      </c>
      <c r="G487">
        <f>E487/F487</f>
        <v/>
      </c>
    </row>
    <row r="488">
      <c r="A488" t="n">
        <v>524288</v>
      </c>
      <c r="B488" t="n">
        <v>18878.1</v>
      </c>
      <c r="C488">
        <f>C466*CEILING(A488*1024/(C459*C463*C458),1)+A488*1024*C464</f>
        <v/>
      </c>
      <c r="D488">
        <f>B488/C488</f>
        <v/>
      </c>
      <c r="E488" t="n">
        <v>42.66</v>
      </c>
      <c r="F488">
        <f>A488*1024/(C488*0.000001)/1000000000*C465</f>
        <v/>
      </c>
      <c r="G488">
        <f>E488/F488</f>
        <v/>
      </c>
    </row>
    <row r="489">
      <c r="A489" t="n">
        <v>1048576</v>
      </c>
      <c r="B489" t="n">
        <v>37483.2</v>
      </c>
      <c r="C489">
        <f>C466*CEILING(A489*1024/(C459*C463*C458),1)+A489*1024*C464</f>
        <v/>
      </c>
      <c r="D489">
        <f>B489/C489</f>
        <v/>
      </c>
      <c r="E489" t="n">
        <v>42.97</v>
      </c>
      <c r="F489">
        <f>A489*1024/(C489*0.000001)/1000000000*C465</f>
        <v/>
      </c>
      <c r="G489">
        <f>E489/F489</f>
        <v/>
      </c>
    </row>
    <row r="490"/>
    <row r="491">
      <c r="A491" t="inlineStr">
        <is>
          <t>Nodes: 4, Protocol: LL128, Channels: 16</t>
        </is>
      </c>
    </row>
    <row r="492">
      <c r="A492" t="inlineStr">
        <is>
          <t>Parameter</t>
        </is>
      </c>
      <c r="B492" t="inlineStr">
        <is>
          <t>Formula</t>
        </is>
      </c>
      <c r="C492" t="inlineStr">
        <is>
          <t>Value</t>
        </is>
      </c>
    </row>
    <row r="493">
      <c r="A493" t="inlineStr">
        <is>
          <t>n</t>
        </is>
      </c>
      <c r="B493" t="inlineStr">
        <is>
          <t>nodes on ring</t>
        </is>
      </c>
      <c r="C493" t="n">
        <v>4</v>
      </c>
    </row>
    <row r="494">
      <c r="A494" t="inlineStr">
        <is>
          <t>nch</t>
        </is>
      </c>
      <c r="B494" t="inlineStr">
        <is>
          <t>channels</t>
        </is>
      </c>
      <c r="C494" t="n">
        <v>16</v>
      </c>
    </row>
    <row r="495">
      <c r="A495" t="inlineStr">
        <is>
          <t>a</t>
        </is>
      </c>
      <c r="B495" t="inlineStr">
        <is>
          <t>RTT (us)</t>
        </is>
      </c>
      <c r="C495" t="n">
        <v>25.8107</v>
      </c>
    </row>
    <row r="496">
      <c r="A496" t="inlineStr">
        <is>
          <t>NIC_BW</t>
        </is>
      </c>
      <c r="B496" t="inlineStr">
        <is>
          <t>bytes/us</t>
        </is>
      </c>
      <c r="C496" t="n">
        <v>48750</v>
      </c>
    </row>
    <row r="497">
      <c r="A497" t="inlineStr">
        <is>
          <t>NIC_BW_single_efa</t>
        </is>
      </c>
      <c r="B497" t="inlineStr">
        <is>
          <t>50/2*1e3*0.975</t>
        </is>
      </c>
      <c r="C497" t="n">
        <v>24375</v>
      </c>
    </row>
    <row r="498">
      <c r="A498" t="inlineStr">
        <is>
          <t>chunk_size</t>
        </is>
      </c>
      <c r="B498" t="inlineStr">
        <is>
          <t>576000 bytes</t>
        </is>
      </c>
      <c r="C498" t="n">
        <v>576000</v>
      </c>
    </row>
    <row r="499">
      <c r="A499" t="inlineStr">
        <is>
          <t>G</t>
        </is>
      </c>
      <c r="B499" t="inlineStr">
        <is>
          <t>(16/15)*2*(n-1)/(n*NIC_BW)</t>
        </is>
      </c>
      <c r="C499">
        <f>(16/15)*2*(C493-1)/(C493*C496)</f>
        <v/>
      </c>
    </row>
    <row r="500">
      <c r="A500" t="inlineStr">
        <is>
          <t>busbw_factor</t>
        </is>
      </c>
      <c r="B500" t="inlineStr">
        <is>
          <t>2*(n-1)/n</t>
        </is>
      </c>
      <c r="C500">
        <f>2*(C493-1)/C493</f>
        <v/>
      </c>
    </row>
    <row r="501">
      <c r="A501" t="inlineStr">
        <is>
          <t>fixed_per_step</t>
        </is>
      </c>
      <c r="B501" t="inlineStr">
        <is>
          <t>2*(n-1)*a/2</t>
        </is>
      </c>
      <c r="C501">
        <f>2*(C493-1)*C495/2</f>
        <v/>
      </c>
    </row>
    <row r="502"/>
    <row r="503">
      <c r="A503" t="inlineStr">
        <is>
          <t>size_KB</t>
        </is>
      </c>
      <c r="B503" t="inlineStr">
        <is>
          <t>Actual Time (us)</t>
        </is>
      </c>
      <c r="C503" t="inlineStr">
        <is>
          <t>Roofline Time (us)</t>
        </is>
      </c>
      <c r="D503" t="inlineStr">
        <is>
          <t>Actual/Roofline</t>
        </is>
      </c>
      <c r="E503" t="inlineStr">
        <is>
          <t>Actual busBW (GB/s)</t>
        </is>
      </c>
      <c r="F503" t="inlineStr">
        <is>
          <t>Roofline busBW (GB/s)</t>
        </is>
      </c>
      <c r="G503" t="inlineStr">
        <is>
          <t>Meas/Roof busBW</t>
        </is>
      </c>
    </row>
    <row r="504">
      <c r="A504" t="n">
        <v>1</v>
      </c>
      <c r="B504" t="n">
        <v>109.97</v>
      </c>
      <c r="C504">
        <f>C501*CEILING(A504*1024/(C494*C498*C493),1)+A504*1024*C499</f>
        <v/>
      </c>
      <c r="D504">
        <f>B504/C504</f>
        <v/>
      </c>
      <c r="E504" t="n">
        <v>0.01</v>
      </c>
      <c r="F504">
        <f>A504*1024/(C504*0.000001)/1000000000*C500</f>
        <v/>
      </c>
      <c r="G504">
        <f>E504/F504</f>
        <v/>
      </c>
    </row>
    <row r="505">
      <c r="A505" t="n">
        <v>2</v>
      </c>
      <c r="B505" t="n">
        <v>110.31</v>
      </c>
      <c r="C505">
        <f>C501*CEILING(A505*1024/(C494*C498*C493),1)+A505*1024*C499</f>
        <v/>
      </c>
      <c r="D505">
        <f>B505/C505</f>
        <v/>
      </c>
      <c r="E505" t="n">
        <v>0.03</v>
      </c>
      <c r="F505">
        <f>A505*1024/(C505*0.000001)/1000000000*C500</f>
        <v/>
      </c>
      <c r="G505">
        <f>E505/F505</f>
        <v/>
      </c>
    </row>
    <row r="506">
      <c r="A506" t="n">
        <v>4</v>
      </c>
      <c r="B506" t="n">
        <v>110.27</v>
      </c>
      <c r="C506">
        <f>C501*CEILING(A506*1024/(C494*C498*C493),1)+A506*1024*C499</f>
        <v/>
      </c>
      <c r="D506">
        <f>B506/C506</f>
        <v/>
      </c>
      <c r="E506" t="n">
        <v>0.06</v>
      </c>
      <c r="F506">
        <f>A506*1024/(C506*0.000001)/1000000000*C500</f>
        <v/>
      </c>
      <c r="G506">
        <f>E506/F506</f>
        <v/>
      </c>
    </row>
    <row r="507">
      <c r="A507" t="n">
        <v>8</v>
      </c>
      <c r="B507" t="n">
        <v>115.54</v>
      </c>
      <c r="C507">
        <f>C501*CEILING(A507*1024/(C494*C498*C493),1)+A507*1024*C499</f>
        <v/>
      </c>
      <c r="D507">
        <f>B507/C507</f>
        <v/>
      </c>
      <c r="E507" t="n">
        <v>0.11</v>
      </c>
      <c r="F507">
        <f>A507*1024/(C507*0.000001)/1000000000*C500</f>
        <v/>
      </c>
      <c r="G507">
        <f>E507/F507</f>
        <v/>
      </c>
    </row>
    <row r="508">
      <c r="A508" t="n">
        <v>16</v>
      </c>
      <c r="B508" t="n">
        <v>121.68</v>
      </c>
      <c r="C508">
        <f>C501*CEILING(A508*1024/(C494*C498*C493),1)+A508*1024*C499</f>
        <v/>
      </c>
      <c r="D508">
        <f>B508/C508</f>
        <v/>
      </c>
      <c r="E508" t="n">
        <v>0.2</v>
      </c>
      <c r="F508">
        <f>A508*1024/(C508*0.000001)/1000000000*C500</f>
        <v/>
      </c>
      <c r="G508">
        <f>E508/F508</f>
        <v/>
      </c>
    </row>
    <row r="509">
      <c r="A509" t="n">
        <v>32</v>
      </c>
      <c r="B509" t="n">
        <v>124.58</v>
      </c>
      <c r="C509">
        <f>C501*CEILING(A509*1024/(C494*C498*C493),1)+A509*1024*C499</f>
        <v/>
      </c>
      <c r="D509">
        <f>B509/C509</f>
        <v/>
      </c>
      <c r="E509" t="n">
        <v>0.39</v>
      </c>
      <c r="F509">
        <f>A509*1024/(C509*0.000001)/1000000000*C500</f>
        <v/>
      </c>
      <c r="G509">
        <f>E509/F509</f>
        <v/>
      </c>
    </row>
    <row r="510">
      <c r="A510" t="n">
        <v>64</v>
      </c>
      <c r="B510" t="n">
        <v>128.57</v>
      </c>
      <c r="C510">
        <f>C501*CEILING(A510*1024/(C494*C498*C493),1)+A510*1024*C499</f>
        <v/>
      </c>
      <c r="D510">
        <f>B510/C510</f>
        <v/>
      </c>
      <c r="E510" t="n">
        <v>0.76</v>
      </c>
      <c r="F510">
        <f>A510*1024/(C510*0.000001)/1000000000*C500</f>
        <v/>
      </c>
      <c r="G510">
        <f>E510/F510</f>
        <v/>
      </c>
    </row>
    <row r="511">
      <c r="A511" t="n">
        <v>128</v>
      </c>
      <c r="B511" t="n">
        <v>143.9</v>
      </c>
      <c r="C511">
        <f>C501*CEILING(A511*1024/(C494*C498*C493),1)+A511*1024*C499</f>
        <v/>
      </c>
      <c r="D511">
        <f>B511/C511</f>
        <v/>
      </c>
      <c r="E511" t="n">
        <v>1.37</v>
      </c>
      <c r="F511">
        <f>A511*1024/(C511*0.000001)/1000000000*C500</f>
        <v/>
      </c>
      <c r="G511">
        <f>E511/F511</f>
        <v/>
      </c>
    </row>
    <row r="512">
      <c r="A512" t="n">
        <v>256</v>
      </c>
      <c r="B512" t="n">
        <v>190.03</v>
      </c>
      <c r="C512">
        <f>C501*CEILING(A512*1024/(C494*C498*C493),1)+A512*1024*C499</f>
        <v/>
      </c>
      <c r="D512">
        <f>B512/C512</f>
        <v/>
      </c>
      <c r="E512" t="n">
        <v>2.07</v>
      </c>
      <c r="F512">
        <f>A512*1024/(C512*0.000001)/1000000000*C500</f>
        <v/>
      </c>
      <c r="G512">
        <f>E512/F512</f>
        <v/>
      </c>
    </row>
    <row r="513">
      <c r="A513" t="n">
        <v>512</v>
      </c>
      <c r="B513" t="n">
        <v>196.29</v>
      </c>
      <c r="C513">
        <f>C501*CEILING(A513*1024/(C494*C498*C493),1)+A513*1024*C499</f>
        <v/>
      </c>
      <c r="D513">
        <f>B513/C513</f>
        <v/>
      </c>
      <c r="E513" t="n">
        <v>4.01</v>
      </c>
      <c r="F513">
        <f>A513*1024/(C513*0.000001)/1000000000*C500</f>
        <v/>
      </c>
      <c r="G513">
        <f>E513/F513</f>
        <v/>
      </c>
    </row>
    <row r="514">
      <c r="A514" t="n">
        <v>1024</v>
      </c>
      <c r="B514" t="n">
        <v>205.35</v>
      </c>
      <c r="C514">
        <f>C501*CEILING(A514*1024/(C494*C498*C493),1)+A514*1024*C499</f>
        <v/>
      </c>
      <c r="D514">
        <f>B514/C514</f>
        <v/>
      </c>
      <c r="E514" t="n">
        <v>7.66</v>
      </c>
      <c r="F514">
        <f>A514*1024/(C514*0.000001)/1000000000*C500</f>
        <v/>
      </c>
      <c r="G514">
        <f>E514/F514</f>
        <v/>
      </c>
    </row>
    <row r="515">
      <c r="A515" t="n">
        <v>2048</v>
      </c>
      <c r="B515" t="n">
        <v>224.76</v>
      </c>
      <c r="C515">
        <f>C501*CEILING(A515*1024/(C494*C498*C493),1)+A515*1024*C499</f>
        <v/>
      </c>
      <c r="D515">
        <f>B515/C515</f>
        <v/>
      </c>
      <c r="E515" t="n">
        <v>14</v>
      </c>
      <c r="F515">
        <f>A515*1024/(C515*0.000001)/1000000000*C500</f>
        <v/>
      </c>
      <c r="G515">
        <f>E515/F515</f>
        <v/>
      </c>
    </row>
    <row r="516">
      <c r="A516" t="n">
        <v>4096</v>
      </c>
      <c r="B516" t="n">
        <v>263.6</v>
      </c>
      <c r="C516">
        <f>C501*CEILING(A516*1024/(C494*C498*C493),1)+A516*1024*C499</f>
        <v/>
      </c>
      <c r="D516">
        <f>B516/C516</f>
        <v/>
      </c>
      <c r="E516" t="n">
        <v>23.87</v>
      </c>
      <c r="F516">
        <f>A516*1024/(C516*0.000001)/1000000000*C500</f>
        <v/>
      </c>
      <c r="G516">
        <f>E516/F516</f>
        <v/>
      </c>
    </row>
    <row r="517">
      <c r="A517" t="n">
        <v>8192</v>
      </c>
      <c r="B517" t="n">
        <v>384.48</v>
      </c>
      <c r="C517">
        <f>C501*CEILING(A517*1024/(C494*C498*C493),1)+A517*1024*C499</f>
        <v/>
      </c>
      <c r="D517">
        <f>B517/C517</f>
        <v/>
      </c>
      <c r="E517" t="n">
        <v>32.73</v>
      </c>
      <c r="F517">
        <f>A517*1024/(C517*0.000001)/1000000000*C500</f>
        <v/>
      </c>
      <c r="G517">
        <f>E517/F517</f>
        <v/>
      </c>
    </row>
    <row r="518">
      <c r="A518" t="n">
        <v>16384</v>
      </c>
      <c r="B518" t="n">
        <v>676.25</v>
      </c>
      <c r="C518">
        <f>C501*CEILING(A518*1024/(C494*C498*C493),1)+A518*1024*C499</f>
        <v/>
      </c>
      <c r="D518">
        <f>B518/C518</f>
        <v/>
      </c>
      <c r="E518" t="n">
        <v>37.21</v>
      </c>
      <c r="F518">
        <f>A518*1024/(C518*0.000001)/1000000000*C500</f>
        <v/>
      </c>
      <c r="G518">
        <f>E518/F518</f>
        <v/>
      </c>
    </row>
    <row r="519">
      <c r="A519" t="n">
        <v>32768</v>
      </c>
      <c r="B519" t="n">
        <v>1272.43</v>
      </c>
      <c r="C519">
        <f>C501*CEILING(A519*1024/(C494*C498*C493),1)+A519*1024*C499</f>
        <v/>
      </c>
      <c r="D519">
        <f>B519/C519</f>
        <v/>
      </c>
      <c r="E519" t="n">
        <v>39.56</v>
      </c>
      <c r="F519">
        <f>A519*1024/(C519*0.000001)/1000000000*C500</f>
        <v/>
      </c>
      <c r="G519">
        <f>E519/F519</f>
        <v/>
      </c>
    </row>
    <row r="520">
      <c r="A520" t="n">
        <v>65536</v>
      </c>
      <c r="B520" t="n">
        <v>2449.81</v>
      </c>
      <c r="C520">
        <f>C501*CEILING(A520*1024/(C494*C498*C493),1)+A520*1024*C499</f>
        <v/>
      </c>
      <c r="D520">
        <f>B520/C520</f>
        <v/>
      </c>
      <c r="E520" t="n">
        <v>41.09</v>
      </c>
      <c r="F520">
        <f>A520*1024/(C520*0.000001)/1000000000*C500</f>
        <v/>
      </c>
      <c r="G520">
        <f>E520/F520</f>
        <v/>
      </c>
    </row>
    <row r="521">
      <c r="A521" t="n">
        <v>131072</v>
      </c>
      <c r="B521" t="n">
        <v>4805.12</v>
      </c>
      <c r="C521">
        <f>C501*CEILING(A521*1024/(C494*C498*C493),1)+A521*1024*C499</f>
        <v/>
      </c>
      <c r="D521">
        <f>B521/C521</f>
        <v/>
      </c>
      <c r="E521" t="n">
        <v>41.9</v>
      </c>
      <c r="F521">
        <f>A521*1024/(C521*0.000001)/1000000000*C500</f>
        <v/>
      </c>
      <c r="G521">
        <f>E521/F521</f>
        <v/>
      </c>
    </row>
    <row r="522">
      <c r="A522" t="n">
        <v>262144</v>
      </c>
      <c r="B522" t="n">
        <v>9481.07</v>
      </c>
      <c r="C522">
        <f>C501*CEILING(A522*1024/(C494*C498*C493),1)+A522*1024*C499</f>
        <v/>
      </c>
      <c r="D522">
        <f>B522/C522</f>
        <v/>
      </c>
      <c r="E522" t="n">
        <v>42.47</v>
      </c>
      <c r="F522">
        <f>A522*1024/(C522*0.000001)/1000000000*C500</f>
        <v/>
      </c>
      <c r="G522">
        <f>E522/F522</f>
        <v/>
      </c>
    </row>
    <row r="523">
      <c r="A523" t="n">
        <v>524288</v>
      </c>
      <c r="B523" t="n">
        <v>18785.7</v>
      </c>
      <c r="C523">
        <f>C501*CEILING(A523*1024/(C494*C498*C493),1)+A523*1024*C499</f>
        <v/>
      </c>
      <c r="D523">
        <f>B523/C523</f>
        <v/>
      </c>
      <c r="E523" t="n">
        <v>42.87</v>
      </c>
      <c r="F523">
        <f>A523*1024/(C523*0.000001)/1000000000*C500</f>
        <v/>
      </c>
      <c r="G523">
        <f>E523/F523</f>
        <v/>
      </c>
    </row>
    <row r="524">
      <c r="A524" t="n">
        <v>1048576</v>
      </c>
      <c r="B524" t="n">
        <v>37447</v>
      </c>
      <c r="C524">
        <f>C501*CEILING(A524*1024/(C494*C498*C493),1)+A524*1024*C499</f>
        <v/>
      </c>
      <c r="D524">
        <f>B524/C524</f>
        <v/>
      </c>
      <c r="E524" t="n">
        <v>43.01</v>
      </c>
      <c r="F524">
        <f>A524*1024/(C524*0.000001)/1000000000*C500</f>
        <v/>
      </c>
      <c r="G524">
        <f>E524/F524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9"/>
  <sheetViews>
    <sheetView workbookViewId="0">
      <selection activeCell="K30" sqref="K30"/>
    </sheetView>
  </sheetViews>
  <sheetFormatPr baseColWidth="10" defaultColWidth="8.83203125" defaultRowHeight="15"/>
  <sheetData>
    <row r="1">
      <c r="A1" t="inlineStr">
        <is>
          <t>Nodes: 4, Protocol: Simple, Channels: 1</t>
        </is>
      </c>
    </row>
    <row r="2">
      <c r="A2" t="inlineStr">
        <is>
          <t>Parameter</t>
        </is>
      </c>
      <c r="B2" t="inlineStr">
        <is>
          <t>Formula</t>
        </is>
      </c>
      <c r="C2" t="inlineStr">
        <is>
          <t>Value</t>
        </is>
      </c>
    </row>
    <row r="3">
      <c r="A3" t="inlineStr">
        <is>
          <t>n</t>
        </is>
      </c>
      <c r="B3" t="inlineStr">
        <is>
          <t>nodes on tree</t>
        </is>
      </c>
      <c r="C3" t="n">
        <v>4</v>
      </c>
    </row>
    <row r="4">
      <c r="A4" t="inlineStr">
        <is>
          <t>nch</t>
        </is>
      </c>
      <c r="B4" t="inlineStr">
        <is>
          <t>channels</t>
        </is>
      </c>
      <c r="C4" t="n">
        <v>1</v>
      </c>
    </row>
    <row r="5">
      <c r="A5" t="inlineStr">
        <is>
          <t>a</t>
        </is>
      </c>
      <c r="B5" t="inlineStr">
        <is>
          <t>RTT (us)</t>
        </is>
      </c>
      <c r="C5" t="n">
        <v>25.8107</v>
      </c>
    </row>
    <row r="6">
      <c r="A6" t="inlineStr">
        <is>
          <t>NIC_BW</t>
        </is>
      </c>
      <c r="B6" t="inlineStr">
        <is>
          <t>bytes/us</t>
        </is>
      </c>
      <c r="C6" t="n">
        <v>48750</v>
      </c>
    </row>
    <row r="7">
      <c r="A7" t="inlineStr">
        <is>
          <t>NIC_BW_REAL</t>
        </is>
      </c>
      <c r="B7" t="inlineStr">
        <is>
          <t>NIC_BW/3</t>
        </is>
      </c>
      <c r="C7">
        <f>C6/3</f>
        <v/>
      </c>
    </row>
    <row r="8">
      <c r="A8" t="inlineStr">
        <is>
          <t>G</t>
        </is>
      </c>
      <c r="B8" t="inlineStr">
        <is>
          <t>1/NIC_BW_REAL</t>
        </is>
      </c>
      <c r="C8">
        <f>1/C7</f>
        <v/>
      </c>
    </row>
    <row r="9">
      <c r="A9" t="inlineStr">
        <is>
          <t>busbw_factor</t>
        </is>
      </c>
      <c r="B9" t="inlineStr">
        <is>
          <t>2*(n-1)/n</t>
        </is>
      </c>
      <c r="C9">
        <f>2*(C3-1)/C3</f>
        <v/>
      </c>
    </row>
    <row r="10">
      <c r="A10" t="inlineStr">
        <is>
          <t>fixed_overhead</t>
        </is>
      </c>
      <c r="B10" t="inlineStr">
        <is>
          <t>(2*LOG2(n)+1)*a/2</t>
        </is>
      </c>
      <c r="C10">
        <f>(2*LOG(C3,2)+1)*C5/2</f>
        <v/>
      </c>
    </row>
    <row r="11"/>
    <row r="12">
      <c r="A12" t="inlineStr">
        <is>
          <t>size_KB</t>
        </is>
      </c>
      <c r="B12" t="inlineStr">
        <is>
          <t>Actual Time (us)</t>
        </is>
      </c>
      <c r="C12" t="inlineStr">
        <is>
          <t>Roofline Time (us)</t>
        </is>
      </c>
      <c r="D12" t="inlineStr">
        <is>
          <t>Actual/Roofline</t>
        </is>
      </c>
      <c r="E12" t="inlineStr">
        <is>
          <t>Actual busBW (GB/s)</t>
        </is>
      </c>
      <c r="F12" t="inlineStr">
        <is>
          <t>Roofline busBW (GB/s)</t>
        </is>
      </c>
      <c r="G12" t="inlineStr">
        <is>
          <t>Meas/Roof busBW</t>
        </is>
      </c>
    </row>
    <row r="13">
      <c r="A13" t="n">
        <v>1</v>
      </c>
      <c r="B13" t="n">
        <v>96.23999999999999</v>
      </c>
      <c r="C13">
        <f>C10+A13*1024*C8</f>
        <v/>
      </c>
      <c r="D13">
        <f>B13/C13</f>
        <v/>
      </c>
      <c r="E13" t="n">
        <v>0.02</v>
      </c>
      <c r="F13">
        <f>A13*1024/(C13*0.000001)/1000000000*C9</f>
        <v/>
      </c>
      <c r="G13">
        <f>E13/F13</f>
        <v/>
      </c>
    </row>
    <row r="14">
      <c r="A14" t="n">
        <v>2</v>
      </c>
      <c r="B14" t="n">
        <v>96.95999999999999</v>
      </c>
      <c r="C14">
        <f>C10+A14*1024*C8</f>
        <v/>
      </c>
      <c r="D14">
        <f>B14/C14</f>
        <v/>
      </c>
      <c r="E14" t="n">
        <v>0.03</v>
      </c>
      <c r="F14">
        <f>A14*1024/(C14*0.000001)/1000000000*C9</f>
        <v/>
      </c>
      <c r="G14">
        <f>E14/F14</f>
        <v/>
      </c>
    </row>
    <row r="15">
      <c r="A15" t="n">
        <v>4</v>
      </c>
      <c r="B15" t="n">
        <v>99.51000000000001</v>
      </c>
      <c r="C15">
        <f>C10+A15*1024*C8</f>
        <v/>
      </c>
      <c r="D15">
        <f>B15/C15</f>
        <v/>
      </c>
      <c r="E15" t="n">
        <v>0.06</v>
      </c>
      <c r="F15">
        <f>A15*1024/(C15*0.000001)/1000000000*C9</f>
        <v/>
      </c>
      <c r="G15">
        <f>E15/F15</f>
        <v/>
      </c>
    </row>
    <row r="16">
      <c r="A16" t="n">
        <v>8</v>
      </c>
      <c r="B16" t="n">
        <v>106.98</v>
      </c>
      <c r="C16">
        <f>C10+A16*1024*C8</f>
        <v/>
      </c>
      <c r="D16">
        <f>B16/C16</f>
        <v/>
      </c>
      <c r="E16" t="n">
        <v>0.11</v>
      </c>
      <c r="F16">
        <f>A16*1024/(C16*0.000001)/1000000000*C9</f>
        <v/>
      </c>
      <c r="G16">
        <f>E16/F16</f>
        <v/>
      </c>
    </row>
    <row r="17">
      <c r="A17" t="n">
        <v>16</v>
      </c>
      <c r="B17" t="n">
        <v>125.14</v>
      </c>
      <c r="C17">
        <f>C10+A17*1024*C8</f>
        <v/>
      </c>
      <c r="D17">
        <f>B17/C17</f>
        <v/>
      </c>
      <c r="E17" t="n">
        <v>0.2</v>
      </c>
      <c r="F17">
        <f>A17*1024/(C17*0.000001)/1000000000*C9</f>
        <v/>
      </c>
      <c r="G17">
        <f>E17/F17</f>
        <v/>
      </c>
    </row>
    <row r="18">
      <c r="A18" t="n">
        <v>32</v>
      </c>
      <c r="B18" t="n">
        <v>138.87</v>
      </c>
      <c r="C18">
        <f>C10+A18*1024*C8</f>
        <v/>
      </c>
      <c r="D18">
        <f>B18/C18</f>
        <v/>
      </c>
      <c r="E18" t="n">
        <v>0.35</v>
      </c>
      <c r="F18">
        <f>A18*1024/(C18*0.000001)/1000000000*C9</f>
        <v/>
      </c>
      <c r="G18">
        <f>E18/F18</f>
        <v/>
      </c>
    </row>
    <row r="19">
      <c r="A19" t="n">
        <v>64</v>
      </c>
      <c r="B19" t="n">
        <v>154.24</v>
      </c>
      <c r="C19">
        <f>C10+A19*1024*C8</f>
        <v/>
      </c>
      <c r="D19">
        <f>B19/C19</f>
        <v/>
      </c>
      <c r="E19" t="n">
        <v>0.64</v>
      </c>
      <c r="F19">
        <f>A19*1024/(C19*0.000001)/1000000000*C9</f>
        <v/>
      </c>
      <c r="G19">
        <f>E19/F19</f>
        <v/>
      </c>
    </row>
    <row r="20">
      <c r="A20" t="n">
        <v>128</v>
      </c>
      <c r="B20" t="n">
        <v>183.23</v>
      </c>
      <c r="C20">
        <f>C10+A20*1024*C8</f>
        <v/>
      </c>
      <c r="D20">
        <f>B20/C20</f>
        <v/>
      </c>
      <c r="E20" t="n">
        <v>1.07</v>
      </c>
      <c r="F20">
        <f>A20*1024/(C20*0.000001)/1000000000*C9</f>
        <v/>
      </c>
      <c r="G20">
        <f>E20/F20</f>
        <v/>
      </c>
    </row>
    <row r="21">
      <c r="A21" t="n">
        <v>256</v>
      </c>
      <c r="B21" t="n">
        <v>215.38</v>
      </c>
      <c r="C21">
        <f>C10+A21*1024*C8</f>
        <v/>
      </c>
      <c r="D21">
        <f>B21/C21</f>
        <v/>
      </c>
      <c r="E21" t="n">
        <v>1.83</v>
      </c>
      <c r="F21">
        <f>A21*1024/(C21*0.000001)/1000000000*C9</f>
        <v/>
      </c>
      <c r="G21">
        <f>E21/F21</f>
        <v/>
      </c>
    </row>
    <row r="22">
      <c r="A22" t="n">
        <v>512</v>
      </c>
      <c r="B22" t="n">
        <v>297.59</v>
      </c>
      <c r="C22">
        <f>C10+A22*1024*C8</f>
        <v/>
      </c>
      <c r="D22">
        <f>B22/C22</f>
        <v/>
      </c>
      <c r="E22" t="n">
        <v>2.64</v>
      </c>
      <c r="F22">
        <f>A22*1024/(C22*0.000001)/1000000000*C9</f>
        <v/>
      </c>
      <c r="G22">
        <f>E22/F22</f>
        <v/>
      </c>
    </row>
    <row r="23">
      <c r="A23" t="n">
        <v>1024</v>
      </c>
      <c r="B23" t="n">
        <v>464.17</v>
      </c>
      <c r="C23">
        <f>C10+A23*1024*C8</f>
        <v/>
      </c>
      <c r="D23">
        <f>B23/C23</f>
        <v/>
      </c>
      <c r="E23" t="n">
        <v>3.39</v>
      </c>
      <c r="F23">
        <f>A23*1024/(C23*0.000001)/1000000000*C9</f>
        <v/>
      </c>
      <c r="G23">
        <f>E23/F23</f>
        <v/>
      </c>
    </row>
    <row r="24">
      <c r="A24" t="n">
        <v>2048</v>
      </c>
      <c r="B24" t="n">
        <v>531.49</v>
      </c>
      <c r="C24">
        <f>C10+A24*1024*C8</f>
        <v/>
      </c>
      <c r="D24">
        <f>B24/C24</f>
        <v/>
      </c>
      <c r="E24" t="n">
        <v>5.92</v>
      </c>
      <c r="F24">
        <f>A24*1024/(C24*0.000001)/1000000000*C9</f>
        <v/>
      </c>
      <c r="G24">
        <f>E24/F24</f>
        <v/>
      </c>
    </row>
    <row r="25">
      <c r="A25" t="n">
        <v>4096</v>
      </c>
      <c r="B25" t="n">
        <v>670.22</v>
      </c>
      <c r="C25">
        <f>C10+A25*1024*C8</f>
        <v/>
      </c>
      <c r="D25">
        <f>B25/C25</f>
        <v/>
      </c>
      <c r="E25" t="n">
        <v>9.390000000000001</v>
      </c>
      <c r="F25">
        <f>A25*1024/(C25*0.000001)/1000000000*C9</f>
        <v/>
      </c>
      <c r="G25">
        <f>E25/F25</f>
        <v/>
      </c>
    </row>
    <row r="26">
      <c r="A26" t="n">
        <v>8192</v>
      </c>
      <c r="B26" t="n">
        <v>1068.93</v>
      </c>
      <c r="C26">
        <f>C10+A26*1024*C8</f>
        <v/>
      </c>
      <c r="D26">
        <f>B26/C26</f>
        <v/>
      </c>
      <c r="E26" t="n">
        <v>11.77</v>
      </c>
      <c r="F26">
        <f>A26*1024/(C26*0.000001)/1000000000*C9</f>
        <v/>
      </c>
      <c r="G26">
        <f>E26/F26</f>
        <v/>
      </c>
    </row>
    <row r="27">
      <c r="A27" t="n">
        <v>16384</v>
      </c>
      <c r="B27" t="n">
        <v>1825.8</v>
      </c>
      <c r="C27">
        <f>C10+A27*1024*C8</f>
        <v/>
      </c>
      <c r="D27">
        <f>B27/C27</f>
        <v/>
      </c>
      <c r="E27" t="n">
        <v>13.78</v>
      </c>
      <c r="F27">
        <f>A27*1024/(C27*0.000001)/1000000000*C9</f>
        <v/>
      </c>
      <c r="G27">
        <f>E27/F27</f>
        <v/>
      </c>
    </row>
    <row r="28">
      <c r="A28" t="n">
        <v>32768</v>
      </c>
      <c r="B28" t="n">
        <v>3803.68</v>
      </c>
      <c r="C28">
        <f>C10+A28*1024*C8</f>
        <v/>
      </c>
      <c r="D28">
        <f>B28/C28</f>
        <v/>
      </c>
      <c r="E28" t="n">
        <v>13.23</v>
      </c>
      <c r="F28">
        <f>A28*1024/(C28*0.000001)/1000000000*C9</f>
        <v/>
      </c>
      <c r="G28">
        <f>E28/F28</f>
        <v/>
      </c>
    </row>
    <row r="29">
      <c r="A29" t="n">
        <v>65536</v>
      </c>
      <c r="B29" t="n">
        <v>6799.22</v>
      </c>
      <c r="C29">
        <f>C10+A29*1024*C8</f>
        <v/>
      </c>
      <c r="D29">
        <f>B29/C29</f>
        <v/>
      </c>
      <c r="E29" t="n">
        <v>14.81</v>
      </c>
      <c r="F29">
        <f>A29*1024/(C29*0.000001)/1000000000*C9</f>
        <v/>
      </c>
      <c r="G29">
        <f>E29/F29</f>
        <v/>
      </c>
    </row>
    <row r="30">
      <c r="A30" t="n">
        <v>131072</v>
      </c>
      <c r="B30" t="n">
        <v>12616.6</v>
      </c>
      <c r="C30">
        <f>C10+A30*1024*C8</f>
        <v/>
      </c>
      <c r="D30">
        <f>B30/C30</f>
        <v/>
      </c>
      <c r="E30" t="n">
        <v>15.96</v>
      </c>
      <c r="F30">
        <f>A30*1024/(C30*0.000001)/1000000000*C9</f>
        <v/>
      </c>
      <c r="G30">
        <f>E30/F30</f>
        <v/>
      </c>
    </row>
    <row r="31">
      <c r="A31" t="n">
        <v>262144</v>
      </c>
      <c r="B31" t="n">
        <v>24713.7</v>
      </c>
      <c r="C31">
        <f>C10+A31*1024*C8</f>
        <v/>
      </c>
      <c r="D31">
        <f>B31/C31</f>
        <v/>
      </c>
      <c r="E31" t="n">
        <v>16.29</v>
      </c>
      <c r="F31">
        <f>A31*1024/(C31*0.000001)/1000000000*C9</f>
        <v/>
      </c>
      <c r="G31">
        <f>E31/F31</f>
        <v/>
      </c>
    </row>
    <row r="32">
      <c r="A32" t="n">
        <v>524288</v>
      </c>
      <c r="B32" t="n">
        <v>49070.8</v>
      </c>
      <c r="C32">
        <f>C10+A32*1024*C8</f>
        <v/>
      </c>
      <c r="D32">
        <f>B32/C32</f>
        <v/>
      </c>
      <c r="E32" t="n">
        <v>16.41</v>
      </c>
      <c r="F32">
        <f>A32*1024/(C32*0.000001)/1000000000*C9</f>
        <v/>
      </c>
      <c r="G32">
        <f>E32/F32</f>
        <v/>
      </c>
    </row>
    <row r="33">
      <c r="A33" t="n">
        <v>1048576</v>
      </c>
      <c r="B33" t="n">
        <v>97697.7</v>
      </c>
      <c r="C33">
        <f>C10+A33*1024*C8</f>
        <v/>
      </c>
      <c r="D33">
        <f>B33/C33</f>
        <v/>
      </c>
      <c r="E33" t="n">
        <v>16.49</v>
      </c>
      <c r="F33">
        <f>A33*1024/(C33*0.000001)/1000000000*C9</f>
        <v/>
      </c>
      <c r="G33">
        <f>E33/F33</f>
        <v/>
      </c>
    </row>
    <row r="34">
      <c r="A34" t="n">
        <v>2097152</v>
      </c>
      <c r="B34" t="n">
        <v>194944</v>
      </c>
      <c r="C34">
        <f>C10+A34*1024*C8</f>
        <v/>
      </c>
      <c r="D34">
        <f>B34/C34</f>
        <v/>
      </c>
      <c r="E34" t="n">
        <v>16.52</v>
      </c>
      <c r="F34">
        <f>A34*1024/(C34*0.000001)/1000000000*C9</f>
        <v/>
      </c>
      <c r="G34">
        <f>E34/F34</f>
        <v/>
      </c>
    </row>
    <row r="35">
      <c r="A35" t="n">
        <v>4194304</v>
      </c>
      <c r="B35" t="n">
        <v>389399</v>
      </c>
      <c r="C35">
        <f>C10+A35*1024*C8</f>
        <v/>
      </c>
      <c r="D35">
        <f>B35/C35</f>
        <v/>
      </c>
      <c r="E35" t="n">
        <v>16.54</v>
      </c>
      <c r="F35">
        <f>A35*1024/(C35*0.000001)/1000000000*C9</f>
        <v/>
      </c>
      <c r="G35">
        <f>E35/F35</f>
        <v/>
      </c>
    </row>
    <row r="36"/>
    <row r="37">
      <c r="A37" t="inlineStr">
        <is>
          <t>Nodes: 4, Protocol: Simple, Channels: 2</t>
        </is>
      </c>
    </row>
    <row r="38">
      <c r="A38" t="inlineStr">
        <is>
          <t>Parameter</t>
        </is>
      </c>
      <c r="B38" t="inlineStr">
        <is>
          <t>Formula</t>
        </is>
      </c>
      <c r="C38" t="inlineStr">
        <is>
          <t>Value</t>
        </is>
      </c>
    </row>
    <row r="39">
      <c r="A39" t="inlineStr">
        <is>
          <t>n</t>
        </is>
      </c>
      <c r="B39" t="inlineStr">
        <is>
          <t>nodes on tree</t>
        </is>
      </c>
      <c r="C39" t="n">
        <v>4</v>
      </c>
    </row>
    <row r="40">
      <c r="A40" t="inlineStr">
        <is>
          <t>nch</t>
        </is>
      </c>
      <c r="B40" t="inlineStr">
        <is>
          <t>channels</t>
        </is>
      </c>
      <c r="C40" t="n">
        <v>2</v>
      </c>
    </row>
    <row r="41">
      <c r="A41" t="inlineStr">
        <is>
          <t>a</t>
        </is>
      </c>
      <c r="B41" t="inlineStr">
        <is>
          <t>RTT (us)</t>
        </is>
      </c>
      <c r="C41" t="n">
        <v>25.8107</v>
      </c>
    </row>
    <row r="42">
      <c r="A42" t="inlineStr">
        <is>
          <t>NIC_BW</t>
        </is>
      </c>
      <c r="B42" t="inlineStr">
        <is>
          <t>bytes/us</t>
        </is>
      </c>
      <c r="C42" t="n">
        <v>48750</v>
      </c>
    </row>
    <row r="43">
      <c r="A43" t="inlineStr">
        <is>
          <t>NIC_BW_REAL</t>
        </is>
      </c>
      <c r="B43" t="inlineStr">
        <is>
          <t>NIC_BW/3</t>
        </is>
      </c>
      <c r="C43">
        <f>C42/3</f>
        <v/>
      </c>
    </row>
    <row r="44">
      <c r="A44" t="inlineStr">
        <is>
          <t>G</t>
        </is>
      </c>
      <c r="B44" t="inlineStr">
        <is>
          <t>1/NIC_BW_REAL</t>
        </is>
      </c>
      <c r="C44">
        <f>1/C43</f>
        <v/>
      </c>
    </row>
    <row r="45">
      <c r="A45" t="inlineStr">
        <is>
          <t>busbw_factor</t>
        </is>
      </c>
      <c r="B45" t="inlineStr">
        <is>
          <t>2*(n-1)/n</t>
        </is>
      </c>
      <c r="C45">
        <f>2*(C39-1)/C39</f>
        <v/>
      </c>
    </row>
    <row r="46">
      <c r="A46" t="inlineStr">
        <is>
          <t>fixed_overhead</t>
        </is>
      </c>
      <c r="B46" t="inlineStr">
        <is>
          <t>(2*LOG2(n)+1)*a/2</t>
        </is>
      </c>
      <c r="C46">
        <f>(2*LOG(C39,2)+1)*C41/2</f>
        <v/>
      </c>
    </row>
    <row r="47"/>
    <row r="48">
      <c r="A48" t="inlineStr">
        <is>
          <t>size_KB</t>
        </is>
      </c>
      <c r="B48" t="inlineStr">
        <is>
          <t>Actual Time (us)</t>
        </is>
      </c>
      <c r="C48" t="inlineStr">
        <is>
          <t>Roofline Time (us)</t>
        </is>
      </c>
      <c r="D48" t="inlineStr">
        <is>
          <t>Actual/Roofline</t>
        </is>
      </c>
      <c r="E48" t="inlineStr">
        <is>
          <t>Actual busBW (GB/s)</t>
        </is>
      </c>
      <c r="F48" t="inlineStr">
        <is>
          <t>Roofline busBW (GB/s)</t>
        </is>
      </c>
      <c r="G48" t="inlineStr">
        <is>
          <t>Meas/Roof busBW</t>
        </is>
      </c>
    </row>
    <row r="49">
      <c r="A49" t="n">
        <v>1</v>
      </c>
      <c r="B49" t="n">
        <v>96.48</v>
      </c>
      <c r="C49">
        <f>C46+A49*1024*C44</f>
        <v/>
      </c>
      <c r="D49">
        <f>B49/C49</f>
        <v/>
      </c>
      <c r="E49" t="n">
        <v>0.02</v>
      </c>
      <c r="F49">
        <f>A49*1024/(C49*0.000001)/1000000000*C45</f>
        <v/>
      </c>
      <c r="G49">
        <f>E49/F49</f>
        <v/>
      </c>
    </row>
    <row r="50">
      <c r="A50" t="n">
        <v>2</v>
      </c>
      <c r="B50" t="n">
        <v>97.09</v>
      </c>
      <c r="C50">
        <f>C46+A50*1024*C44</f>
        <v/>
      </c>
      <c r="D50">
        <f>B50/C50</f>
        <v/>
      </c>
      <c r="E50" t="n">
        <v>0.03</v>
      </c>
      <c r="F50">
        <f>A50*1024/(C50*0.000001)/1000000000*C45</f>
        <v/>
      </c>
      <c r="G50">
        <f>E50/F50</f>
        <v/>
      </c>
    </row>
    <row r="51">
      <c r="A51" t="n">
        <v>4</v>
      </c>
      <c r="B51" t="n">
        <v>100.05</v>
      </c>
      <c r="C51">
        <f>C46+A51*1024*C44</f>
        <v/>
      </c>
      <c r="D51">
        <f>B51/C51</f>
        <v/>
      </c>
      <c r="E51" t="n">
        <v>0.06</v>
      </c>
      <c r="F51">
        <f>A51*1024/(C51*0.000001)/1000000000*C45</f>
        <v/>
      </c>
      <c r="G51">
        <f>E51/F51</f>
        <v/>
      </c>
    </row>
    <row r="52">
      <c r="A52" t="n">
        <v>8</v>
      </c>
      <c r="B52" t="n">
        <v>106.51</v>
      </c>
      <c r="C52">
        <f>C46+A52*1024*C44</f>
        <v/>
      </c>
      <c r="D52">
        <f>B52/C52</f>
        <v/>
      </c>
      <c r="E52" t="n">
        <v>0.12</v>
      </c>
      <c r="F52">
        <f>A52*1024/(C52*0.000001)/1000000000*C45</f>
        <v/>
      </c>
      <c r="G52">
        <f>E52/F52</f>
        <v/>
      </c>
    </row>
    <row r="53">
      <c r="A53" t="n">
        <v>16</v>
      </c>
      <c r="B53" t="n">
        <v>124.8</v>
      </c>
      <c r="C53">
        <f>C46+A53*1024*C44</f>
        <v/>
      </c>
      <c r="D53">
        <f>B53/C53</f>
        <v/>
      </c>
      <c r="E53" t="n">
        <v>0.2</v>
      </c>
      <c r="F53">
        <f>A53*1024/(C53*0.000001)/1000000000*C45</f>
        <v/>
      </c>
      <c r="G53">
        <f>E53/F53</f>
        <v/>
      </c>
    </row>
    <row r="54">
      <c r="A54" t="n">
        <v>32</v>
      </c>
      <c r="B54" t="n">
        <v>138.73</v>
      </c>
      <c r="C54">
        <f>C46+A54*1024*C44</f>
        <v/>
      </c>
      <c r="D54">
        <f>B54/C54</f>
        <v/>
      </c>
      <c r="E54" t="n">
        <v>0.35</v>
      </c>
      <c r="F54">
        <f>A54*1024/(C54*0.000001)/1000000000*C45</f>
        <v/>
      </c>
      <c r="G54">
        <f>E54/F54</f>
        <v/>
      </c>
    </row>
    <row r="55">
      <c r="A55" t="n">
        <v>64</v>
      </c>
      <c r="B55" t="n">
        <v>144.44</v>
      </c>
      <c r="C55">
        <f>C46+A55*1024*C44</f>
        <v/>
      </c>
      <c r="D55">
        <f>B55/C55</f>
        <v/>
      </c>
      <c r="E55" t="n">
        <v>0.68</v>
      </c>
      <c r="F55">
        <f>A55*1024/(C55*0.000001)/1000000000*C45</f>
        <v/>
      </c>
      <c r="G55">
        <f>E55/F55</f>
        <v/>
      </c>
    </row>
    <row r="56">
      <c r="A56" t="n">
        <v>128</v>
      </c>
      <c r="B56" t="n">
        <v>161.37</v>
      </c>
      <c r="C56">
        <f>C46+A56*1024*C44</f>
        <v/>
      </c>
      <c r="D56">
        <f>B56/C56</f>
        <v/>
      </c>
      <c r="E56" t="n">
        <v>1.22</v>
      </c>
      <c r="F56">
        <f>A56*1024/(C56*0.000001)/1000000000*C45</f>
        <v/>
      </c>
      <c r="G56">
        <f>E56/F56</f>
        <v/>
      </c>
    </row>
    <row r="57">
      <c r="A57" t="n">
        <v>256</v>
      </c>
      <c r="B57" t="n">
        <v>194.38</v>
      </c>
      <c r="C57">
        <f>C46+A57*1024*C44</f>
        <v/>
      </c>
      <c r="D57">
        <f>B57/C57</f>
        <v/>
      </c>
      <c r="E57" t="n">
        <v>2.02</v>
      </c>
      <c r="F57">
        <f>A57*1024/(C57*0.000001)/1000000000*C45</f>
        <v/>
      </c>
      <c r="G57">
        <f>E57/F57</f>
        <v/>
      </c>
    </row>
    <row r="58">
      <c r="A58" t="n">
        <v>512</v>
      </c>
      <c r="B58" t="n">
        <v>240.89</v>
      </c>
      <c r="C58">
        <f>C46+A58*1024*C44</f>
        <v/>
      </c>
      <c r="D58">
        <f>B58/C58</f>
        <v/>
      </c>
      <c r="E58" t="n">
        <v>3.26</v>
      </c>
      <c r="F58">
        <f>A58*1024/(C58*0.000001)/1000000000*C45</f>
        <v/>
      </c>
      <c r="G58">
        <f>E58/F58</f>
        <v/>
      </c>
    </row>
    <row r="59">
      <c r="A59" t="n">
        <v>1024</v>
      </c>
      <c r="B59" t="n">
        <v>344.56</v>
      </c>
      <c r="C59">
        <f>C46+A59*1024*C44</f>
        <v/>
      </c>
      <c r="D59">
        <f>B59/C59</f>
        <v/>
      </c>
      <c r="E59" t="n">
        <v>4.56</v>
      </c>
      <c r="F59">
        <f>A59*1024/(C59*0.000001)/1000000000*C45</f>
        <v/>
      </c>
      <c r="G59">
        <f>E59/F59</f>
        <v/>
      </c>
    </row>
    <row r="60">
      <c r="A60" t="n">
        <v>2048</v>
      </c>
      <c r="B60" t="n">
        <v>535.61</v>
      </c>
      <c r="C60">
        <f>C46+A60*1024*C44</f>
        <v/>
      </c>
      <c r="D60">
        <f>B60/C60</f>
        <v/>
      </c>
      <c r="E60" t="n">
        <v>5.87</v>
      </c>
      <c r="F60">
        <f>A60*1024/(C60*0.000001)/1000000000*C45</f>
        <v/>
      </c>
      <c r="G60">
        <f>E60/F60</f>
        <v/>
      </c>
    </row>
    <row r="61">
      <c r="A61" t="n">
        <v>4096</v>
      </c>
      <c r="B61" t="n">
        <v>650.29</v>
      </c>
      <c r="C61">
        <f>C46+A61*1024*C44</f>
        <v/>
      </c>
      <c r="D61">
        <f>B61/C61</f>
        <v/>
      </c>
      <c r="E61" t="n">
        <v>9.67</v>
      </c>
      <c r="F61">
        <f>A61*1024/(C61*0.000001)/1000000000*C45</f>
        <v/>
      </c>
      <c r="G61">
        <f>E61/F61</f>
        <v/>
      </c>
    </row>
    <row r="62">
      <c r="A62" t="n">
        <v>8192</v>
      </c>
      <c r="B62" t="n">
        <v>967.6900000000001</v>
      </c>
      <c r="C62">
        <f>C46+A62*1024*C44</f>
        <v/>
      </c>
      <c r="D62">
        <f>B62/C62</f>
        <v/>
      </c>
      <c r="E62" t="n">
        <v>13</v>
      </c>
      <c r="F62">
        <f>A62*1024/(C62*0.000001)/1000000000*C45</f>
        <v/>
      </c>
      <c r="G62">
        <f>E62/F62</f>
        <v/>
      </c>
    </row>
    <row r="63">
      <c r="A63" t="n">
        <v>16384</v>
      </c>
      <c r="B63" t="n">
        <v>1611.14</v>
      </c>
      <c r="C63">
        <f>C46+A63*1024*C44</f>
        <v/>
      </c>
      <c r="D63">
        <f>B63/C63</f>
        <v/>
      </c>
      <c r="E63" t="n">
        <v>15.62</v>
      </c>
      <c r="F63">
        <f>A63*1024/(C63*0.000001)/1000000000*C45</f>
        <v/>
      </c>
      <c r="G63">
        <f>E63/F63</f>
        <v/>
      </c>
    </row>
    <row r="64">
      <c r="A64" t="n">
        <v>32768</v>
      </c>
      <c r="B64" t="n">
        <v>2798.58</v>
      </c>
      <c r="C64">
        <f>C46+A64*1024*C44</f>
        <v/>
      </c>
      <c r="D64">
        <f>B64/C64</f>
        <v/>
      </c>
      <c r="E64" t="n">
        <v>17.98</v>
      </c>
      <c r="F64">
        <f>A64*1024/(C64*0.000001)/1000000000*C45</f>
        <v/>
      </c>
      <c r="G64">
        <f>E64/F64</f>
        <v/>
      </c>
    </row>
    <row r="65">
      <c r="A65" t="n">
        <v>65536</v>
      </c>
      <c r="B65" t="n">
        <v>5112.59</v>
      </c>
      <c r="C65">
        <f>C46+A65*1024*C44</f>
        <v/>
      </c>
      <c r="D65">
        <f>B65/C65</f>
        <v/>
      </c>
      <c r="E65" t="n">
        <v>19.69</v>
      </c>
      <c r="F65">
        <f>A65*1024/(C65*0.000001)/1000000000*C45</f>
        <v/>
      </c>
      <c r="G65">
        <f>E65/F65</f>
        <v/>
      </c>
    </row>
    <row r="66">
      <c r="A66" t="n">
        <v>131072</v>
      </c>
      <c r="B66" t="n">
        <v>9368.120000000001</v>
      </c>
      <c r="C66">
        <f>C46+A66*1024*C44</f>
        <v/>
      </c>
      <c r="D66">
        <f>B66/C66</f>
        <v/>
      </c>
      <c r="E66" t="n">
        <v>21.49</v>
      </c>
      <c r="F66">
        <f>A66*1024/(C66*0.000001)/1000000000*C45</f>
        <v/>
      </c>
      <c r="G66">
        <f>E66/F66</f>
        <v/>
      </c>
    </row>
    <row r="67">
      <c r="A67" t="n">
        <v>262144</v>
      </c>
      <c r="B67" t="n">
        <v>17992.4</v>
      </c>
      <c r="C67">
        <f>C46+A67*1024*C44</f>
        <v/>
      </c>
      <c r="D67">
        <f>B67/C67</f>
        <v/>
      </c>
      <c r="E67" t="n">
        <v>22.38</v>
      </c>
      <c r="F67">
        <f>A67*1024/(C67*0.000001)/1000000000*C45</f>
        <v/>
      </c>
      <c r="G67">
        <f>E67/F67</f>
        <v/>
      </c>
    </row>
    <row r="68">
      <c r="A68" t="n">
        <v>524288</v>
      </c>
      <c r="B68" t="n">
        <v>35239.6</v>
      </c>
      <c r="C68">
        <f>C46+A68*1024*C44</f>
        <v/>
      </c>
      <c r="D68">
        <f>B68/C68</f>
        <v/>
      </c>
      <c r="E68" t="n">
        <v>22.85</v>
      </c>
      <c r="F68">
        <f>A68*1024/(C68*0.000001)/1000000000*C45</f>
        <v/>
      </c>
      <c r="G68">
        <f>E68/F68</f>
        <v/>
      </c>
    </row>
    <row r="69">
      <c r="A69" t="n">
        <v>1048576</v>
      </c>
      <c r="B69" t="n">
        <v>69753.89999999999</v>
      </c>
      <c r="C69">
        <f>C46+A69*1024*C44</f>
        <v/>
      </c>
      <c r="D69">
        <f>B69/C69</f>
        <v/>
      </c>
      <c r="E69" t="n">
        <v>23.09</v>
      </c>
      <c r="F69">
        <f>A69*1024/(C69*0.000001)/1000000000*C45</f>
        <v/>
      </c>
      <c r="G69">
        <f>E69/F69</f>
        <v/>
      </c>
    </row>
    <row r="70">
      <c r="A70" t="n">
        <v>2097152</v>
      </c>
      <c r="B70" t="n">
        <v>138837</v>
      </c>
      <c r="C70">
        <f>C46+A70*1024*C44</f>
        <v/>
      </c>
      <c r="D70">
        <f>B70/C70</f>
        <v/>
      </c>
      <c r="E70" t="n">
        <v>23.2</v>
      </c>
      <c r="F70">
        <f>A70*1024/(C70*0.000001)/1000000000*C45</f>
        <v/>
      </c>
      <c r="G70">
        <f>E70/F70</f>
        <v/>
      </c>
    </row>
    <row r="71">
      <c r="A71" t="n">
        <v>4194304</v>
      </c>
      <c r="B71" t="n">
        <v>277479</v>
      </c>
      <c r="C71">
        <f>C46+A71*1024*C44</f>
        <v/>
      </c>
      <c r="D71">
        <f>B71/C71</f>
        <v/>
      </c>
      <c r="E71" t="n">
        <v>23.22</v>
      </c>
      <c r="F71">
        <f>A71*1024/(C71*0.000001)/1000000000*C45</f>
        <v/>
      </c>
      <c r="G71">
        <f>E71/F71</f>
        <v/>
      </c>
    </row>
    <row r="72"/>
    <row r="73">
      <c r="A73" t="inlineStr">
        <is>
          <t>Nodes: 4, Protocol: Simple, Channels: 4</t>
        </is>
      </c>
    </row>
    <row r="74">
      <c r="A74" t="inlineStr">
        <is>
          <t>Parameter</t>
        </is>
      </c>
      <c r="B74" t="inlineStr">
        <is>
          <t>Formula</t>
        </is>
      </c>
      <c r="C74" t="inlineStr">
        <is>
          <t>Value</t>
        </is>
      </c>
    </row>
    <row r="75">
      <c r="A75" t="inlineStr">
        <is>
          <t>n</t>
        </is>
      </c>
      <c r="B75" t="inlineStr">
        <is>
          <t>nodes on tree</t>
        </is>
      </c>
      <c r="C75" t="n">
        <v>4</v>
      </c>
    </row>
    <row r="76">
      <c r="A76" t="inlineStr">
        <is>
          <t>nch</t>
        </is>
      </c>
      <c r="B76" t="inlineStr">
        <is>
          <t>channels</t>
        </is>
      </c>
      <c r="C76" t="n">
        <v>4</v>
      </c>
    </row>
    <row r="77">
      <c r="A77" t="inlineStr">
        <is>
          <t>a</t>
        </is>
      </c>
      <c r="B77" t="inlineStr">
        <is>
          <t>RTT (us)</t>
        </is>
      </c>
      <c r="C77" t="n">
        <v>25.8107</v>
      </c>
    </row>
    <row r="78">
      <c r="A78" t="inlineStr">
        <is>
          <t>NIC_BW</t>
        </is>
      </c>
      <c r="B78" t="inlineStr">
        <is>
          <t>bytes/us</t>
        </is>
      </c>
      <c r="C78" t="n">
        <v>48750</v>
      </c>
    </row>
    <row r="79">
      <c r="A79" t="inlineStr">
        <is>
          <t>NIC_BW_REAL</t>
        </is>
      </c>
      <c r="B79" t="inlineStr">
        <is>
          <t>NIC_BW/2</t>
        </is>
      </c>
      <c r="C79">
        <f>C78/2</f>
        <v/>
      </c>
    </row>
    <row r="80">
      <c r="A80" t="inlineStr">
        <is>
          <t>G</t>
        </is>
      </c>
      <c r="B80" t="inlineStr">
        <is>
          <t>1/NIC_BW_REAL</t>
        </is>
      </c>
      <c r="C80">
        <f>1/C79</f>
        <v/>
      </c>
    </row>
    <row r="81">
      <c r="A81" t="inlineStr">
        <is>
          <t>busbw_factor</t>
        </is>
      </c>
      <c r="B81" t="inlineStr">
        <is>
          <t>2*(n-1)/n</t>
        </is>
      </c>
      <c r="C81">
        <f>2*(C75-1)/C75</f>
        <v/>
      </c>
    </row>
    <row r="82">
      <c r="A82" t="inlineStr">
        <is>
          <t>fixed_overhead</t>
        </is>
      </c>
      <c r="B82" t="inlineStr">
        <is>
          <t>(2*LOG2(n)+1)*a/2</t>
        </is>
      </c>
      <c r="C82">
        <f>(2*LOG(C75,2)+1)*C77/2</f>
        <v/>
      </c>
    </row>
    <row r="83"/>
    <row r="84">
      <c r="A84" t="inlineStr">
        <is>
          <t>size_KB</t>
        </is>
      </c>
      <c r="B84" t="inlineStr">
        <is>
          <t>Actual Time (us)</t>
        </is>
      </c>
      <c r="C84" t="inlineStr">
        <is>
          <t>Roofline Time (us)</t>
        </is>
      </c>
      <c r="D84" t="inlineStr">
        <is>
          <t>Actual/Roofline</t>
        </is>
      </c>
      <c r="E84" t="inlineStr">
        <is>
          <t>Actual busBW (GB/s)</t>
        </is>
      </c>
      <c r="F84" t="inlineStr">
        <is>
          <t>Roofline busBW (GB/s)</t>
        </is>
      </c>
      <c r="G84" t="inlineStr">
        <is>
          <t>Meas/Roof busBW</t>
        </is>
      </c>
    </row>
    <row r="85">
      <c r="A85" t="n">
        <v>1</v>
      </c>
      <c r="B85" t="n">
        <v>96.58</v>
      </c>
      <c r="C85">
        <f>C82+A85*1024*C80</f>
        <v/>
      </c>
      <c r="D85">
        <f>B85/C85</f>
        <v/>
      </c>
      <c r="E85" t="n">
        <v>0.02</v>
      </c>
      <c r="F85">
        <f>A85*1024/(C85*0.000001)/1000000000*C81</f>
        <v/>
      </c>
      <c r="G85">
        <f>E85/F85</f>
        <v/>
      </c>
    </row>
    <row r="86">
      <c r="A86" t="n">
        <v>2</v>
      </c>
      <c r="B86" t="n">
        <v>96.81</v>
      </c>
      <c r="C86">
        <f>C82+A86*1024*C80</f>
        <v/>
      </c>
      <c r="D86">
        <f>B86/C86</f>
        <v/>
      </c>
      <c r="E86" t="n">
        <v>0.03</v>
      </c>
      <c r="F86">
        <f>A86*1024/(C86*0.000001)/1000000000*C81</f>
        <v/>
      </c>
      <c r="G86">
        <f>E86/F86</f>
        <v/>
      </c>
    </row>
    <row r="87">
      <c r="A87" t="n">
        <v>4</v>
      </c>
      <c r="B87" t="n">
        <v>99.84</v>
      </c>
      <c r="C87">
        <f>C82+A87*1024*C80</f>
        <v/>
      </c>
      <c r="D87">
        <f>B87/C87</f>
        <v/>
      </c>
      <c r="E87" t="n">
        <v>0.06</v>
      </c>
      <c r="F87">
        <f>A87*1024/(C87*0.000001)/1000000000*C81</f>
        <v/>
      </c>
      <c r="G87">
        <f>E87/F87</f>
        <v/>
      </c>
    </row>
    <row r="88">
      <c r="A88" t="n">
        <v>8</v>
      </c>
      <c r="B88" t="n">
        <v>106.82</v>
      </c>
      <c r="C88">
        <f>C82+A88*1024*C80</f>
        <v/>
      </c>
      <c r="D88">
        <f>B88/C88</f>
        <v/>
      </c>
      <c r="E88" t="n">
        <v>0.12</v>
      </c>
      <c r="F88">
        <f>A88*1024/(C88*0.000001)/1000000000*C81</f>
        <v/>
      </c>
      <c r="G88">
        <f>E88/F88</f>
        <v/>
      </c>
    </row>
    <row r="89">
      <c r="A89" t="n">
        <v>16</v>
      </c>
      <c r="B89" t="n">
        <v>124.88</v>
      </c>
      <c r="C89">
        <f>C82+A89*1024*C80</f>
        <v/>
      </c>
      <c r="D89">
        <f>B89/C89</f>
        <v/>
      </c>
      <c r="E89" t="n">
        <v>0.2</v>
      </c>
      <c r="F89">
        <f>A89*1024/(C89*0.000001)/1000000000*C81</f>
        <v/>
      </c>
      <c r="G89">
        <f>E89/F89</f>
        <v/>
      </c>
    </row>
    <row r="90">
      <c r="A90" t="n">
        <v>32</v>
      </c>
      <c r="B90" t="n">
        <v>138.75</v>
      </c>
      <c r="C90">
        <f>C82+A90*1024*C80</f>
        <v/>
      </c>
      <c r="D90">
        <f>B90/C90</f>
        <v/>
      </c>
      <c r="E90" t="n">
        <v>0.35</v>
      </c>
      <c r="F90">
        <f>A90*1024/(C90*0.000001)/1000000000*C81</f>
        <v/>
      </c>
      <c r="G90">
        <f>E90/F90</f>
        <v/>
      </c>
    </row>
    <row r="91">
      <c r="A91" t="n">
        <v>64</v>
      </c>
      <c r="B91" t="n">
        <v>144.16</v>
      </c>
      <c r="C91">
        <f>C82+A91*1024*C80</f>
        <v/>
      </c>
      <c r="D91">
        <f>B91/C91</f>
        <v/>
      </c>
      <c r="E91" t="n">
        <v>0.68</v>
      </c>
      <c r="F91">
        <f>A91*1024/(C91*0.000001)/1000000000*C81</f>
        <v/>
      </c>
      <c r="G91">
        <f>E91/F91</f>
        <v/>
      </c>
    </row>
    <row r="92">
      <c r="A92" t="n">
        <v>128</v>
      </c>
      <c r="B92" t="n">
        <v>149</v>
      </c>
      <c r="C92">
        <f>C82+A92*1024*C80</f>
        <v/>
      </c>
      <c r="D92">
        <f>B92/C92</f>
        <v/>
      </c>
      <c r="E92" t="n">
        <v>1.32</v>
      </c>
      <c r="F92">
        <f>A92*1024/(C92*0.000001)/1000000000*C81</f>
        <v/>
      </c>
      <c r="G92">
        <f>E92/F92</f>
        <v/>
      </c>
    </row>
    <row r="93">
      <c r="A93" t="n">
        <v>256</v>
      </c>
      <c r="B93" t="n">
        <v>166.95</v>
      </c>
      <c r="C93">
        <f>C82+A93*1024*C80</f>
        <v/>
      </c>
      <c r="D93">
        <f>B93/C93</f>
        <v/>
      </c>
      <c r="E93" t="n">
        <v>2.36</v>
      </c>
      <c r="F93">
        <f>A93*1024/(C93*0.000001)/1000000000*C81</f>
        <v/>
      </c>
      <c r="G93">
        <f>E93/F93</f>
        <v/>
      </c>
    </row>
    <row r="94">
      <c r="A94" t="n">
        <v>512</v>
      </c>
      <c r="B94" t="n">
        <v>201.05</v>
      </c>
      <c r="C94">
        <f>C82+A94*1024*C80</f>
        <v/>
      </c>
      <c r="D94">
        <f>B94/C94</f>
        <v/>
      </c>
      <c r="E94" t="n">
        <v>3.91</v>
      </c>
      <c r="F94">
        <f>A94*1024/(C94*0.000001)/1000000000*C81</f>
        <v/>
      </c>
      <c r="G94">
        <f>E94/F94</f>
        <v/>
      </c>
    </row>
    <row r="95">
      <c r="A95" t="n">
        <v>1024</v>
      </c>
      <c r="B95" t="n">
        <v>249.79</v>
      </c>
      <c r="C95">
        <f>C82+A95*1024*C80</f>
        <v/>
      </c>
      <c r="D95">
        <f>B95/C95</f>
        <v/>
      </c>
      <c r="E95" t="n">
        <v>6.3</v>
      </c>
      <c r="F95">
        <f>A95*1024/(C95*0.000001)/1000000000*C81</f>
        <v/>
      </c>
      <c r="G95">
        <f>E95/F95</f>
        <v/>
      </c>
    </row>
    <row r="96">
      <c r="A96" t="n">
        <v>2048</v>
      </c>
      <c r="B96" t="n">
        <v>357.68</v>
      </c>
      <c r="C96">
        <f>C82+A96*1024*C80</f>
        <v/>
      </c>
      <c r="D96">
        <f>B96/C96</f>
        <v/>
      </c>
      <c r="E96" t="n">
        <v>8.789999999999999</v>
      </c>
      <c r="F96">
        <f>A96*1024/(C96*0.000001)/1000000000*C81</f>
        <v/>
      </c>
      <c r="G96">
        <f>E96/F96</f>
        <v/>
      </c>
    </row>
    <row r="97">
      <c r="A97" t="n">
        <v>4096</v>
      </c>
      <c r="B97" t="n">
        <v>555.99</v>
      </c>
      <c r="C97">
        <f>C82+A97*1024*C80</f>
        <v/>
      </c>
      <c r="D97">
        <f>B97/C97</f>
        <v/>
      </c>
      <c r="E97" t="n">
        <v>11.32</v>
      </c>
      <c r="F97">
        <f>A97*1024/(C97*0.000001)/1000000000*C81</f>
        <v/>
      </c>
      <c r="G97">
        <f>E97/F97</f>
        <v/>
      </c>
    </row>
    <row r="98">
      <c r="A98" t="n">
        <v>8192</v>
      </c>
      <c r="B98" t="n">
        <v>695.36</v>
      </c>
      <c r="C98">
        <f>C82+A98*1024*C80</f>
        <v/>
      </c>
      <c r="D98">
        <f>B98/C98</f>
        <v/>
      </c>
      <c r="E98" t="n">
        <v>18.1</v>
      </c>
      <c r="F98">
        <f>A98*1024/(C98*0.000001)/1000000000*C81</f>
        <v/>
      </c>
      <c r="G98">
        <f>E98/F98</f>
        <v/>
      </c>
    </row>
    <row r="99">
      <c r="A99" t="n">
        <v>16384</v>
      </c>
      <c r="B99" t="n">
        <v>1016.81</v>
      </c>
      <c r="C99">
        <f>C82+A99*1024*C80</f>
        <v/>
      </c>
      <c r="D99">
        <f>B99/C99</f>
        <v/>
      </c>
      <c r="E99" t="n">
        <v>24.75</v>
      </c>
      <c r="F99">
        <f>A99*1024/(C99*0.000001)/1000000000*C81</f>
        <v/>
      </c>
      <c r="G99">
        <f>E99/F99</f>
        <v/>
      </c>
    </row>
    <row r="100">
      <c r="A100" t="n">
        <v>32768</v>
      </c>
      <c r="B100" t="n">
        <v>1847.08</v>
      </c>
      <c r="C100">
        <f>C82+A100*1024*C80</f>
        <v/>
      </c>
      <c r="D100">
        <f>B100/C100</f>
        <v/>
      </c>
      <c r="E100" t="n">
        <v>27.25</v>
      </c>
      <c r="F100">
        <f>A100*1024/(C100*0.000001)/1000000000*C81</f>
        <v/>
      </c>
      <c r="G100">
        <f>E100/F100</f>
        <v/>
      </c>
    </row>
    <row r="101">
      <c r="A101" t="n">
        <v>65536</v>
      </c>
      <c r="B101" t="n">
        <v>3675.66</v>
      </c>
      <c r="C101">
        <f>C82+A101*1024*C80</f>
        <v/>
      </c>
      <c r="D101">
        <f>B101/C101</f>
        <v/>
      </c>
      <c r="E101" t="n">
        <v>27.39</v>
      </c>
      <c r="F101">
        <f>A101*1024/(C101*0.000001)/1000000000*C81</f>
        <v/>
      </c>
      <c r="G101">
        <f>E101/F101</f>
        <v/>
      </c>
    </row>
    <row r="102">
      <c r="A102" t="n">
        <v>131072</v>
      </c>
      <c r="B102" t="n">
        <v>7190.58</v>
      </c>
      <c r="C102">
        <f>C82+A102*1024*C80</f>
        <v/>
      </c>
      <c r="D102">
        <f>B102/C102</f>
        <v/>
      </c>
      <c r="E102" t="n">
        <v>28</v>
      </c>
      <c r="F102">
        <f>A102*1024/(C102*0.000001)/1000000000*C81</f>
        <v/>
      </c>
      <c r="G102">
        <f>E102/F102</f>
        <v/>
      </c>
    </row>
    <row r="103">
      <c r="A103" t="n">
        <v>262144</v>
      </c>
      <c r="B103" t="n">
        <v>13803.2</v>
      </c>
      <c r="C103">
        <f>C82+A103*1024*C80</f>
        <v/>
      </c>
      <c r="D103">
        <f>B103/C103</f>
        <v/>
      </c>
      <c r="E103" t="n">
        <v>29.17</v>
      </c>
      <c r="F103">
        <f>A103*1024/(C103*0.000001)/1000000000*C81</f>
        <v/>
      </c>
      <c r="G103">
        <f>E103/F103</f>
        <v/>
      </c>
    </row>
    <row r="104">
      <c r="A104" t="n">
        <v>524288</v>
      </c>
      <c r="B104" t="n">
        <v>26737.5</v>
      </c>
      <c r="C104">
        <f>C82+A104*1024*C80</f>
        <v/>
      </c>
      <c r="D104">
        <f>B104/C104</f>
        <v/>
      </c>
      <c r="E104" t="n">
        <v>30.12</v>
      </c>
      <c r="F104">
        <f>A104*1024/(C104*0.000001)/1000000000*C81</f>
        <v/>
      </c>
      <c r="G104">
        <f>E104/F104</f>
        <v/>
      </c>
    </row>
    <row r="105">
      <c r="A105" t="n">
        <v>1048576</v>
      </c>
      <c r="B105" t="n">
        <v>52451.6</v>
      </c>
      <c r="C105">
        <f>C82+A105*1024*C80</f>
        <v/>
      </c>
      <c r="D105">
        <f>B105/C105</f>
        <v/>
      </c>
      <c r="E105" t="n">
        <v>30.71</v>
      </c>
      <c r="F105">
        <f>A105*1024/(C105*0.000001)/1000000000*C81</f>
        <v/>
      </c>
      <c r="G105">
        <f>E105/F105</f>
        <v/>
      </c>
    </row>
    <row r="106">
      <c r="A106" t="n">
        <v>2097152</v>
      </c>
      <c r="B106" t="n">
        <v>103913</v>
      </c>
      <c r="C106">
        <f>C82+A106*1024*C80</f>
        <v/>
      </c>
      <c r="D106">
        <f>B106/C106</f>
        <v/>
      </c>
      <c r="E106" t="n">
        <v>31</v>
      </c>
      <c r="F106">
        <f>A106*1024/(C106*0.000001)/1000000000*C81</f>
        <v/>
      </c>
      <c r="G106">
        <f>E106/F106</f>
        <v/>
      </c>
    </row>
    <row r="107">
      <c r="A107" t="n">
        <v>4194304</v>
      </c>
      <c r="B107" t="n">
        <v>206864</v>
      </c>
      <c r="C107">
        <f>C82+A107*1024*C80</f>
        <v/>
      </c>
      <c r="D107">
        <f>B107/C107</f>
        <v/>
      </c>
      <c r="E107" t="n">
        <v>31.14</v>
      </c>
      <c r="F107">
        <f>A107*1024/(C107*0.000001)/1000000000*C81</f>
        <v/>
      </c>
      <c r="G107">
        <f>E107/F107</f>
        <v/>
      </c>
    </row>
    <row r="108"/>
    <row r="109">
      <c r="A109" t="inlineStr">
        <is>
          <t>Nodes: 4, Protocol: Simple, Channels: 8</t>
        </is>
      </c>
    </row>
    <row r="110">
      <c r="A110" t="inlineStr">
        <is>
          <t>Parameter</t>
        </is>
      </c>
      <c r="B110" t="inlineStr">
        <is>
          <t>Formula</t>
        </is>
      </c>
      <c r="C110" t="inlineStr">
        <is>
          <t>Value</t>
        </is>
      </c>
    </row>
    <row r="111">
      <c r="A111" t="inlineStr">
        <is>
          <t>n</t>
        </is>
      </c>
      <c r="B111" t="inlineStr">
        <is>
          <t>nodes on tree</t>
        </is>
      </c>
      <c r="C111" t="n">
        <v>4</v>
      </c>
    </row>
    <row r="112">
      <c r="A112" t="inlineStr">
        <is>
          <t>nch</t>
        </is>
      </c>
      <c r="B112" t="inlineStr">
        <is>
          <t>channels</t>
        </is>
      </c>
      <c r="C112" t="n">
        <v>8</v>
      </c>
    </row>
    <row r="113">
      <c r="A113" t="inlineStr">
        <is>
          <t>a</t>
        </is>
      </c>
      <c r="B113" t="inlineStr">
        <is>
          <t>RTT (us)</t>
        </is>
      </c>
      <c r="C113" t="n">
        <v>25.8107</v>
      </c>
    </row>
    <row r="114">
      <c r="A114" t="inlineStr">
        <is>
          <t>NIC_BW</t>
        </is>
      </c>
      <c r="B114" t="inlineStr">
        <is>
          <t>bytes/us</t>
        </is>
      </c>
      <c r="C114" t="n">
        <v>48750</v>
      </c>
    </row>
    <row r="115">
      <c r="A115" t="inlineStr">
        <is>
          <t>NIC_BW_REAL</t>
        </is>
      </c>
      <c r="B115" t="inlineStr">
        <is>
          <t>NIC_BW/2</t>
        </is>
      </c>
      <c r="C115">
        <f>C114/2</f>
        <v/>
      </c>
    </row>
    <row r="116">
      <c r="A116" t="inlineStr">
        <is>
          <t>G</t>
        </is>
      </c>
      <c r="B116" t="inlineStr">
        <is>
          <t>1/NIC_BW_REAL</t>
        </is>
      </c>
      <c r="C116">
        <f>1/C115</f>
        <v/>
      </c>
    </row>
    <row r="117">
      <c r="A117" t="inlineStr">
        <is>
          <t>busbw_factor</t>
        </is>
      </c>
      <c r="B117" t="inlineStr">
        <is>
          <t>2*(n-1)/n</t>
        </is>
      </c>
      <c r="C117">
        <f>2*(C111-1)/C111</f>
        <v/>
      </c>
    </row>
    <row r="118">
      <c r="A118" t="inlineStr">
        <is>
          <t>fixed_overhead</t>
        </is>
      </c>
      <c r="B118" t="inlineStr">
        <is>
          <t>(2*LOG2(n)+1)*a/2</t>
        </is>
      </c>
      <c r="C118">
        <f>(2*LOG(C111,2)+1)*C113/2</f>
        <v/>
      </c>
    </row>
    <row r="119"/>
    <row r="120">
      <c r="A120" t="inlineStr">
        <is>
          <t>size_KB</t>
        </is>
      </c>
      <c r="B120" t="inlineStr">
        <is>
          <t>Actual Time (us)</t>
        </is>
      </c>
      <c r="C120" t="inlineStr">
        <is>
          <t>Roofline Time (us)</t>
        </is>
      </c>
      <c r="D120" t="inlineStr">
        <is>
          <t>Actual/Roofline</t>
        </is>
      </c>
      <c r="E120" t="inlineStr">
        <is>
          <t>Actual busBW (GB/s)</t>
        </is>
      </c>
      <c r="F120" t="inlineStr">
        <is>
          <t>Roofline busBW (GB/s)</t>
        </is>
      </c>
      <c r="G120" t="inlineStr">
        <is>
          <t>Meas/Roof busBW</t>
        </is>
      </c>
    </row>
    <row r="121">
      <c r="A121" t="n">
        <v>1</v>
      </c>
      <c r="B121" t="n">
        <v>104.33</v>
      </c>
      <c r="C121">
        <f>C118+A121*1024*C116</f>
        <v/>
      </c>
      <c r="D121">
        <f>B121/C121</f>
        <v/>
      </c>
      <c r="E121" t="n">
        <v>0.01</v>
      </c>
      <c r="F121">
        <f>A121*1024/(C121*0.000001)/1000000000*C117</f>
        <v/>
      </c>
      <c r="G121">
        <f>E121/F121</f>
        <v/>
      </c>
    </row>
    <row r="122">
      <c r="A122" t="n">
        <v>2</v>
      </c>
      <c r="B122" t="n">
        <v>96.59999999999999</v>
      </c>
      <c r="C122">
        <f>C118+A122*1024*C116</f>
        <v/>
      </c>
      <c r="D122">
        <f>B122/C122</f>
        <v/>
      </c>
      <c r="E122" t="n">
        <v>0.03</v>
      </c>
      <c r="F122">
        <f>A122*1024/(C122*0.000001)/1000000000*C117</f>
        <v/>
      </c>
      <c r="G122">
        <f>E122/F122</f>
        <v/>
      </c>
    </row>
    <row r="123">
      <c r="A123" t="n">
        <v>4</v>
      </c>
      <c r="B123" t="n">
        <v>99.98999999999999</v>
      </c>
      <c r="C123">
        <f>C118+A123*1024*C116</f>
        <v/>
      </c>
      <c r="D123">
        <f>B123/C123</f>
        <v/>
      </c>
      <c r="E123" t="n">
        <v>0.06</v>
      </c>
      <c r="F123">
        <f>A123*1024/(C123*0.000001)/1000000000*C117</f>
        <v/>
      </c>
      <c r="G123">
        <f>E123/F123</f>
        <v/>
      </c>
    </row>
    <row r="124">
      <c r="A124" t="n">
        <v>8</v>
      </c>
      <c r="B124" t="n">
        <v>106.88</v>
      </c>
      <c r="C124">
        <f>C118+A124*1024*C116</f>
        <v/>
      </c>
      <c r="D124">
        <f>B124/C124</f>
        <v/>
      </c>
      <c r="E124" t="n">
        <v>0.11</v>
      </c>
      <c r="F124">
        <f>A124*1024/(C124*0.000001)/1000000000*C117</f>
        <v/>
      </c>
      <c r="G124">
        <f>E124/F124</f>
        <v/>
      </c>
    </row>
    <row r="125">
      <c r="A125" t="n">
        <v>16</v>
      </c>
      <c r="B125" t="n">
        <v>124.92</v>
      </c>
      <c r="C125">
        <f>C118+A125*1024*C116</f>
        <v/>
      </c>
      <c r="D125">
        <f>B125/C125</f>
        <v/>
      </c>
      <c r="E125" t="n">
        <v>0.2</v>
      </c>
      <c r="F125">
        <f>A125*1024/(C125*0.000001)/1000000000*C117</f>
        <v/>
      </c>
      <c r="G125">
        <f>E125/F125</f>
        <v/>
      </c>
    </row>
    <row r="126">
      <c r="A126" t="n">
        <v>32</v>
      </c>
      <c r="B126" t="n">
        <v>138.82</v>
      </c>
      <c r="C126">
        <f>C118+A126*1024*C116</f>
        <v/>
      </c>
      <c r="D126">
        <f>B126/C126</f>
        <v/>
      </c>
      <c r="E126" t="n">
        <v>0.35</v>
      </c>
      <c r="F126">
        <f>A126*1024/(C126*0.000001)/1000000000*C117</f>
        <v/>
      </c>
      <c r="G126">
        <f>E126/F126</f>
        <v/>
      </c>
    </row>
    <row r="127">
      <c r="A127" t="n">
        <v>64</v>
      </c>
      <c r="B127" t="n">
        <v>144.48</v>
      </c>
      <c r="C127">
        <f>C118+A127*1024*C116</f>
        <v/>
      </c>
      <c r="D127">
        <f>B127/C127</f>
        <v/>
      </c>
      <c r="E127" t="n">
        <v>0.68</v>
      </c>
      <c r="F127">
        <f>A127*1024/(C127*0.000001)/1000000000*C117</f>
        <v/>
      </c>
      <c r="G127">
        <f>E127/F127</f>
        <v/>
      </c>
    </row>
    <row r="128">
      <c r="A128" t="n">
        <v>128</v>
      </c>
      <c r="B128" t="n">
        <v>148.89</v>
      </c>
      <c r="C128">
        <f>C118+A128*1024*C116</f>
        <v/>
      </c>
      <c r="D128">
        <f>B128/C128</f>
        <v/>
      </c>
      <c r="E128" t="n">
        <v>1.32</v>
      </c>
      <c r="F128">
        <f>A128*1024/(C128*0.000001)/1000000000*C117</f>
        <v/>
      </c>
      <c r="G128">
        <f>E128/F128</f>
        <v/>
      </c>
    </row>
    <row r="129">
      <c r="A129" t="n">
        <v>256</v>
      </c>
      <c r="B129" t="n">
        <v>163.08</v>
      </c>
      <c r="C129">
        <f>C118+A129*1024*C116</f>
        <v/>
      </c>
      <c r="D129">
        <f>B129/C129</f>
        <v/>
      </c>
      <c r="E129" t="n">
        <v>2.41</v>
      </c>
      <c r="F129">
        <f>A129*1024/(C129*0.000001)/1000000000*C117</f>
        <v/>
      </c>
      <c r="G129">
        <f>E129/F129</f>
        <v/>
      </c>
    </row>
    <row r="130">
      <c r="A130" t="n">
        <v>512</v>
      </c>
      <c r="B130" t="n">
        <v>185.48</v>
      </c>
      <c r="C130">
        <f>C118+A130*1024*C116</f>
        <v/>
      </c>
      <c r="D130">
        <f>B130/C130</f>
        <v/>
      </c>
      <c r="E130" t="n">
        <v>4.24</v>
      </c>
      <c r="F130">
        <f>A130*1024/(C130*0.000001)/1000000000*C117</f>
        <v/>
      </c>
      <c r="G130">
        <f>E130/F130</f>
        <v/>
      </c>
    </row>
    <row r="131">
      <c r="A131" t="n">
        <v>1024</v>
      </c>
      <c r="B131" t="n">
        <v>232.6</v>
      </c>
      <c r="C131">
        <f>C118+A131*1024*C116</f>
        <v/>
      </c>
      <c r="D131">
        <f>B131/C131</f>
        <v/>
      </c>
      <c r="E131" t="n">
        <v>6.76</v>
      </c>
      <c r="F131">
        <f>A131*1024/(C131*0.000001)/1000000000*C117</f>
        <v/>
      </c>
      <c r="G131">
        <f>E131/F131</f>
        <v/>
      </c>
    </row>
    <row r="132">
      <c r="A132" t="n">
        <v>2048</v>
      </c>
      <c r="B132" t="n">
        <v>300.94</v>
      </c>
      <c r="C132">
        <f>C118+A132*1024*C116</f>
        <v/>
      </c>
      <c r="D132">
        <f>B132/C132</f>
        <v/>
      </c>
      <c r="E132" t="n">
        <v>10.45</v>
      </c>
      <c r="F132">
        <f>A132*1024/(C132*0.000001)/1000000000*C117</f>
        <v/>
      </c>
      <c r="G132">
        <f>E132/F132</f>
        <v/>
      </c>
    </row>
    <row r="133">
      <c r="A133" t="n">
        <v>4096</v>
      </c>
      <c r="B133" t="n">
        <v>442.35</v>
      </c>
      <c r="C133">
        <f>C118+A133*1024*C116</f>
        <v/>
      </c>
      <c r="D133">
        <f>B133/C133</f>
        <v/>
      </c>
      <c r="E133" t="n">
        <v>14.22</v>
      </c>
      <c r="F133">
        <f>A133*1024/(C133*0.000001)/1000000000*C117</f>
        <v/>
      </c>
      <c r="G133">
        <f>E133/F133</f>
        <v/>
      </c>
    </row>
    <row r="134">
      <c r="A134" t="n">
        <v>8192</v>
      </c>
      <c r="B134" t="n">
        <v>712.6</v>
      </c>
      <c r="C134">
        <f>C118+A134*1024*C116</f>
        <v/>
      </c>
      <c r="D134">
        <f>B134/C134</f>
        <v/>
      </c>
      <c r="E134" t="n">
        <v>17.66</v>
      </c>
      <c r="F134">
        <f>A134*1024/(C134*0.000001)/1000000000*C117</f>
        <v/>
      </c>
      <c r="G134">
        <f>E134/F134</f>
        <v/>
      </c>
    </row>
    <row r="135">
      <c r="A135" t="n">
        <v>16384</v>
      </c>
      <c r="B135" t="n">
        <v>1008.56</v>
      </c>
      <c r="C135">
        <f>C118+A135*1024*C116</f>
        <v/>
      </c>
      <c r="D135">
        <f>B135/C135</f>
        <v/>
      </c>
      <c r="E135" t="n">
        <v>24.95</v>
      </c>
      <c r="F135">
        <f>A135*1024/(C135*0.000001)/1000000000*C117</f>
        <v/>
      </c>
      <c r="G135">
        <f>E135/F135</f>
        <v/>
      </c>
    </row>
    <row r="136">
      <c r="A136" t="n">
        <v>32768</v>
      </c>
      <c r="B136" t="n">
        <v>1850.69</v>
      </c>
      <c r="C136">
        <f>C118+A136*1024*C116</f>
        <v/>
      </c>
      <c r="D136">
        <f>B136/C136</f>
        <v/>
      </c>
      <c r="E136" t="n">
        <v>27.2</v>
      </c>
      <c r="F136">
        <f>A136*1024/(C136*0.000001)/1000000000*C117</f>
        <v/>
      </c>
      <c r="G136">
        <f>E136/F136</f>
        <v/>
      </c>
    </row>
    <row r="137">
      <c r="A137" t="n">
        <v>65536</v>
      </c>
      <c r="B137" t="n">
        <v>3842.33</v>
      </c>
      <c r="C137">
        <f>C118+A137*1024*C116</f>
        <v/>
      </c>
      <c r="D137">
        <f>B137/C137</f>
        <v/>
      </c>
      <c r="E137" t="n">
        <v>26.2</v>
      </c>
      <c r="F137">
        <f>A137*1024/(C137*0.000001)/1000000000*C117</f>
        <v/>
      </c>
      <c r="G137">
        <f>E137/F137</f>
        <v/>
      </c>
    </row>
    <row r="138">
      <c r="A138" t="n">
        <v>131072</v>
      </c>
      <c r="B138" t="n">
        <v>7302.5</v>
      </c>
      <c r="C138">
        <f>C118+A138*1024*C116</f>
        <v/>
      </c>
      <c r="D138">
        <f>B138/C138</f>
        <v/>
      </c>
      <c r="E138" t="n">
        <v>27.57</v>
      </c>
      <c r="F138">
        <f>A138*1024/(C138*0.000001)/1000000000*C117</f>
        <v/>
      </c>
      <c r="G138">
        <f>E138/F138</f>
        <v/>
      </c>
    </row>
    <row r="139">
      <c r="A139" t="n">
        <v>262144</v>
      </c>
      <c r="B139" t="n">
        <v>13970.5</v>
      </c>
      <c r="C139">
        <f>C118+A139*1024*C116</f>
        <v/>
      </c>
      <c r="D139">
        <f>B139/C139</f>
        <v/>
      </c>
      <c r="E139" t="n">
        <v>28.82</v>
      </c>
      <c r="F139">
        <f>A139*1024/(C139*0.000001)/1000000000*C117</f>
        <v/>
      </c>
      <c r="G139">
        <f>E139/F139</f>
        <v/>
      </c>
    </row>
    <row r="140">
      <c r="A140" t="n">
        <v>524288</v>
      </c>
      <c r="B140" t="n">
        <v>26755.5</v>
      </c>
      <c r="C140">
        <f>C118+A140*1024*C116</f>
        <v/>
      </c>
      <c r="D140">
        <f>B140/C140</f>
        <v/>
      </c>
      <c r="E140" t="n">
        <v>30.1</v>
      </c>
      <c r="F140">
        <f>A140*1024/(C140*0.000001)/1000000000*C117</f>
        <v/>
      </c>
      <c r="G140">
        <f>E140/F140</f>
        <v/>
      </c>
    </row>
    <row r="141">
      <c r="A141" t="n">
        <v>1048576</v>
      </c>
      <c r="B141" t="n">
        <v>52422.9</v>
      </c>
      <c r="C141">
        <f>C118+A141*1024*C116</f>
        <v/>
      </c>
      <c r="D141">
        <f>B141/C141</f>
        <v/>
      </c>
      <c r="E141" t="n">
        <v>30.72</v>
      </c>
      <c r="F141">
        <f>A141*1024/(C141*0.000001)/1000000000*C117</f>
        <v/>
      </c>
      <c r="G141">
        <f>E141/F141</f>
        <v/>
      </c>
    </row>
    <row r="142">
      <c r="A142" t="n">
        <v>2097152</v>
      </c>
      <c r="B142" t="n">
        <v>104468</v>
      </c>
      <c r="C142">
        <f>C118+A142*1024*C116</f>
        <v/>
      </c>
      <c r="D142">
        <f>B142/C142</f>
        <v/>
      </c>
      <c r="E142" t="n">
        <v>30.83</v>
      </c>
      <c r="F142">
        <f>A142*1024/(C142*0.000001)/1000000000*C117</f>
        <v/>
      </c>
      <c r="G142">
        <f>E142/F142</f>
        <v/>
      </c>
    </row>
    <row r="143">
      <c r="A143" t="n">
        <v>4194304</v>
      </c>
      <c r="B143" t="n">
        <v>208018</v>
      </c>
      <c r="C143">
        <f>C118+A143*1024*C116</f>
        <v/>
      </c>
      <c r="D143">
        <f>B143/C143</f>
        <v/>
      </c>
      <c r="E143" t="n">
        <v>30.97</v>
      </c>
      <c r="F143">
        <f>A143*1024/(C143*0.000001)/1000000000*C117</f>
        <v/>
      </c>
      <c r="G143">
        <f>E143/F143</f>
        <v/>
      </c>
    </row>
    <row r="144"/>
    <row r="145">
      <c r="A145" t="inlineStr">
        <is>
          <t>Nodes: 4, Protocol: Simple, Channels: 16</t>
        </is>
      </c>
    </row>
    <row r="146">
      <c r="A146" t="inlineStr">
        <is>
          <t>Parameter</t>
        </is>
      </c>
      <c r="B146" t="inlineStr">
        <is>
          <t>Formula</t>
        </is>
      </c>
      <c r="C146" t="inlineStr">
        <is>
          <t>Value</t>
        </is>
      </c>
    </row>
    <row r="147">
      <c r="A147" t="inlineStr">
        <is>
          <t>n</t>
        </is>
      </c>
      <c r="B147" t="inlineStr">
        <is>
          <t>nodes on tree</t>
        </is>
      </c>
      <c r="C147" t="n">
        <v>4</v>
      </c>
    </row>
    <row r="148">
      <c r="A148" t="inlineStr">
        <is>
          <t>nch</t>
        </is>
      </c>
      <c r="B148" t="inlineStr">
        <is>
          <t>channels</t>
        </is>
      </c>
      <c r="C148" t="n">
        <v>16</v>
      </c>
    </row>
    <row r="149">
      <c r="A149" t="inlineStr">
        <is>
          <t>a</t>
        </is>
      </c>
      <c r="B149" t="inlineStr">
        <is>
          <t>RTT (us)</t>
        </is>
      </c>
      <c r="C149" t="n">
        <v>25.8107</v>
      </c>
    </row>
    <row r="150">
      <c r="A150" t="inlineStr">
        <is>
          <t>NIC_BW</t>
        </is>
      </c>
      <c r="B150" t="inlineStr">
        <is>
          <t>bytes/us</t>
        </is>
      </c>
      <c r="C150" t="n">
        <v>48750</v>
      </c>
    </row>
    <row r="151">
      <c r="A151" t="inlineStr">
        <is>
          <t>NIC_BW_REAL</t>
        </is>
      </c>
      <c r="B151" t="inlineStr">
        <is>
          <t>NIC_BW/2</t>
        </is>
      </c>
      <c r="C151">
        <f>C150/2</f>
        <v/>
      </c>
    </row>
    <row r="152">
      <c r="A152" t="inlineStr">
        <is>
          <t>G</t>
        </is>
      </c>
      <c r="B152" t="inlineStr">
        <is>
          <t>1/NIC_BW_REAL</t>
        </is>
      </c>
      <c r="C152">
        <f>1/C151</f>
        <v/>
      </c>
    </row>
    <row r="153">
      <c r="A153" t="inlineStr">
        <is>
          <t>busbw_factor</t>
        </is>
      </c>
      <c r="B153" t="inlineStr">
        <is>
          <t>2*(n-1)/n</t>
        </is>
      </c>
      <c r="C153">
        <f>2*(C147-1)/C147</f>
        <v/>
      </c>
    </row>
    <row r="154">
      <c r="A154" t="inlineStr">
        <is>
          <t>fixed_overhead</t>
        </is>
      </c>
      <c r="B154" t="inlineStr">
        <is>
          <t>(2*LOG2(n)+1)*a/2</t>
        </is>
      </c>
      <c r="C154">
        <f>(2*LOG(C147,2)+1)*C149/2</f>
        <v/>
      </c>
    </row>
    <row r="155"/>
    <row r="156">
      <c r="A156" t="inlineStr">
        <is>
          <t>size_KB</t>
        </is>
      </c>
      <c r="B156" t="inlineStr">
        <is>
          <t>Actual Time (us)</t>
        </is>
      </c>
      <c r="C156" t="inlineStr">
        <is>
          <t>Roofline Time (us)</t>
        </is>
      </c>
      <c r="D156" t="inlineStr">
        <is>
          <t>Actual/Roofline</t>
        </is>
      </c>
      <c r="E156" t="inlineStr">
        <is>
          <t>Actual busBW (GB/s)</t>
        </is>
      </c>
      <c r="F156" t="inlineStr">
        <is>
          <t>Roofline busBW (GB/s)</t>
        </is>
      </c>
      <c r="G156" t="inlineStr">
        <is>
          <t>Meas/Roof busBW</t>
        </is>
      </c>
    </row>
    <row r="157">
      <c r="A157" t="n">
        <v>1</v>
      </c>
      <c r="B157" t="n">
        <v>96.75</v>
      </c>
      <c r="C157">
        <f>C154+A157*1024*C152</f>
        <v/>
      </c>
      <c r="D157">
        <f>B157/C157</f>
        <v/>
      </c>
      <c r="E157" t="n">
        <v>0.02</v>
      </c>
      <c r="F157">
        <f>A157*1024/(C157*0.000001)/1000000000*C153</f>
        <v/>
      </c>
      <c r="G157">
        <f>E157/F157</f>
        <v/>
      </c>
    </row>
    <row r="158">
      <c r="A158" t="n">
        <v>2</v>
      </c>
      <c r="B158" t="n">
        <v>96.98999999999999</v>
      </c>
      <c r="C158">
        <f>C154+A158*1024*C152</f>
        <v/>
      </c>
      <c r="D158">
        <f>B158/C158</f>
        <v/>
      </c>
      <c r="E158" t="n">
        <v>0.03</v>
      </c>
      <c r="F158">
        <f>A158*1024/(C158*0.000001)/1000000000*C153</f>
        <v/>
      </c>
      <c r="G158">
        <f>E158/F158</f>
        <v/>
      </c>
    </row>
    <row r="159">
      <c r="A159" t="n">
        <v>4</v>
      </c>
      <c r="B159" t="n">
        <v>100.14</v>
      </c>
      <c r="C159">
        <f>C154+A159*1024*C152</f>
        <v/>
      </c>
      <c r="D159">
        <f>B159/C159</f>
        <v/>
      </c>
      <c r="E159" t="n">
        <v>0.06</v>
      </c>
      <c r="F159">
        <f>A159*1024/(C159*0.000001)/1000000000*C153</f>
        <v/>
      </c>
      <c r="G159">
        <f>E159/F159</f>
        <v/>
      </c>
    </row>
    <row r="160">
      <c r="A160" t="n">
        <v>8</v>
      </c>
      <c r="B160" t="n">
        <v>106.73</v>
      </c>
      <c r="C160">
        <f>C154+A160*1024*C152</f>
        <v/>
      </c>
      <c r="D160">
        <f>B160/C160</f>
        <v/>
      </c>
      <c r="E160" t="n">
        <v>0.12</v>
      </c>
      <c r="F160">
        <f>A160*1024/(C160*0.000001)/1000000000*C153</f>
        <v/>
      </c>
      <c r="G160">
        <f>E160/F160</f>
        <v/>
      </c>
    </row>
    <row r="161">
      <c r="A161" t="n">
        <v>16</v>
      </c>
      <c r="B161" t="n">
        <v>124.84</v>
      </c>
      <c r="C161">
        <f>C154+A161*1024*C152</f>
        <v/>
      </c>
      <c r="D161">
        <f>B161/C161</f>
        <v/>
      </c>
      <c r="E161" t="n">
        <v>0.2</v>
      </c>
      <c r="F161">
        <f>A161*1024/(C161*0.000001)/1000000000*C153</f>
        <v/>
      </c>
      <c r="G161">
        <f>E161/F161</f>
        <v/>
      </c>
    </row>
    <row r="162">
      <c r="A162" t="n">
        <v>32</v>
      </c>
      <c r="B162" t="n">
        <v>138.64</v>
      </c>
      <c r="C162">
        <f>C154+A162*1024*C152</f>
        <v/>
      </c>
      <c r="D162">
        <f>B162/C162</f>
        <v/>
      </c>
      <c r="E162" t="n">
        <v>0.35</v>
      </c>
      <c r="F162">
        <f>A162*1024/(C162*0.000001)/1000000000*C153</f>
        <v/>
      </c>
      <c r="G162">
        <f>E162/F162</f>
        <v/>
      </c>
    </row>
    <row r="163">
      <c r="A163" t="n">
        <v>64</v>
      </c>
      <c r="B163" t="n">
        <v>145.21</v>
      </c>
      <c r="C163">
        <f>C154+A163*1024*C152</f>
        <v/>
      </c>
      <c r="D163">
        <f>B163/C163</f>
        <v/>
      </c>
      <c r="E163" t="n">
        <v>0.68</v>
      </c>
      <c r="F163">
        <f>A163*1024/(C163*0.000001)/1000000000*C153</f>
        <v/>
      </c>
      <c r="G163">
        <f>E163/F163</f>
        <v/>
      </c>
    </row>
    <row r="164">
      <c r="A164" t="n">
        <v>128</v>
      </c>
      <c r="B164" t="n">
        <v>149.11</v>
      </c>
      <c r="C164">
        <f>C154+A164*1024*C152</f>
        <v/>
      </c>
      <c r="D164">
        <f>B164/C164</f>
        <v/>
      </c>
      <c r="E164" t="n">
        <v>1.32</v>
      </c>
      <c r="F164">
        <f>A164*1024/(C164*0.000001)/1000000000*C153</f>
        <v/>
      </c>
      <c r="G164">
        <f>E164/F164</f>
        <v/>
      </c>
    </row>
    <row r="165">
      <c r="A165" t="n">
        <v>256</v>
      </c>
      <c r="B165" t="n">
        <v>163.19</v>
      </c>
      <c r="C165">
        <f>C154+A165*1024*C152</f>
        <v/>
      </c>
      <c r="D165">
        <f>B165/C165</f>
        <v/>
      </c>
      <c r="E165" t="n">
        <v>2.41</v>
      </c>
      <c r="F165">
        <f>A165*1024/(C165*0.000001)/1000000000*C153</f>
        <v/>
      </c>
      <c r="G165">
        <f>E165/F165</f>
        <v/>
      </c>
    </row>
    <row r="166">
      <c r="A166" t="n">
        <v>512</v>
      </c>
      <c r="B166" t="n">
        <v>193.81</v>
      </c>
      <c r="C166">
        <f>C154+A166*1024*C152</f>
        <v/>
      </c>
      <c r="D166">
        <f>B166/C166</f>
        <v/>
      </c>
      <c r="E166" t="n">
        <v>4.06</v>
      </c>
      <c r="F166">
        <f>A166*1024/(C166*0.000001)/1000000000*C153</f>
        <v/>
      </c>
      <c r="G166">
        <f>E166/F166</f>
        <v/>
      </c>
    </row>
    <row r="167">
      <c r="A167" t="n">
        <v>1024</v>
      </c>
      <c r="B167" t="n">
        <v>222.28</v>
      </c>
      <c r="C167">
        <f>C154+A167*1024*C152</f>
        <v/>
      </c>
      <c r="D167">
        <f>B167/C167</f>
        <v/>
      </c>
      <c r="E167" t="n">
        <v>7.08</v>
      </c>
      <c r="F167">
        <f>A167*1024/(C167*0.000001)/1000000000*C153</f>
        <v/>
      </c>
      <c r="G167">
        <f>E167/F167</f>
        <v/>
      </c>
    </row>
    <row r="168">
      <c r="A168" t="n">
        <v>2048</v>
      </c>
      <c r="B168" t="n">
        <v>290.55</v>
      </c>
      <c r="C168">
        <f>C154+A168*1024*C152</f>
        <v/>
      </c>
      <c r="D168">
        <f>B168/C168</f>
        <v/>
      </c>
      <c r="E168" t="n">
        <v>10.83</v>
      </c>
      <c r="F168">
        <f>A168*1024/(C168*0.000001)/1000000000*C153</f>
        <v/>
      </c>
      <c r="G168">
        <f>E168/F168</f>
        <v/>
      </c>
    </row>
    <row r="169">
      <c r="A169" t="n">
        <v>4096</v>
      </c>
      <c r="B169" t="n">
        <v>392.66</v>
      </c>
      <c r="C169">
        <f>C154+A169*1024*C152</f>
        <v/>
      </c>
      <c r="D169">
        <f>B169/C169</f>
        <v/>
      </c>
      <c r="E169" t="n">
        <v>16.02</v>
      </c>
      <c r="F169">
        <f>A169*1024/(C169*0.000001)/1000000000*C153</f>
        <v/>
      </c>
      <c r="G169">
        <f>E169/F169</f>
        <v/>
      </c>
    </row>
    <row r="170">
      <c r="A170" t="n">
        <v>8192</v>
      </c>
      <c r="B170" t="n">
        <v>602.48</v>
      </c>
      <c r="C170">
        <f>C154+A170*1024*C152</f>
        <v/>
      </c>
      <c r="D170">
        <f>B170/C170</f>
        <v/>
      </c>
      <c r="E170" t="n">
        <v>20.89</v>
      </c>
      <c r="F170">
        <f>A170*1024/(C170*0.000001)/1000000000*C153</f>
        <v/>
      </c>
      <c r="G170">
        <f>E170/F170</f>
        <v/>
      </c>
    </row>
    <row r="171">
      <c r="A171" t="n">
        <v>16384</v>
      </c>
      <c r="B171" t="n">
        <v>1020.49</v>
      </c>
      <c r="C171">
        <f>C154+A171*1024*C152</f>
        <v/>
      </c>
      <c r="D171">
        <f>B171/C171</f>
        <v/>
      </c>
      <c r="E171" t="n">
        <v>24.66</v>
      </c>
      <c r="F171">
        <f>A171*1024/(C171*0.000001)/1000000000*C153</f>
        <v/>
      </c>
      <c r="G171">
        <f>E171/F171</f>
        <v/>
      </c>
    </row>
    <row r="172">
      <c r="A172" t="n">
        <v>32768</v>
      </c>
      <c r="B172" t="n">
        <v>1842.46</v>
      </c>
      <c r="C172">
        <f>C154+A172*1024*C152</f>
        <v/>
      </c>
      <c r="D172">
        <f>B172/C172</f>
        <v/>
      </c>
      <c r="E172" t="n">
        <v>27.32</v>
      </c>
      <c r="F172">
        <f>A172*1024/(C172*0.000001)/1000000000*C153</f>
        <v/>
      </c>
      <c r="G172">
        <f>E172/F172</f>
        <v/>
      </c>
    </row>
    <row r="173">
      <c r="A173" t="n">
        <v>65536</v>
      </c>
      <c r="B173" t="n">
        <v>3853.32</v>
      </c>
      <c r="C173">
        <f>C154+A173*1024*C152</f>
        <v/>
      </c>
      <c r="D173">
        <f>B173/C173</f>
        <v/>
      </c>
      <c r="E173" t="n">
        <v>26.12</v>
      </c>
      <c r="F173">
        <f>A173*1024/(C173*0.000001)/1000000000*C153</f>
        <v/>
      </c>
      <c r="G173">
        <f>E173/F173</f>
        <v/>
      </c>
    </row>
    <row r="174">
      <c r="A174" t="n">
        <v>131072</v>
      </c>
      <c r="B174" t="n">
        <v>7330.52</v>
      </c>
      <c r="C174">
        <f>C154+A174*1024*C152</f>
        <v/>
      </c>
      <c r="D174">
        <f>B174/C174</f>
        <v/>
      </c>
      <c r="E174" t="n">
        <v>27.46</v>
      </c>
      <c r="F174">
        <f>A174*1024/(C174*0.000001)/1000000000*C153</f>
        <v/>
      </c>
      <c r="G174">
        <f>E174/F174</f>
        <v/>
      </c>
    </row>
    <row r="175">
      <c r="A175" t="n">
        <v>262144</v>
      </c>
      <c r="B175" t="n">
        <v>14302.9</v>
      </c>
      <c r="C175">
        <f>C154+A175*1024*C152</f>
        <v/>
      </c>
      <c r="D175">
        <f>B175/C175</f>
        <v/>
      </c>
      <c r="E175" t="n">
        <v>28.15</v>
      </c>
      <c r="F175">
        <f>A175*1024/(C175*0.000001)/1000000000*C153</f>
        <v/>
      </c>
      <c r="G175">
        <f>E175/F175</f>
        <v/>
      </c>
    </row>
    <row r="176">
      <c r="A176" t="n">
        <v>524288</v>
      </c>
      <c r="B176" t="n">
        <v>27218</v>
      </c>
      <c r="C176">
        <f>C154+A176*1024*C152</f>
        <v/>
      </c>
      <c r="D176">
        <f>B176/C176</f>
        <v/>
      </c>
      <c r="E176" t="n">
        <v>29.59</v>
      </c>
      <c r="F176">
        <f>A176*1024/(C176*0.000001)/1000000000*C153</f>
        <v/>
      </c>
      <c r="G176">
        <f>E176/F176</f>
        <v/>
      </c>
    </row>
    <row r="177">
      <c r="A177" t="n">
        <v>1048576</v>
      </c>
      <c r="B177" t="n">
        <v>52709</v>
      </c>
      <c r="C177">
        <f>C154+A177*1024*C152</f>
        <v/>
      </c>
      <c r="D177">
        <f>B177/C177</f>
        <v/>
      </c>
      <c r="E177" t="n">
        <v>30.56</v>
      </c>
      <c r="F177">
        <f>A177*1024/(C177*0.000001)/1000000000*C153</f>
        <v/>
      </c>
      <c r="G177">
        <f>E177/F177</f>
        <v/>
      </c>
    </row>
    <row r="178">
      <c r="A178" t="n">
        <v>2097152</v>
      </c>
      <c r="B178" t="n">
        <v>106445</v>
      </c>
      <c r="C178">
        <f>C154+A178*1024*C152</f>
        <v/>
      </c>
      <c r="D178">
        <f>B178/C178</f>
        <v/>
      </c>
      <c r="E178" t="n">
        <v>30.26</v>
      </c>
      <c r="F178">
        <f>A178*1024/(C178*0.000001)/1000000000*C153</f>
        <v/>
      </c>
      <c r="G178">
        <f>E178/F178</f>
        <v/>
      </c>
    </row>
    <row r="179">
      <c r="A179" t="n">
        <v>4194304</v>
      </c>
      <c r="B179" t="n">
        <v>212612</v>
      </c>
      <c r="C179">
        <f>C154+A179*1024*C152</f>
        <v/>
      </c>
      <c r="D179">
        <f>B179/C179</f>
        <v/>
      </c>
      <c r="E179" t="n">
        <v>30.3</v>
      </c>
      <c r="F179">
        <f>A179*1024/(C179*0.000001)/1000000000*C153</f>
        <v/>
      </c>
      <c r="G179">
        <f>E179/F179</f>
        <v/>
      </c>
    </row>
    <row r="180"/>
    <row r="181">
      <c r="A181" t="inlineStr">
        <is>
          <t>Nodes: 4, Protocol: LL, Channels: 1</t>
        </is>
      </c>
    </row>
    <row r="182">
      <c r="A182" t="inlineStr">
        <is>
          <t>Parameter</t>
        </is>
      </c>
      <c r="B182" t="inlineStr">
        <is>
          <t>Formula</t>
        </is>
      </c>
      <c r="C182" t="inlineStr">
        <is>
          <t>Value</t>
        </is>
      </c>
    </row>
    <row r="183">
      <c r="A183" t="inlineStr">
        <is>
          <t>n</t>
        </is>
      </c>
      <c r="B183" t="inlineStr">
        <is>
          <t>nodes on tree</t>
        </is>
      </c>
      <c r="C183" t="n">
        <v>4</v>
      </c>
    </row>
    <row r="184">
      <c r="A184" t="inlineStr">
        <is>
          <t>nch</t>
        </is>
      </c>
      <c r="B184" t="inlineStr">
        <is>
          <t>channels</t>
        </is>
      </c>
      <c r="C184" t="n">
        <v>1</v>
      </c>
    </row>
    <row r="185">
      <c r="A185" t="inlineStr">
        <is>
          <t>a</t>
        </is>
      </c>
      <c r="B185" t="inlineStr">
        <is>
          <t>RTT (us)</t>
        </is>
      </c>
      <c r="C185" t="n">
        <v>25.8107</v>
      </c>
    </row>
    <row r="186">
      <c r="A186" t="inlineStr">
        <is>
          <t>NIC_BW</t>
        </is>
      </c>
      <c r="B186" t="inlineStr">
        <is>
          <t>bytes/us</t>
        </is>
      </c>
      <c r="C186" t="n">
        <v>48750</v>
      </c>
    </row>
    <row r="187">
      <c r="A187" t="inlineStr">
        <is>
          <t>NIC_BW_REAL</t>
        </is>
      </c>
      <c r="B187" t="inlineStr">
        <is>
          <t>(NIC_BW/2)/3</t>
        </is>
      </c>
      <c r="C187">
        <f>(C186/2)/3</f>
        <v/>
      </c>
    </row>
    <row r="188">
      <c r="A188" t="inlineStr">
        <is>
          <t>G</t>
        </is>
      </c>
      <c r="B188" t="inlineStr">
        <is>
          <t>1/NIC_BW_REAL</t>
        </is>
      </c>
      <c r="C188">
        <f>1/C187</f>
        <v/>
      </c>
    </row>
    <row r="189">
      <c r="A189" t="inlineStr">
        <is>
          <t>busbw_factor</t>
        </is>
      </c>
      <c r="B189" t="inlineStr">
        <is>
          <t>2*(n-1)/n</t>
        </is>
      </c>
      <c r="C189">
        <f>2*(C183-1)/C183</f>
        <v/>
      </c>
    </row>
    <row r="190">
      <c r="A190" t="inlineStr">
        <is>
          <t>fixed_overhead</t>
        </is>
      </c>
      <c r="B190" t="inlineStr">
        <is>
          <t>(2*LOG2(n)+1)*a/2</t>
        </is>
      </c>
      <c r="C190">
        <f>(2*LOG(C183,2)+1)*C185/2</f>
        <v/>
      </c>
    </row>
    <row r="191"/>
    <row r="192">
      <c r="A192" t="inlineStr">
        <is>
          <t>size_KB</t>
        </is>
      </c>
      <c r="B192" t="inlineStr">
        <is>
          <t>Actual Time (us)</t>
        </is>
      </c>
      <c r="C192" t="inlineStr">
        <is>
          <t>Roofline Time (us)</t>
        </is>
      </c>
      <c r="D192" t="inlineStr">
        <is>
          <t>Actual/Roofline</t>
        </is>
      </c>
      <c r="E192" t="inlineStr">
        <is>
          <t>Actual busBW (GB/s)</t>
        </is>
      </c>
      <c r="F192" t="inlineStr">
        <is>
          <t>Roofline busBW (GB/s)</t>
        </is>
      </c>
      <c r="G192" t="inlineStr">
        <is>
          <t>Meas/Roof busBW</t>
        </is>
      </c>
    </row>
    <row r="193">
      <c r="A193" t="n">
        <v>1</v>
      </c>
      <c r="B193" t="n">
        <v>63.13</v>
      </c>
      <c r="C193">
        <f>C190+A193*1024*C188</f>
        <v/>
      </c>
      <c r="D193">
        <f>B193/C193</f>
        <v/>
      </c>
      <c r="E193" t="n">
        <v>0.02</v>
      </c>
      <c r="F193">
        <f>A193*1024/(C193*0.000001)/1000000000*C189</f>
        <v/>
      </c>
      <c r="G193">
        <f>E193/F193</f>
        <v/>
      </c>
    </row>
    <row r="194">
      <c r="A194" t="n">
        <v>2</v>
      </c>
      <c r="B194" t="n">
        <v>66.3</v>
      </c>
      <c r="C194">
        <f>C190+A194*1024*C188</f>
        <v/>
      </c>
      <c r="D194">
        <f>B194/C194</f>
        <v/>
      </c>
      <c r="E194" t="n">
        <v>0.05</v>
      </c>
      <c r="F194">
        <f>A194*1024/(C194*0.000001)/1000000000*C189</f>
        <v/>
      </c>
      <c r="G194">
        <f>E194/F194</f>
        <v/>
      </c>
    </row>
    <row r="195">
      <c r="A195" t="n">
        <v>4</v>
      </c>
      <c r="B195" t="n">
        <v>74.36</v>
      </c>
      <c r="C195">
        <f>C190+A195*1024*C188</f>
        <v/>
      </c>
      <c r="D195">
        <f>B195/C195</f>
        <v/>
      </c>
      <c r="E195" t="n">
        <v>0.08</v>
      </c>
      <c r="F195">
        <f>A195*1024/(C195*0.000001)/1000000000*C189</f>
        <v/>
      </c>
      <c r="G195">
        <f>E195/F195</f>
        <v/>
      </c>
    </row>
    <row r="196">
      <c r="A196" t="n">
        <v>8</v>
      </c>
      <c r="B196" t="n">
        <v>80.69</v>
      </c>
      <c r="C196">
        <f>C190+A196*1024*C188</f>
        <v/>
      </c>
      <c r="D196">
        <f>B196/C196</f>
        <v/>
      </c>
      <c r="E196" t="n">
        <v>0.15</v>
      </c>
      <c r="F196">
        <f>A196*1024/(C196*0.000001)/1000000000*C189</f>
        <v/>
      </c>
      <c r="G196">
        <f>E196/F196</f>
        <v/>
      </c>
    </row>
    <row r="197">
      <c r="A197" t="n">
        <v>16</v>
      </c>
      <c r="B197" t="n">
        <v>91.01000000000001</v>
      </c>
      <c r="C197">
        <f>C190+A197*1024*C188</f>
        <v/>
      </c>
      <c r="D197">
        <f>B197/C197</f>
        <v/>
      </c>
      <c r="E197" t="n">
        <v>0.27</v>
      </c>
      <c r="F197">
        <f>A197*1024/(C197*0.000001)/1000000000*C189</f>
        <v/>
      </c>
      <c r="G197">
        <f>E197/F197</f>
        <v/>
      </c>
    </row>
    <row r="198">
      <c r="A198" t="n">
        <v>32</v>
      </c>
      <c r="B198" t="n">
        <v>111.26</v>
      </c>
      <c r="C198">
        <f>C190+A198*1024*C188</f>
        <v/>
      </c>
      <c r="D198">
        <f>B198/C198</f>
        <v/>
      </c>
      <c r="E198" t="n">
        <v>0.44</v>
      </c>
      <c r="F198">
        <f>A198*1024/(C198*0.000001)/1000000000*C189</f>
        <v/>
      </c>
      <c r="G198">
        <f>E198/F198</f>
        <v/>
      </c>
    </row>
    <row r="199">
      <c r="A199" t="n">
        <v>64</v>
      </c>
      <c r="B199" t="n">
        <v>124.45</v>
      </c>
      <c r="C199">
        <f>C190+A199*1024*C188</f>
        <v/>
      </c>
      <c r="D199">
        <f>B199/C199</f>
        <v/>
      </c>
      <c r="E199" t="n">
        <v>0.79</v>
      </c>
      <c r="F199">
        <f>A199*1024/(C199*0.000001)/1000000000*C189</f>
        <v/>
      </c>
      <c r="G199">
        <f>E199/F199</f>
        <v/>
      </c>
    </row>
    <row r="200">
      <c r="A200" t="n">
        <v>128</v>
      </c>
      <c r="B200" t="n">
        <v>147.87</v>
      </c>
      <c r="C200">
        <f>C190+A200*1024*C188</f>
        <v/>
      </c>
      <c r="D200">
        <f>B200/C200</f>
        <v/>
      </c>
      <c r="E200" t="n">
        <v>1.33</v>
      </c>
      <c r="F200">
        <f>A200*1024/(C200*0.000001)/1000000000*C189</f>
        <v/>
      </c>
      <c r="G200">
        <f>E200/F200</f>
        <v/>
      </c>
    </row>
    <row r="201">
      <c r="A201" t="n">
        <v>256</v>
      </c>
      <c r="B201" t="n">
        <v>207.49</v>
      </c>
      <c r="C201">
        <f>C190+A201*1024*C188</f>
        <v/>
      </c>
      <c r="D201">
        <f>B201/C201</f>
        <v/>
      </c>
      <c r="E201" t="n">
        <v>1.9</v>
      </c>
      <c r="F201">
        <f>A201*1024/(C201*0.000001)/1000000000*C189</f>
        <v/>
      </c>
      <c r="G201">
        <f>E201/F201</f>
        <v/>
      </c>
    </row>
    <row r="202">
      <c r="A202" t="n">
        <v>512</v>
      </c>
      <c r="B202" t="n">
        <v>375.6</v>
      </c>
      <c r="C202">
        <f>C190+A202*1024*C188</f>
        <v/>
      </c>
      <c r="D202">
        <f>B202/C202</f>
        <v/>
      </c>
      <c r="E202" t="n">
        <v>2.09</v>
      </c>
      <c r="F202">
        <f>A202*1024/(C202*0.000001)/1000000000*C189</f>
        <v/>
      </c>
      <c r="G202">
        <f>E202/F202</f>
        <v/>
      </c>
    </row>
    <row r="203">
      <c r="A203" t="n">
        <v>1024</v>
      </c>
      <c r="B203" t="n">
        <v>714.46</v>
      </c>
      <c r="C203">
        <f>C190+A203*1024*C188</f>
        <v/>
      </c>
      <c r="D203">
        <f>B203/C203</f>
        <v/>
      </c>
      <c r="E203" t="n">
        <v>2.2</v>
      </c>
      <c r="F203">
        <f>A203*1024/(C203*0.000001)/1000000000*C189</f>
        <v/>
      </c>
      <c r="G203">
        <f>E203/F203</f>
        <v/>
      </c>
    </row>
    <row r="204">
      <c r="A204" t="n">
        <v>2048</v>
      </c>
      <c r="B204" t="n">
        <v>1389.92</v>
      </c>
      <c r="C204">
        <f>C190+A204*1024*C188</f>
        <v/>
      </c>
      <c r="D204">
        <f>B204/C204</f>
        <v/>
      </c>
      <c r="E204" t="n">
        <v>2.26</v>
      </c>
      <c r="F204">
        <f>A204*1024/(C204*0.000001)/1000000000*C189</f>
        <v/>
      </c>
      <c r="G204">
        <f>E204/F204</f>
        <v/>
      </c>
    </row>
    <row r="205">
      <c r="A205" t="n">
        <v>4096</v>
      </c>
      <c r="B205" t="n">
        <v>2738.99</v>
      </c>
      <c r="C205">
        <f>C190+A205*1024*C188</f>
        <v/>
      </c>
      <c r="D205">
        <f>B205/C205</f>
        <v/>
      </c>
      <c r="E205" t="n">
        <v>2.3</v>
      </c>
      <c r="F205">
        <f>A205*1024/(C205*0.000001)/1000000000*C189</f>
        <v/>
      </c>
      <c r="G205">
        <f>E205/F205</f>
        <v/>
      </c>
    </row>
    <row r="206">
      <c r="A206" t="n">
        <v>8192</v>
      </c>
      <c r="B206" t="n">
        <v>5436.55</v>
      </c>
      <c r="C206">
        <f>C190+A206*1024*C188</f>
        <v/>
      </c>
      <c r="D206">
        <f>B206/C206</f>
        <v/>
      </c>
      <c r="E206" t="n">
        <v>2.31</v>
      </c>
      <c r="F206">
        <f>A206*1024/(C206*0.000001)/1000000000*C189</f>
        <v/>
      </c>
      <c r="G206">
        <f>E206/F206</f>
        <v/>
      </c>
    </row>
    <row r="207">
      <c r="A207" t="n">
        <v>16384</v>
      </c>
      <c r="B207" t="n">
        <v>10858.6</v>
      </c>
      <c r="C207">
        <f>C190+A207*1024*C188</f>
        <v/>
      </c>
      <c r="D207">
        <f>B207/C207</f>
        <v/>
      </c>
      <c r="E207" t="n">
        <v>2.32</v>
      </c>
      <c r="F207">
        <f>A207*1024/(C207*0.000001)/1000000000*C189</f>
        <v/>
      </c>
      <c r="G207">
        <f>E207/F207</f>
        <v/>
      </c>
    </row>
    <row r="208">
      <c r="A208" t="n">
        <v>32768</v>
      </c>
      <c r="B208" t="n">
        <v>21737</v>
      </c>
      <c r="C208">
        <f>C190+A208*1024*C188</f>
        <v/>
      </c>
      <c r="D208">
        <f>B208/C208</f>
        <v/>
      </c>
      <c r="E208" t="n">
        <v>2.32</v>
      </c>
      <c r="F208">
        <f>A208*1024/(C208*0.000001)/1000000000*C189</f>
        <v/>
      </c>
      <c r="G208">
        <f>E208/F208</f>
        <v/>
      </c>
    </row>
    <row r="209">
      <c r="A209" t="n">
        <v>65536</v>
      </c>
      <c r="B209" t="n">
        <v>43408.8</v>
      </c>
      <c r="C209">
        <f>C190+A209*1024*C188</f>
        <v/>
      </c>
      <c r="D209">
        <f>B209/C209</f>
        <v/>
      </c>
      <c r="E209" t="n">
        <v>2.32</v>
      </c>
      <c r="F209">
        <f>A209*1024/(C209*0.000001)/1000000000*C189</f>
        <v/>
      </c>
      <c r="G209">
        <f>E209/F209</f>
        <v/>
      </c>
    </row>
    <row r="210">
      <c r="A210" t="n">
        <v>131072</v>
      </c>
      <c r="B210" t="n">
        <v>86855.5</v>
      </c>
      <c r="C210">
        <f>C190+A210*1024*C188</f>
        <v/>
      </c>
      <c r="D210">
        <f>B210/C210</f>
        <v/>
      </c>
      <c r="E210" t="n">
        <v>2.32</v>
      </c>
      <c r="F210">
        <f>A210*1024/(C210*0.000001)/1000000000*C189</f>
        <v/>
      </c>
      <c r="G210">
        <f>E210/F210</f>
        <v/>
      </c>
    </row>
    <row r="211">
      <c r="A211" t="n">
        <v>262144</v>
      </c>
      <c r="B211" t="n">
        <v>173679</v>
      </c>
      <c r="C211">
        <f>C190+A211*1024*C188</f>
        <v/>
      </c>
      <c r="D211">
        <f>B211/C211</f>
        <v/>
      </c>
      <c r="E211" t="n">
        <v>2.32</v>
      </c>
      <c r="F211">
        <f>A211*1024/(C211*0.000001)/1000000000*C189</f>
        <v/>
      </c>
      <c r="G211">
        <f>E211/F211</f>
        <v/>
      </c>
    </row>
    <row r="212">
      <c r="A212" t="n">
        <v>524288</v>
      </c>
      <c r="B212" t="n">
        <v>347403</v>
      </c>
      <c r="C212">
        <f>C190+A212*1024*C188</f>
        <v/>
      </c>
      <c r="D212">
        <f>B212/C212</f>
        <v/>
      </c>
      <c r="E212" t="n">
        <v>2.32</v>
      </c>
      <c r="F212">
        <f>A212*1024/(C212*0.000001)/1000000000*C189</f>
        <v/>
      </c>
      <c r="G212">
        <f>E212/F212</f>
        <v/>
      </c>
    </row>
    <row r="213">
      <c r="A213" t="n">
        <v>1048576</v>
      </c>
      <c r="B213" t="n">
        <v>695267</v>
      </c>
      <c r="C213">
        <f>C190+A213*1024*C188</f>
        <v/>
      </c>
      <c r="D213">
        <f>B213/C213</f>
        <v/>
      </c>
      <c r="E213" t="n">
        <v>2.32</v>
      </c>
      <c r="F213">
        <f>A213*1024/(C213*0.000001)/1000000000*C189</f>
        <v/>
      </c>
      <c r="G213">
        <f>E213/F213</f>
        <v/>
      </c>
    </row>
    <row r="214"/>
    <row r="215">
      <c r="A215" t="inlineStr">
        <is>
          <t>Nodes: 4, Protocol: LL, Channels: 2</t>
        </is>
      </c>
    </row>
    <row r="216">
      <c r="A216" t="inlineStr">
        <is>
          <t>Parameter</t>
        </is>
      </c>
      <c r="B216" t="inlineStr">
        <is>
          <t>Formula</t>
        </is>
      </c>
      <c r="C216" t="inlineStr">
        <is>
          <t>Value</t>
        </is>
      </c>
    </row>
    <row r="217">
      <c r="A217" t="inlineStr">
        <is>
          <t>n</t>
        </is>
      </c>
      <c r="B217" t="inlineStr">
        <is>
          <t>nodes on tree</t>
        </is>
      </c>
      <c r="C217" t="n">
        <v>4</v>
      </c>
    </row>
    <row r="218">
      <c r="A218" t="inlineStr">
        <is>
          <t>nch</t>
        </is>
      </c>
      <c r="B218" t="inlineStr">
        <is>
          <t>channels</t>
        </is>
      </c>
      <c r="C218" t="n">
        <v>2</v>
      </c>
    </row>
    <row r="219">
      <c r="A219" t="inlineStr">
        <is>
          <t>a</t>
        </is>
      </c>
      <c r="B219" t="inlineStr">
        <is>
          <t>RTT (us)</t>
        </is>
      </c>
      <c r="C219" t="n">
        <v>25.8107</v>
      </c>
    </row>
    <row r="220">
      <c r="A220" t="inlineStr">
        <is>
          <t>NIC_BW</t>
        </is>
      </c>
      <c r="B220" t="inlineStr">
        <is>
          <t>bytes/us</t>
        </is>
      </c>
      <c r="C220" t="n">
        <v>48750</v>
      </c>
    </row>
    <row r="221">
      <c r="A221" t="inlineStr">
        <is>
          <t>NIC_BW_REAL</t>
        </is>
      </c>
      <c r="B221" t="inlineStr">
        <is>
          <t>(NIC_BW/2)/3</t>
        </is>
      </c>
      <c r="C221">
        <f>(C220/2)/3</f>
        <v/>
      </c>
    </row>
    <row r="222">
      <c r="A222" t="inlineStr">
        <is>
          <t>G</t>
        </is>
      </c>
      <c r="B222" t="inlineStr">
        <is>
          <t>1/NIC_BW_REAL</t>
        </is>
      </c>
      <c r="C222">
        <f>1/C221</f>
        <v/>
      </c>
    </row>
    <row r="223">
      <c r="A223" t="inlineStr">
        <is>
          <t>busbw_factor</t>
        </is>
      </c>
      <c r="B223" t="inlineStr">
        <is>
          <t>2*(n-1)/n</t>
        </is>
      </c>
      <c r="C223">
        <f>2*(C217-1)/C217</f>
        <v/>
      </c>
    </row>
    <row r="224">
      <c r="A224" t="inlineStr">
        <is>
          <t>fixed_overhead</t>
        </is>
      </c>
      <c r="B224" t="inlineStr">
        <is>
          <t>(2*LOG2(n)+1)*a/2</t>
        </is>
      </c>
      <c r="C224">
        <f>(2*LOG(C217,2)+1)*C219/2</f>
        <v/>
      </c>
    </row>
    <row r="225"/>
    <row r="226">
      <c r="A226" t="inlineStr">
        <is>
          <t>size_KB</t>
        </is>
      </c>
      <c r="B226" t="inlineStr">
        <is>
          <t>Actual Time (us)</t>
        </is>
      </c>
      <c r="C226" t="inlineStr">
        <is>
          <t>Roofline Time (us)</t>
        </is>
      </c>
      <c r="D226" t="inlineStr">
        <is>
          <t>Actual/Roofline</t>
        </is>
      </c>
      <c r="E226" t="inlineStr">
        <is>
          <t>Actual busBW (GB/s)</t>
        </is>
      </c>
      <c r="F226" t="inlineStr">
        <is>
          <t>Roofline busBW (GB/s)</t>
        </is>
      </c>
      <c r="G226" t="inlineStr">
        <is>
          <t>Meas/Roof busBW</t>
        </is>
      </c>
    </row>
    <row r="227">
      <c r="A227" t="n">
        <v>1</v>
      </c>
      <c r="B227" t="n">
        <v>62.8</v>
      </c>
      <c r="C227">
        <f>C224+A227*1024*C222</f>
        <v/>
      </c>
      <c r="D227">
        <f>B227/C227</f>
        <v/>
      </c>
      <c r="E227" t="n">
        <v>0.02</v>
      </c>
      <c r="F227">
        <f>A227*1024/(C227*0.000001)/1000000000*C223</f>
        <v/>
      </c>
      <c r="G227">
        <f>E227/F227</f>
        <v/>
      </c>
    </row>
    <row r="228">
      <c r="A228" t="n">
        <v>2</v>
      </c>
      <c r="B228" t="n">
        <v>65.75</v>
      </c>
      <c r="C228">
        <f>C224+A228*1024*C222</f>
        <v/>
      </c>
      <c r="D228">
        <f>B228/C228</f>
        <v/>
      </c>
      <c r="E228" t="n">
        <v>0.05</v>
      </c>
      <c r="F228">
        <f>A228*1024/(C228*0.000001)/1000000000*C223</f>
        <v/>
      </c>
      <c r="G228">
        <f>E228/F228</f>
        <v/>
      </c>
    </row>
    <row r="229">
      <c r="A229" t="n">
        <v>4</v>
      </c>
      <c r="B229" t="n">
        <v>74.15000000000001</v>
      </c>
      <c r="C229">
        <f>C224+A229*1024*C222</f>
        <v/>
      </c>
      <c r="D229">
        <f>B229/C229</f>
        <v/>
      </c>
      <c r="E229" t="n">
        <v>0.08</v>
      </c>
      <c r="F229">
        <f>A229*1024/(C229*0.000001)/1000000000*C223</f>
        <v/>
      </c>
      <c r="G229">
        <f>E229/F229</f>
        <v/>
      </c>
    </row>
    <row r="230">
      <c r="A230" t="n">
        <v>8</v>
      </c>
      <c r="B230" t="n">
        <v>77.56999999999999</v>
      </c>
      <c r="C230">
        <f>C224+A230*1024*C222</f>
        <v/>
      </c>
      <c r="D230">
        <f>B230/C230</f>
        <v/>
      </c>
      <c r="E230" t="n">
        <v>0.16</v>
      </c>
      <c r="F230">
        <f>A230*1024/(C230*0.000001)/1000000000*C223</f>
        <v/>
      </c>
      <c r="G230">
        <f>E230/F230</f>
        <v/>
      </c>
    </row>
    <row r="231">
      <c r="A231" t="n">
        <v>16</v>
      </c>
      <c r="B231" t="n">
        <v>84.84999999999999</v>
      </c>
      <c r="C231">
        <f>C224+A231*1024*C222</f>
        <v/>
      </c>
      <c r="D231">
        <f>B231/C231</f>
        <v/>
      </c>
      <c r="E231" t="n">
        <v>0.29</v>
      </c>
      <c r="F231">
        <f>A231*1024/(C231*0.000001)/1000000000*C223</f>
        <v/>
      </c>
      <c r="G231">
        <f>E231/F231</f>
        <v/>
      </c>
    </row>
    <row r="232">
      <c r="A232" t="n">
        <v>32</v>
      </c>
      <c r="B232" t="n">
        <v>98.01000000000001</v>
      </c>
      <c r="C232">
        <f>C224+A232*1024*C222</f>
        <v/>
      </c>
      <c r="D232">
        <f>B232/C232</f>
        <v/>
      </c>
      <c r="E232" t="n">
        <v>0.5</v>
      </c>
      <c r="F232">
        <f>A232*1024/(C232*0.000001)/1000000000*C223</f>
        <v/>
      </c>
      <c r="G232">
        <f>E232/F232</f>
        <v/>
      </c>
    </row>
    <row r="233">
      <c r="A233" t="n">
        <v>64</v>
      </c>
      <c r="B233" t="n">
        <v>123.59</v>
      </c>
      <c r="C233">
        <f>C224+A233*1024*C222</f>
        <v/>
      </c>
      <c r="D233">
        <f>B233/C233</f>
        <v/>
      </c>
      <c r="E233" t="n">
        <v>0.8</v>
      </c>
      <c r="F233">
        <f>A233*1024/(C233*0.000001)/1000000000*C223</f>
        <v/>
      </c>
      <c r="G233">
        <f>E233/F233</f>
        <v/>
      </c>
    </row>
    <row r="234">
      <c r="A234" t="n">
        <v>128</v>
      </c>
      <c r="B234" t="n">
        <v>147.9</v>
      </c>
      <c r="C234">
        <f>C224+A234*1024*C222</f>
        <v/>
      </c>
      <c r="D234">
        <f>B234/C234</f>
        <v/>
      </c>
      <c r="E234" t="n">
        <v>1.33</v>
      </c>
      <c r="F234">
        <f>A234*1024/(C234*0.000001)/1000000000*C223</f>
        <v/>
      </c>
      <c r="G234">
        <f>E234/F234</f>
        <v/>
      </c>
    </row>
    <row r="235">
      <c r="A235" t="n">
        <v>256</v>
      </c>
      <c r="B235" t="n">
        <v>205.84</v>
      </c>
      <c r="C235">
        <f>C224+A235*1024*C222</f>
        <v/>
      </c>
      <c r="D235">
        <f>B235/C235</f>
        <v/>
      </c>
      <c r="E235" t="n">
        <v>1.91</v>
      </c>
      <c r="F235">
        <f>A235*1024/(C235*0.000001)/1000000000*C223</f>
        <v/>
      </c>
      <c r="G235">
        <f>E235/F235</f>
        <v/>
      </c>
    </row>
    <row r="236">
      <c r="A236" t="n">
        <v>512</v>
      </c>
      <c r="B236" t="n">
        <v>357.68</v>
      </c>
      <c r="C236">
        <f>C224+A236*1024*C222</f>
        <v/>
      </c>
      <c r="D236">
        <f>B236/C236</f>
        <v/>
      </c>
      <c r="E236" t="n">
        <v>2.2</v>
      </c>
      <c r="F236">
        <f>A236*1024/(C236*0.000001)/1000000000*C223</f>
        <v/>
      </c>
      <c r="G236">
        <f>E236/F236</f>
        <v/>
      </c>
    </row>
    <row r="237">
      <c r="A237" t="n">
        <v>1024</v>
      </c>
      <c r="B237" t="n">
        <v>651.39</v>
      </c>
      <c r="C237">
        <f>C224+A237*1024*C222</f>
        <v/>
      </c>
      <c r="D237">
        <f>B237/C237</f>
        <v/>
      </c>
      <c r="E237" t="n">
        <v>2.41</v>
      </c>
      <c r="F237">
        <f>A237*1024/(C237*0.000001)/1000000000*C223</f>
        <v/>
      </c>
      <c r="G237">
        <f>E237/F237</f>
        <v/>
      </c>
    </row>
    <row r="238">
      <c r="A238" t="n">
        <v>2048</v>
      </c>
      <c r="B238" t="n">
        <v>1237.3</v>
      </c>
      <c r="C238">
        <f>C224+A238*1024*C222</f>
        <v/>
      </c>
      <c r="D238">
        <f>B238/C238</f>
        <v/>
      </c>
      <c r="E238" t="n">
        <v>2.54</v>
      </c>
      <c r="F238">
        <f>A238*1024/(C238*0.000001)/1000000000*C223</f>
        <v/>
      </c>
      <c r="G238">
        <f>E238/F238</f>
        <v/>
      </c>
    </row>
    <row r="239">
      <c r="A239" t="n">
        <v>4096</v>
      </c>
      <c r="B239" t="n">
        <v>2404.18</v>
      </c>
      <c r="C239">
        <f>C224+A239*1024*C222</f>
        <v/>
      </c>
      <c r="D239">
        <f>B239/C239</f>
        <v/>
      </c>
      <c r="E239" t="n">
        <v>2.62</v>
      </c>
      <c r="F239">
        <f>A239*1024/(C239*0.000001)/1000000000*C223</f>
        <v/>
      </c>
      <c r="G239">
        <f>E239/F239</f>
        <v/>
      </c>
    </row>
    <row r="240">
      <c r="A240" t="n">
        <v>8192</v>
      </c>
      <c r="B240" t="n">
        <v>4743.48</v>
      </c>
      <c r="C240">
        <f>C224+A240*1024*C222</f>
        <v/>
      </c>
      <c r="D240">
        <f>B240/C240</f>
        <v/>
      </c>
      <c r="E240" t="n">
        <v>2.65</v>
      </c>
      <c r="F240">
        <f>A240*1024/(C240*0.000001)/1000000000*C223</f>
        <v/>
      </c>
      <c r="G240">
        <f>E240/F240</f>
        <v/>
      </c>
    </row>
    <row r="241">
      <c r="A241" t="n">
        <v>16384</v>
      </c>
      <c r="B241" t="n">
        <v>9383.49</v>
      </c>
      <c r="C241">
        <f>C224+A241*1024*C222</f>
        <v/>
      </c>
      <c r="D241">
        <f>B241/C241</f>
        <v/>
      </c>
      <c r="E241" t="n">
        <v>2.68</v>
      </c>
      <c r="F241">
        <f>A241*1024/(C241*0.000001)/1000000000*C223</f>
        <v/>
      </c>
      <c r="G241">
        <f>E241/F241</f>
        <v/>
      </c>
    </row>
    <row r="242">
      <c r="A242" t="n">
        <v>32768</v>
      </c>
      <c r="B242" t="n">
        <v>18667.2</v>
      </c>
      <c r="C242">
        <f>C224+A242*1024*C222</f>
        <v/>
      </c>
      <c r="D242">
        <f>B242/C242</f>
        <v/>
      </c>
      <c r="E242" t="n">
        <v>2.7</v>
      </c>
      <c r="F242">
        <f>A242*1024/(C242*0.000001)/1000000000*C223</f>
        <v/>
      </c>
      <c r="G242">
        <f>E242/F242</f>
        <v/>
      </c>
    </row>
    <row r="243">
      <c r="A243" t="n">
        <v>65536</v>
      </c>
      <c r="B243" t="n">
        <v>37225.2</v>
      </c>
      <c r="C243">
        <f>C224+A243*1024*C222</f>
        <v/>
      </c>
      <c r="D243">
        <f>B243/C243</f>
        <v/>
      </c>
      <c r="E243" t="n">
        <v>2.7</v>
      </c>
      <c r="F243">
        <f>A243*1024/(C243*0.000001)/1000000000*C223</f>
        <v/>
      </c>
      <c r="G243">
        <f>E243/F243</f>
        <v/>
      </c>
    </row>
    <row r="244">
      <c r="A244" t="n">
        <v>131072</v>
      </c>
      <c r="B244" t="n">
        <v>74279.89999999999</v>
      </c>
      <c r="C244">
        <f>C224+A244*1024*C222</f>
        <v/>
      </c>
      <c r="D244">
        <f>B244/C244</f>
        <v/>
      </c>
      <c r="E244" t="n">
        <v>2.71</v>
      </c>
      <c r="F244">
        <f>A244*1024/(C244*0.000001)/1000000000*C223</f>
        <v/>
      </c>
      <c r="G244">
        <f>E244/F244</f>
        <v/>
      </c>
    </row>
    <row r="245">
      <c r="A245" t="n">
        <v>262144</v>
      </c>
      <c r="B245" t="n">
        <v>148511</v>
      </c>
      <c r="C245">
        <f>C224+A245*1024*C222</f>
        <v/>
      </c>
      <c r="D245">
        <f>B245/C245</f>
        <v/>
      </c>
      <c r="E245" t="n">
        <v>2.71</v>
      </c>
      <c r="F245">
        <f>A245*1024/(C245*0.000001)/1000000000*C223</f>
        <v/>
      </c>
      <c r="G245">
        <f>E245/F245</f>
        <v/>
      </c>
    </row>
    <row r="246">
      <c r="A246" t="n">
        <v>524288</v>
      </c>
      <c r="B246" t="n">
        <v>297033</v>
      </c>
      <c r="C246">
        <f>C224+A246*1024*C222</f>
        <v/>
      </c>
      <c r="D246">
        <f>B246/C246</f>
        <v/>
      </c>
      <c r="E246" t="n">
        <v>2.71</v>
      </c>
      <c r="F246">
        <f>A246*1024/(C246*0.000001)/1000000000*C223</f>
        <v/>
      </c>
      <c r="G246">
        <f>E246/F246</f>
        <v/>
      </c>
    </row>
    <row r="247">
      <c r="A247" t="n">
        <v>1048576</v>
      </c>
      <c r="B247" t="n">
        <v>594422</v>
      </c>
      <c r="C247">
        <f>C224+A247*1024*C222</f>
        <v/>
      </c>
      <c r="D247">
        <f>B247/C247</f>
        <v/>
      </c>
      <c r="E247" t="n">
        <v>2.71</v>
      </c>
      <c r="F247">
        <f>A247*1024/(C247*0.000001)/1000000000*C223</f>
        <v/>
      </c>
      <c r="G247">
        <f>E247/F247</f>
        <v/>
      </c>
    </row>
    <row r="248"/>
    <row r="249">
      <c r="A249" t="inlineStr">
        <is>
          <t>Nodes: 4, Protocol: LL, Channels: 4</t>
        </is>
      </c>
    </row>
    <row r="250">
      <c r="A250" t="inlineStr">
        <is>
          <t>Parameter</t>
        </is>
      </c>
      <c r="B250" t="inlineStr">
        <is>
          <t>Formula</t>
        </is>
      </c>
      <c r="C250" t="inlineStr">
        <is>
          <t>Value</t>
        </is>
      </c>
    </row>
    <row r="251">
      <c r="A251" t="inlineStr">
        <is>
          <t>n</t>
        </is>
      </c>
      <c r="B251" t="inlineStr">
        <is>
          <t>nodes on tree</t>
        </is>
      </c>
      <c r="C251" t="n">
        <v>4</v>
      </c>
    </row>
    <row r="252">
      <c r="A252" t="inlineStr">
        <is>
          <t>nch</t>
        </is>
      </c>
      <c r="B252" t="inlineStr">
        <is>
          <t>channels</t>
        </is>
      </c>
      <c r="C252" t="n">
        <v>4</v>
      </c>
    </row>
    <row r="253">
      <c r="A253" t="inlineStr">
        <is>
          <t>a</t>
        </is>
      </c>
      <c r="B253" t="inlineStr">
        <is>
          <t>RTT (us)</t>
        </is>
      </c>
      <c r="C253" t="n">
        <v>25.8107</v>
      </c>
    </row>
    <row r="254">
      <c r="A254" t="inlineStr">
        <is>
          <t>NIC_BW</t>
        </is>
      </c>
      <c r="B254" t="inlineStr">
        <is>
          <t>bytes/us</t>
        </is>
      </c>
      <c r="C254" t="n">
        <v>48750</v>
      </c>
    </row>
    <row r="255">
      <c r="A255" t="inlineStr">
        <is>
          <t>NIC_BW_REAL</t>
        </is>
      </c>
      <c r="B255" t="inlineStr">
        <is>
          <t>(NIC_BW/2)/2</t>
        </is>
      </c>
      <c r="C255">
        <f>(C254/2)/2</f>
        <v/>
      </c>
    </row>
    <row r="256">
      <c r="A256" t="inlineStr">
        <is>
          <t>G</t>
        </is>
      </c>
      <c r="B256" t="inlineStr">
        <is>
          <t>1/NIC_BW_REAL</t>
        </is>
      </c>
      <c r="C256">
        <f>1/C255</f>
        <v/>
      </c>
    </row>
    <row r="257">
      <c r="A257" t="inlineStr">
        <is>
          <t>busbw_factor</t>
        </is>
      </c>
      <c r="B257" t="inlineStr">
        <is>
          <t>2*(n-1)/n</t>
        </is>
      </c>
      <c r="C257">
        <f>2*(C251-1)/C251</f>
        <v/>
      </c>
    </row>
    <row r="258">
      <c r="A258" t="inlineStr">
        <is>
          <t>fixed_overhead</t>
        </is>
      </c>
      <c r="B258" t="inlineStr">
        <is>
          <t>(2*LOG2(n)+1)*a/2</t>
        </is>
      </c>
      <c r="C258">
        <f>(2*LOG(C251,2)+1)*C253/2</f>
        <v/>
      </c>
    </row>
    <row r="259"/>
    <row r="260">
      <c r="A260" t="inlineStr">
        <is>
          <t>size_KB</t>
        </is>
      </c>
      <c r="B260" t="inlineStr">
        <is>
          <t>Actual Time (us)</t>
        </is>
      </c>
      <c r="C260" t="inlineStr">
        <is>
          <t>Roofline Time (us)</t>
        </is>
      </c>
      <c r="D260" t="inlineStr">
        <is>
          <t>Actual/Roofline</t>
        </is>
      </c>
      <c r="E260" t="inlineStr">
        <is>
          <t>Actual busBW (GB/s)</t>
        </is>
      </c>
      <c r="F260" t="inlineStr">
        <is>
          <t>Roofline busBW (GB/s)</t>
        </is>
      </c>
      <c r="G260" t="inlineStr">
        <is>
          <t>Meas/Roof busBW</t>
        </is>
      </c>
    </row>
    <row r="261">
      <c r="A261" t="n">
        <v>1</v>
      </c>
      <c r="B261" t="n">
        <v>63.04</v>
      </c>
      <c r="C261">
        <f>C258+A261*1024*C256</f>
        <v/>
      </c>
      <c r="D261">
        <f>B261/C261</f>
        <v/>
      </c>
      <c r="E261" t="n">
        <v>0.02</v>
      </c>
      <c r="F261">
        <f>A261*1024/(C261*0.000001)/1000000000*C257</f>
        <v/>
      </c>
      <c r="G261">
        <f>E261/F261</f>
        <v/>
      </c>
    </row>
    <row r="262">
      <c r="A262" t="n">
        <v>2</v>
      </c>
      <c r="B262" t="n">
        <v>65.77</v>
      </c>
      <c r="C262">
        <f>C258+A262*1024*C256</f>
        <v/>
      </c>
      <c r="D262">
        <f>B262/C262</f>
        <v/>
      </c>
      <c r="E262" t="n">
        <v>0.05</v>
      </c>
      <c r="F262">
        <f>A262*1024/(C262*0.000001)/1000000000*C257</f>
        <v/>
      </c>
      <c r="G262">
        <f>E262/F262</f>
        <v/>
      </c>
    </row>
    <row r="263">
      <c r="A263" t="n">
        <v>4</v>
      </c>
      <c r="B263" t="n">
        <v>74.23999999999999</v>
      </c>
      <c r="C263">
        <f>C258+A263*1024*C256</f>
        <v/>
      </c>
      <c r="D263">
        <f>B263/C263</f>
        <v/>
      </c>
      <c r="E263" t="n">
        <v>0.08</v>
      </c>
      <c r="F263">
        <f>A263*1024/(C263*0.000001)/1000000000*C257</f>
        <v/>
      </c>
      <c r="G263">
        <f>E263/F263</f>
        <v/>
      </c>
    </row>
    <row r="264">
      <c r="A264" t="n">
        <v>8</v>
      </c>
      <c r="B264" t="n">
        <v>77.65000000000001</v>
      </c>
      <c r="C264">
        <f>C258+A264*1024*C256</f>
        <v/>
      </c>
      <c r="D264">
        <f>B264/C264</f>
        <v/>
      </c>
      <c r="E264" t="n">
        <v>0.16</v>
      </c>
      <c r="F264">
        <f>A264*1024/(C264*0.000001)/1000000000*C257</f>
        <v/>
      </c>
      <c r="G264">
        <f>E264/F264</f>
        <v/>
      </c>
    </row>
    <row r="265">
      <c r="A265" t="n">
        <v>16</v>
      </c>
      <c r="B265" t="n">
        <v>79.59</v>
      </c>
      <c r="C265">
        <f>C258+A265*1024*C256</f>
        <v/>
      </c>
      <c r="D265">
        <f>B265/C265</f>
        <v/>
      </c>
      <c r="E265" t="n">
        <v>0.31</v>
      </c>
      <c r="F265">
        <f>A265*1024/(C265*0.000001)/1000000000*C257</f>
        <v/>
      </c>
      <c r="G265">
        <f>E265/F265</f>
        <v/>
      </c>
    </row>
    <row r="266">
      <c r="A266" t="n">
        <v>32</v>
      </c>
      <c r="B266" t="n">
        <v>87.25</v>
      </c>
      <c r="C266">
        <f>C258+A266*1024*C256</f>
        <v/>
      </c>
      <c r="D266">
        <f>B266/C266</f>
        <v/>
      </c>
      <c r="E266" t="n">
        <v>0.5600000000000001</v>
      </c>
      <c r="F266">
        <f>A266*1024/(C266*0.000001)/1000000000*C257</f>
        <v/>
      </c>
      <c r="G266">
        <f>E266/F266</f>
        <v/>
      </c>
    </row>
    <row r="267">
      <c r="A267" t="n">
        <v>64</v>
      </c>
      <c r="B267" t="n">
        <v>100.72</v>
      </c>
      <c r="C267">
        <f>C258+A267*1024*C256</f>
        <v/>
      </c>
      <c r="D267">
        <f>B267/C267</f>
        <v/>
      </c>
      <c r="E267" t="n">
        <v>0.98</v>
      </c>
      <c r="F267">
        <f>A267*1024/(C267*0.000001)/1000000000*C257</f>
        <v/>
      </c>
      <c r="G267">
        <f>E267/F267</f>
        <v/>
      </c>
    </row>
    <row r="268">
      <c r="A268" t="n">
        <v>128</v>
      </c>
      <c r="B268" t="n">
        <v>128.88</v>
      </c>
      <c r="C268">
        <f>C258+A268*1024*C256</f>
        <v/>
      </c>
      <c r="D268">
        <f>B268/C268</f>
        <v/>
      </c>
      <c r="E268" t="n">
        <v>1.53</v>
      </c>
      <c r="F268">
        <f>A268*1024/(C268*0.000001)/1000000000*C257</f>
        <v/>
      </c>
      <c r="G268">
        <f>E268/F268</f>
        <v/>
      </c>
    </row>
    <row r="269">
      <c r="A269" t="n">
        <v>256</v>
      </c>
      <c r="B269" t="n">
        <v>157.44</v>
      </c>
      <c r="C269">
        <f>C258+A269*1024*C256</f>
        <v/>
      </c>
      <c r="D269">
        <f>B269/C269</f>
        <v/>
      </c>
      <c r="E269" t="n">
        <v>2.5</v>
      </c>
      <c r="F269">
        <f>A269*1024/(C269*0.000001)/1000000000*C257</f>
        <v/>
      </c>
      <c r="G269">
        <f>E269/F269</f>
        <v/>
      </c>
    </row>
    <row r="270">
      <c r="A270" t="n">
        <v>512</v>
      </c>
      <c r="B270" t="n">
        <v>236.53</v>
      </c>
      <c r="C270">
        <f>C258+A270*1024*C256</f>
        <v/>
      </c>
      <c r="D270">
        <f>B270/C270</f>
        <v/>
      </c>
      <c r="E270" t="n">
        <v>3.32</v>
      </c>
      <c r="F270">
        <f>A270*1024/(C270*0.000001)/1000000000*C257</f>
        <v/>
      </c>
      <c r="G270">
        <f>E270/F270</f>
        <v/>
      </c>
    </row>
    <row r="271">
      <c r="A271" t="n">
        <v>1024</v>
      </c>
      <c r="B271" t="n">
        <v>443.5</v>
      </c>
      <c r="C271">
        <f>C258+A271*1024*C256</f>
        <v/>
      </c>
      <c r="D271">
        <f>B271/C271</f>
        <v/>
      </c>
      <c r="E271" t="n">
        <v>3.55</v>
      </c>
      <c r="F271">
        <f>A271*1024/(C271*0.000001)/1000000000*C257</f>
        <v/>
      </c>
      <c r="G271">
        <f>E271/F271</f>
        <v/>
      </c>
    </row>
    <row r="272">
      <c r="A272" t="n">
        <v>2048</v>
      </c>
      <c r="B272" t="n">
        <v>857.35</v>
      </c>
      <c r="C272">
        <f>C258+A272*1024*C256</f>
        <v/>
      </c>
      <c r="D272">
        <f>B272/C272</f>
        <v/>
      </c>
      <c r="E272" t="n">
        <v>3.67</v>
      </c>
      <c r="F272">
        <f>A272*1024/(C272*0.000001)/1000000000*C257</f>
        <v/>
      </c>
      <c r="G272">
        <f>E272/F272</f>
        <v/>
      </c>
    </row>
    <row r="273">
      <c r="A273" t="n">
        <v>4096</v>
      </c>
      <c r="B273" t="n">
        <v>1681.23</v>
      </c>
      <c r="C273">
        <f>C258+A273*1024*C256</f>
        <v/>
      </c>
      <c r="D273">
        <f>B273/C273</f>
        <v/>
      </c>
      <c r="E273" t="n">
        <v>3.74</v>
      </c>
      <c r="F273">
        <f>A273*1024/(C273*0.000001)/1000000000*C257</f>
        <v/>
      </c>
      <c r="G273">
        <f>E273/F273</f>
        <v/>
      </c>
    </row>
    <row r="274">
      <c r="A274" t="n">
        <v>8192</v>
      </c>
      <c r="B274" t="n">
        <v>3302.32</v>
      </c>
      <c r="C274">
        <f>C258+A274*1024*C256</f>
        <v/>
      </c>
      <c r="D274">
        <f>B274/C274</f>
        <v/>
      </c>
      <c r="E274" t="n">
        <v>3.81</v>
      </c>
      <c r="F274">
        <f>A274*1024/(C274*0.000001)/1000000000*C257</f>
        <v/>
      </c>
      <c r="G274">
        <f>E274/F274</f>
        <v/>
      </c>
    </row>
    <row r="275">
      <c r="A275" t="n">
        <v>16384</v>
      </c>
      <c r="B275" t="n">
        <v>6535.55</v>
      </c>
      <c r="C275">
        <f>C258+A275*1024*C256</f>
        <v/>
      </c>
      <c r="D275">
        <f>B275/C275</f>
        <v/>
      </c>
      <c r="E275" t="n">
        <v>3.85</v>
      </c>
      <c r="F275">
        <f>A275*1024/(C275*0.000001)/1000000000*C257</f>
        <v/>
      </c>
      <c r="G275">
        <f>E275/F275</f>
        <v/>
      </c>
    </row>
    <row r="276">
      <c r="A276" t="n">
        <v>32768</v>
      </c>
      <c r="B276" t="n">
        <v>13031</v>
      </c>
      <c r="C276">
        <f>C258+A276*1024*C256</f>
        <v/>
      </c>
      <c r="D276">
        <f>B276/C276</f>
        <v/>
      </c>
      <c r="E276" t="n">
        <v>3.86</v>
      </c>
      <c r="F276">
        <f>A276*1024/(C276*0.000001)/1000000000*C257</f>
        <v/>
      </c>
      <c r="G276">
        <f>E276/F276</f>
        <v/>
      </c>
    </row>
    <row r="277">
      <c r="A277" t="n">
        <v>65536</v>
      </c>
      <c r="B277" t="n">
        <v>25905.6</v>
      </c>
      <c r="C277">
        <f>C258+A277*1024*C256</f>
        <v/>
      </c>
      <c r="D277">
        <f>B277/C277</f>
        <v/>
      </c>
      <c r="E277" t="n">
        <v>3.89</v>
      </c>
      <c r="F277">
        <f>A277*1024/(C277*0.000001)/1000000000*C257</f>
        <v/>
      </c>
      <c r="G277">
        <f>E277/F277</f>
        <v/>
      </c>
    </row>
    <row r="278">
      <c r="A278" t="n">
        <v>131072</v>
      </c>
      <c r="B278" t="n">
        <v>51729.6</v>
      </c>
      <c r="C278">
        <f>C258+A278*1024*C256</f>
        <v/>
      </c>
      <c r="D278">
        <f>B278/C278</f>
        <v/>
      </c>
      <c r="E278" t="n">
        <v>3.89</v>
      </c>
      <c r="F278">
        <f>A278*1024/(C278*0.000001)/1000000000*C257</f>
        <v/>
      </c>
      <c r="G278">
        <f>E278/F278</f>
        <v/>
      </c>
    </row>
    <row r="279">
      <c r="A279" t="n">
        <v>262144</v>
      </c>
      <c r="B279" t="n">
        <v>103395</v>
      </c>
      <c r="C279">
        <f>C258+A279*1024*C256</f>
        <v/>
      </c>
      <c r="D279">
        <f>B279/C279</f>
        <v/>
      </c>
      <c r="E279" t="n">
        <v>3.89</v>
      </c>
      <c r="F279">
        <f>A279*1024/(C279*0.000001)/1000000000*C257</f>
        <v/>
      </c>
      <c r="G279">
        <f>E279/F279</f>
        <v/>
      </c>
    </row>
    <row r="280">
      <c r="A280" t="n">
        <v>524288</v>
      </c>
      <c r="B280" t="n">
        <v>206955</v>
      </c>
      <c r="C280">
        <f>C258+A280*1024*C256</f>
        <v/>
      </c>
      <c r="D280">
        <f>B280/C280</f>
        <v/>
      </c>
      <c r="E280" t="n">
        <v>3.89</v>
      </c>
      <c r="F280">
        <f>A280*1024/(C280*0.000001)/1000000000*C257</f>
        <v/>
      </c>
      <c r="G280">
        <f>E280/F280</f>
        <v/>
      </c>
    </row>
    <row r="281">
      <c r="A281" t="n">
        <v>1048576</v>
      </c>
      <c r="B281" t="n">
        <v>414530</v>
      </c>
      <c r="C281">
        <f>C258+A281*1024*C256</f>
        <v/>
      </c>
      <c r="D281">
        <f>B281/C281</f>
        <v/>
      </c>
      <c r="E281" t="n">
        <v>3.89</v>
      </c>
      <c r="F281">
        <f>A281*1024/(C281*0.000001)/1000000000*C257</f>
        <v/>
      </c>
      <c r="G281">
        <f>E281/F281</f>
        <v/>
      </c>
    </row>
    <row r="282"/>
    <row r="283">
      <c r="A283" t="inlineStr">
        <is>
          <t>Nodes: 4, Protocol: LL, Channels: 8</t>
        </is>
      </c>
    </row>
    <row r="284">
      <c r="A284" t="inlineStr">
        <is>
          <t>Parameter</t>
        </is>
      </c>
      <c r="B284" t="inlineStr">
        <is>
          <t>Formula</t>
        </is>
      </c>
      <c r="C284" t="inlineStr">
        <is>
          <t>Value</t>
        </is>
      </c>
    </row>
    <row r="285">
      <c r="A285" t="inlineStr">
        <is>
          <t>n</t>
        </is>
      </c>
      <c r="B285" t="inlineStr">
        <is>
          <t>nodes on tree</t>
        </is>
      </c>
      <c r="C285" t="n">
        <v>4</v>
      </c>
    </row>
    <row r="286">
      <c r="A286" t="inlineStr">
        <is>
          <t>nch</t>
        </is>
      </c>
      <c r="B286" t="inlineStr">
        <is>
          <t>channels</t>
        </is>
      </c>
      <c r="C286" t="n">
        <v>8</v>
      </c>
    </row>
    <row r="287">
      <c r="A287" t="inlineStr">
        <is>
          <t>a</t>
        </is>
      </c>
      <c r="B287" t="inlineStr">
        <is>
          <t>RTT (us)</t>
        </is>
      </c>
      <c r="C287" t="n">
        <v>25.8107</v>
      </c>
    </row>
    <row r="288">
      <c r="A288" t="inlineStr">
        <is>
          <t>NIC_BW</t>
        </is>
      </c>
      <c r="B288" t="inlineStr">
        <is>
          <t>bytes/us</t>
        </is>
      </c>
      <c r="C288" t="n">
        <v>48750</v>
      </c>
    </row>
    <row r="289">
      <c r="A289" t="inlineStr">
        <is>
          <t>NIC_BW_REAL</t>
        </is>
      </c>
      <c r="B289" t="inlineStr">
        <is>
          <t>(NIC_BW/2)/2</t>
        </is>
      </c>
      <c r="C289">
        <f>(C288/2)/2</f>
        <v/>
      </c>
    </row>
    <row r="290">
      <c r="A290" t="inlineStr">
        <is>
          <t>G</t>
        </is>
      </c>
      <c r="B290" t="inlineStr">
        <is>
          <t>1/NIC_BW_REAL</t>
        </is>
      </c>
      <c r="C290">
        <f>1/C289</f>
        <v/>
      </c>
    </row>
    <row r="291">
      <c r="A291" t="inlineStr">
        <is>
          <t>busbw_factor</t>
        </is>
      </c>
      <c r="B291" t="inlineStr">
        <is>
          <t>2*(n-1)/n</t>
        </is>
      </c>
      <c r="C291">
        <f>2*(C285-1)/C285</f>
        <v/>
      </c>
    </row>
    <row r="292">
      <c r="A292" t="inlineStr">
        <is>
          <t>fixed_overhead</t>
        </is>
      </c>
      <c r="B292" t="inlineStr">
        <is>
          <t>(2*LOG2(n)+1)*a/2</t>
        </is>
      </c>
      <c r="C292">
        <f>(2*LOG(C285,2)+1)*C287/2</f>
        <v/>
      </c>
    </row>
    <row r="293"/>
    <row r="294">
      <c r="A294" t="inlineStr">
        <is>
          <t>size_KB</t>
        </is>
      </c>
      <c r="B294" t="inlineStr">
        <is>
          <t>Actual Time (us)</t>
        </is>
      </c>
      <c r="C294" t="inlineStr">
        <is>
          <t>Roofline Time (us)</t>
        </is>
      </c>
      <c r="D294" t="inlineStr">
        <is>
          <t>Actual/Roofline</t>
        </is>
      </c>
      <c r="E294" t="inlineStr">
        <is>
          <t>Actual busBW (GB/s)</t>
        </is>
      </c>
      <c r="F294" t="inlineStr">
        <is>
          <t>Roofline busBW (GB/s)</t>
        </is>
      </c>
      <c r="G294" t="inlineStr">
        <is>
          <t>Meas/Roof busBW</t>
        </is>
      </c>
    </row>
    <row r="295">
      <c r="A295" t="n">
        <v>1</v>
      </c>
      <c r="B295" t="n">
        <v>63.17</v>
      </c>
      <c r="C295">
        <f>C292+A295*1024*C290</f>
        <v/>
      </c>
      <c r="D295">
        <f>B295/C295</f>
        <v/>
      </c>
      <c r="E295" t="n">
        <v>0.02</v>
      </c>
      <c r="F295">
        <f>A295*1024/(C295*0.000001)/1000000000*C291</f>
        <v/>
      </c>
      <c r="G295">
        <f>E295/F295</f>
        <v/>
      </c>
    </row>
    <row r="296">
      <c r="A296" t="n">
        <v>2</v>
      </c>
      <c r="B296" t="n">
        <v>66.12</v>
      </c>
      <c r="C296">
        <f>C292+A296*1024*C290</f>
        <v/>
      </c>
      <c r="D296">
        <f>B296/C296</f>
        <v/>
      </c>
      <c r="E296" t="n">
        <v>0.05</v>
      </c>
      <c r="F296">
        <f>A296*1024/(C296*0.000001)/1000000000*C291</f>
        <v/>
      </c>
      <c r="G296">
        <f>E296/F296</f>
        <v/>
      </c>
    </row>
    <row r="297">
      <c r="A297" t="n">
        <v>4</v>
      </c>
      <c r="B297" t="n">
        <v>74.19</v>
      </c>
      <c r="C297">
        <f>C292+A297*1024*C290</f>
        <v/>
      </c>
      <c r="D297">
        <f>B297/C297</f>
        <v/>
      </c>
      <c r="E297" t="n">
        <v>0.08</v>
      </c>
      <c r="F297">
        <f>A297*1024/(C297*0.000001)/1000000000*C291</f>
        <v/>
      </c>
      <c r="G297">
        <f>E297/F297</f>
        <v/>
      </c>
    </row>
    <row r="298">
      <c r="A298" t="n">
        <v>8</v>
      </c>
      <c r="B298" t="n">
        <v>77.23999999999999</v>
      </c>
      <c r="C298">
        <f>C292+A298*1024*C290</f>
        <v/>
      </c>
      <c r="D298">
        <f>B298/C298</f>
        <v/>
      </c>
      <c r="E298" t="n">
        <v>0.16</v>
      </c>
      <c r="F298">
        <f>A298*1024/(C298*0.000001)/1000000000*C291</f>
        <v/>
      </c>
      <c r="G298">
        <f>E298/F298</f>
        <v/>
      </c>
    </row>
    <row r="299">
      <c r="A299" t="n">
        <v>16</v>
      </c>
      <c r="B299" t="n">
        <v>79.79000000000001</v>
      </c>
      <c r="C299">
        <f>C292+A299*1024*C290</f>
        <v/>
      </c>
      <c r="D299">
        <f>B299/C299</f>
        <v/>
      </c>
      <c r="E299" t="n">
        <v>0.31</v>
      </c>
      <c r="F299">
        <f>A299*1024/(C299*0.000001)/1000000000*C291</f>
        <v/>
      </c>
      <c r="G299">
        <f>E299/F299</f>
        <v/>
      </c>
    </row>
    <row r="300">
      <c r="A300" t="n">
        <v>32</v>
      </c>
      <c r="B300" t="n">
        <v>87.84</v>
      </c>
      <c r="C300">
        <f>C292+A300*1024*C290</f>
        <v/>
      </c>
      <c r="D300">
        <f>B300/C300</f>
        <v/>
      </c>
      <c r="E300" t="n">
        <v>0.5600000000000001</v>
      </c>
      <c r="F300">
        <f>A300*1024/(C300*0.000001)/1000000000*C291</f>
        <v/>
      </c>
      <c r="G300">
        <f>E300/F300</f>
        <v/>
      </c>
    </row>
    <row r="301">
      <c r="A301" t="n">
        <v>64</v>
      </c>
      <c r="B301" t="n">
        <v>98.76000000000001</v>
      </c>
      <c r="C301">
        <f>C292+A301*1024*C290</f>
        <v/>
      </c>
      <c r="D301">
        <f>B301/C301</f>
        <v/>
      </c>
      <c r="E301" t="n">
        <v>1</v>
      </c>
      <c r="F301">
        <f>A301*1024/(C301*0.000001)/1000000000*C291</f>
        <v/>
      </c>
      <c r="G301">
        <f>E301/F301</f>
        <v/>
      </c>
    </row>
    <row r="302">
      <c r="A302" t="n">
        <v>128</v>
      </c>
      <c r="B302" t="n">
        <v>118.14</v>
      </c>
      <c r="C302">
        <f>C292+A302*1024*C290</f>
        <v/>
      </c>
      <c r="D302">
        <f>B302/C302</f>
        <v/>
      </c>
      <c r="E302" t="n">
        <v>1.66</v>
      </c>
      <c r="F302">
        <f>A302*1024/(C302*0.000001)/1000000000*C291</f>
        <v/>
      </c>
      <c r="G302">
        <f>E302/F302</f>
        <v/>
      </c>
    </row>
    <row r="303">
      <c r="A303" t="n">
        <v>256</v>
      </c>
      <c r="B303" t="n">
        <v>163.93</v>
      </c>
      <c r="C303">
        <f>C292+A303*1024*C290</f>
        <v/>
      </c>
      <c r="D303">
        <f>B303/C303</f>
        <v/>
      </c>
      <c r="E303" t="n">
        <v>2.4</v>
      </c>
      <c r="F303">
        <f>A303*1024/(C303*0.000001)/1000000000*C291</f>
        <v/>
      </c>
      <c r="G303">
        <f>E303/F303</f>
        <v/>
      </c>
    </row>
    <row r="304">
      <c r="A304" t="n">
        <v>512</v>
      </c>
      <c r="B304" t="n">
        <v>240.75</v>
      </c>
      <c r="C304">
        <f>C292+A304*1024*C290</f>
        <v/>
      </c>
      <c r="D304">
        <f>B304/C304</f>
        <v/>
      </c>
      <c r="E304" t="n">
        <v>3.27</v>
      </c>
      <c r="F304">
        <f>A304*1024/(C304*0.000001)/1000000000*C291</f>
        <v/>
      </c>
      <c r="G304">
        <f>E304/F304</f>
        <v/>
      </c>
    </row>
    <row r="305">
      <c r="A305" t="n">
        <v>1024</v>
      </c>
      <c r="B305" t="n">
        <v>441.53</v>
      </c>
      <c r="C305">
        <f>C292+A305*1024*C290</f>
        <v/>
      </c>
      <c r="D305">
        <f>B305/C305</f>
        <v/>
      </c>
      <c r="E305" t="n">
        <v>3.56</v>
      </c>
      <c r="F305">
        <f>A305*1024/(C305*0.000001)/1000000000*C291</f>
        <v/>
      </c>
      <c r="G305">
        <f>E305/F305</f>
        <v/>
      </c>
    </row>
    <row r="306">
      <c r="A306" t="n">
        <v>2048</v>
      </c>
      <c r="B306" t="n">
        <v>876.1900000000001</v>
      </c>
      <c r="C306">
        <f>C292+A306*1024*C290</f>
        <v/>
      </c>
      <c r="D306">
        <f>B306/C306</f>
        <v/>
      </c>
      <c r="E306" t="n">
        <v>3.59</v>
      </c>
      <c r="F306">
        <f>A306*1024/(C306*0.000001)/1000000000*C291</f>
        <v/>
      </c>
      <c r="G306">
        <f>E306/F306</f>
        <v/>
      </c>
    </row>
    <row r="307">
      <c r="A307" t="n">
        <v>4096</v>
      </c>
      <c r="B307" t="n">
        <v>1689.98</v>
      </c>
      <c r="C307">
        <f>C292+A307*1024*C290</f>
        <v/>
      </c>
      <c r="D307">
        <f>B307/C307</f>
        <v/>
      </c>
      <c r="E307" t="n">
        <v>3.72</v>
      </c>
      <c r="F307">
        <f>A307*1024/(C307*0.000001)/1000000000*C291</f>
        <v/>
      </c>
      <c r="G307">
        <f>E307/F307</f>
        <v/>
      </c>
    </row>
    <row r="308">
      <c r="A308" t="n">
        <v>8192</v>
      </c>
      <c r="B308" t="n">
        <v>3301.07</v>
      </c>
      <c r="C308">
        <f>C292+A308*1024*C290</f>
        <v/>
      </c>
      <c r="D308">
        <f>B308/C308</f>
        <v/>
      </c>
      <c r="E308" t="n">
        <v>3.81</v>
      </c>
      <c r="F308">
        <f>A308*1024/(C308*0.000001)/1000000000*C291</f>
        <v/>
      </c>
      <c r="G308">
        <f>E308/F308</f>
        <v/>
      </c>
    </row>
    <row r="309">
      <c r="A309" t="n">
        <v>16384</v>
      </c>
      <c r="B309" t="n">
        <v>6474.18</v>
      </c>
      <c r="C309">
        <f>C292+A309*1024*C290</f>
        <v/>
      </c>
      <c r="D309">
        <f>B309/C309</f>
        <v/>
      </c>
      <c r="E309" t="n">
        <v>3.89</v>
      </c>
      <c r="F309">
        <f>A309*1024/(C309*0.000001)/1000000000*C291</f>
        <v/>
      </c>
      <c r="G309">
        <f>E309/F309</f>
        <v/>
      </c>
    </row>
    <row r="310">
      <c r="A310" t="n">
        <v>32768</v>
      </c>
      <c r="B310" t="n">
        <v>12820.2</v>
      </c>
      <c r="C310">
        <f>C292+A310*1024*C290</f>
        <v/>
      </c>
      <c r="D310">
        <f>B310/C310</f>
        <v/>
      </c>
      <c r="E310" t="n">
        <v>3.93</v>
      </c>
      <c r="F310">
        <f>A310*1024/(C310*0.000001)/1000000000*C291</f>
        <v/>
      </c>
      <c r="G310">
        <f>E310/F310</f>
        <v/>
      </c>
    </row>
    <row r="311">
      <c r="A311" t="n">
        <v>65536</v>
      </c>
      <c r="B311" t="n">
        <v>25473.8</v>
      </c>
      <c r="C311">
        <f>C292+A311*1024*C290</f>
        <v/>
      </c>
      <c r="D311">
        <f>B311/C311</f>
        <v/>
      </c>
      <c r="E311" t="n">
        <v>3.95</v>
      </c>
      <c r="F311">
        <f>A311*1024/(C311*0.000001)/1000000000*C291</f>
        <v/>
      </c>
      <c r="G311">
        <f>E311/F311</f>
        <v/>
      </c>
    </row>
    <row r="312">
      <c r="A312" t="n">
        <v>131072</v>
      </c>
      <c r="B312" t="n">
        <v>50820.7</v>
      </c>
      <c r="C312">
        <f>C292+A312*1024*C290</f>
        <v/>
      </c>
      <c r="D312">
        <f>B312/C312</f>
        <v/>
      </c>
      <c r="E312" t="n">
        <v>3.96</v>
      </c>
      <c r="F312">
        <f>A312*1024/(C312*0.000001)/1000000000*C291</f>
        <v/>
      </c>
      <c r="G312">
        <f>E312/F312</f>
        <v/>
      </c>
    </row>
    <row r="313">
      <c r="A313" t="n">
        <v>262144</v>
      </c>
      <c r="B313" t="n">
        <v>101537</v>
      </c>
      <c r="C313">
        <f>C292+A313*1024*C290</f>
        <v/>
      </c>
      <c r="D313">
        <f>B313/C313</f>
        <v/>
      </c>
      <c r="E313" t="n">
        <v>3.97</v>
      </c>
      <c r="F313">
        <f>A313*1024/(C313*0.000001)/1000000000*C291</f>
        <v/>
      </c>
      <c r="G313">
        <f>E313/F313</f>
        <v/>
      </c>
    </row>
    <row r="314">
      <c r="A314" t="n">
        <v>524288</v>
      </c>
      <c r="B314" t="n">
        <v>202834</v>
      </c>
      <c r="C314">
        <f>C292+A314*1024*C290</f>
        <v/>
      </c>
      <c r="D314">
        <f>B314/C314</f>
        <v/>
      </c>
      <c r="E314" t="n">
        <v>3.97</v>
      </c>
      <c r="F314">
        <f>A314*1024/(C314*0.000001)/1000000000*C291</f>
        <v/>
      </c>
      <c r="G314">
        <f>E314/F314</f>
        <v/>
      </c>
    </row>
    <row r="315">
      <c r="A315" t="n">
        <v>1048576</v>
      </c>
      <c r="B315" t="n">
        <v>405504</v>
      </c>
      <c r="C315">
        <f>C292+A315*1024*C290</f>
        <v/>
      </c>
      <c r="D315">
        <f>B315/C315</f>
        <v/>
      </c>
      <c r="E315" t="n">
        <v>3.97</v>
      </c>
      <c r="F315">
        <f>A315*1024/(C315*0.000001)/1000000000*C291</f>
        <v/>
      </c>
      <c r="G315">
        <f>E315/F315</f>
        <v/>
      </c>
    </row>
    <row r="316"/>
    <row r="317">
      <c r="A317" t="inlineStr">
        <is>
          <t>Nodes: 4, Protocol: LL, Channels: 16</t>
        </is>
      </c>
    </row>
    <row r="318">
      <c r="A318" t="inlineStr">
        <is>
          <t>Parameter</t>
        </is>
      </c>
      <c r="B318" t="inlineStr">
        <is>
          <t>Formula</t>
        </is>
      </c>
      <c r="C318" t="inlineStr">
        <is>
          <t>Value</t>
        </is>
      </c>
    </row>
    <row r="319">
      <c r="A319" t="inlineStr">
        <is>
          <t>n</t>
        </is>
      </c>
      <c r="B319" t="inlineStr">
        <is>
          <t>nodes on tree</t>
        </is>
      </c>
      <c r="C319" t="n">
        <v>4</v>
      </c>
    </row>
    <row r="320">
      <c r="A320" t="inlineStr">
        <is>
          <t>nch</t>
        </is>
      </c>
      <c r="B320" t="inlineStr">
        <is>
          <t>channels</t>
        </is>
      </c>
      <c r="C320" t="n">
        <v>16</v>
      </c>
    </row>
    <row r="321">
      <c r="A321" t="inlineStr">
        <is>
          <t>a</t>
        </is>
      </c>
      <c r="B321" t="inlineStr">
        <is>
          <t>RTT (us)</t>
        </is>
      </c>
      <c r="C321" t="n">
        <v>25.8107</v>
      </c>
    </row>
    <row r="322">
      <c r="A322" t="inlineStr">
        <is>
          <t>NIC_BW</t>
        </is>
      </c>
      <c r="B322" t="inlineStr">
        <is>
          <t>bytes/us</t>
        </is>
      </c>
      <c r="C322" t="n">
        <v>48750</v>
      </c>
    </row>
    <row r="323">
      <c r="A323" t="inlineStr">
        <is>
          <t>NIC_BW_REAL</t>
        </is>
      </c>
      <c r="B323" t="inlineStr">
        <is>
          <t>(NIC_BW/2)/2</t>
        </is>
      </c>
      <c r="C323">
        <f>(C322/2)/2</f>
        <v/>
      </c>
    </row>
    <row r="324">
      <c r="A324" t="inlineStr">
        <is>
          <t>G</t>
        </is>
      </c>
      <c r="B324" t="inlineStr">
        <is>
          <t>1/NIC_BW_REAL</t>
        </is>
      </c>
      <c r="C324">
        <f>1/C323</f>
        <v/>
      </c>
    </row>
    <row r="325">
      <c r="A325" t="inlineStr">
        <is>
          <t>busbw_factor</t>
        </is>
      </c>
      <c r="B325" t="inlineStr">
        <is>
          <t>2*(n-1)/n</t>
        </is>
      </c>
      <c r="C325">
        <f>2*(C319-1)/C319</f>
        <v/>
      </c>
    </row>
    <row r="326">
      <c r="A326" t="inlineStr">
        <is>
          <t>fixed_overhead</t>
        </is>
      </c>
      <c r="B326" t="inlineStr">
        <is>
          <t>(2*LOG2(n)+1)*a/2</t>
        </is>
      </c>
      <c r="C326">
        <f>(2*LOG(C319,2)+1)*C321/2</f>
        <v/>
      </c>
    </row>
    <row r="327"/>
    <row r="328">
      <c r="A328" t="inlineStr">
        <is>
          <t>size_KB</t>
        </is>
      </c>
      <c r="B328" t="inlineStr">
        <is>
          <t>Actual Time (us)</t>
        </is>
      </c>
      <c r="C328" t="inlineStr">
        <is>
          <t>Roofline Time (us)</t>
        </is>
      </c>
      <c r="D328" t="inlineStr">
        <is>
          <t>Actual/Roofline</t>
        </is>
      </c>
      <c r="E328" t="inlineStr">
        <is>
          <t>Actual busBW (GB/s)</t>
        </is>
      </c>
      <c r="F328" t="inlineStr">
        <is>
          <t>Roofline busBW (GB/s)</t>
        </is>
      </c>
      <c r="G328" t="inlineStr">
        <is>
          <t>Meas/Roof busBW</t>
        </is>
      </c>
    </row>
    <row r="329">
      <c r="A329" t="n">
        <v>1</v>
      </c>
      <c r="B329" t="n">
        <v>64.28</v>
      </c>
      <c r="C329">
        <f>C326+A329*1024*C324</f>
        <v/>
      </c>
      <c r="D329">
        <f>B329/C329</f>
        <v/>
      </c>
      <c r="E329" t="n">
        <v>0.02</v>
      </c>
      <c r="F329">
        <f>A329*1024/(C329*0.000001)/1000000000*C325</f>
        <v/>
      </c>
      <c r="G329">
        <f>E329/F329</f>
        <v/>
      </c>
    </row>
    <row r="330">
      <c r="A330" t="n">
        <v>2</v>
      </c>
      <c r="B330" t="n">
        <v>67.87</v>
      </c>
      <c r="C330">
        <f>C326+A330*1024*C324</f>
        <v/>
      </c>
      <c r="D330">
        <f>B330/C330</f>
        <v/>
      </c>
      <c r="E330" t="n">
        <v>0.05</v>
      </c>
      <c r="F330">
        <f>A330*1024/(C330*0.000001)/1000000000*C325</f>
        <v/>
      </c>
      <c r="G330">
        <f>E330/F330</f>
        <v/>
      </c>
    </row>
    <row r="331">
      <c r="A331" t="n">
        <v>4</v>
      </c>
      <c r="B331" t="n">
        <v>77.06</v>
      </c>
      <c r="C331">
        <f>C326+A331*1024*C324</f>
        <v/>
      </c>
      <c r="D331">
        <f>B331/C331</f>
        <v/>
      </c>
      <c r="E331" t="n">
        <v>0.08</v>
      </c>
      <c r="F331">
        <f>A331*1024/(C331*0.000001)/1000000000*C325</f>
        <v/>
      </c>
      <c r="G331">
        <f>E331/F331</f>
        <v/>
      </c>
    </row>
    <row r="332">
      <c r="A332" t="n">
        <v>8</v>
      </c>
      <c r="B332" t="n">
        <v>79.90000000000001</v>
      </c>
      <c r="C332">
        <f>C326+A332*1024*C324</f>
        <v/>
      </c>
      <c r="D332">
        <f>B332/C332</f>
        <v/>
      </c>
      <c r="E332" t="n">
        <v>0.15</v>
      </c>
      <c r="F332">
        <f>A332*1024/(C332*0.000001)/1000000000*C325</f>
        <v/>
      </c>
      <c r="G332">
        <f>E332/F332</f>
        <v/>
      </c>
    </row>
    <row r="333">
      <c r="A333" t="n">
        <v>16</v>
      </c>
      <c r="B333" t="n">
        <v>81.03</v>
      </c>
      <c r="C333">
        <f>C326+A333*1024*C324</f>
        <v/>
      </c>
      <c r="D333">
        <f>B333/C333</f>
        <v/>
      </c>
      <c r="E333" t="n">
        <v>0.3</v>
      </c>
      <c r="F333">
        <f>A333*1024/(C333*0.000001)/1000000000*C325</f>
        <v/>
      </c>
      <c r="G333">
        <f>E333/F333</f>
        <v/>
      </c>
    </row>
    <row r="334">
      <c r="A334" t="n">
        <v>32</v>
      </c>
      <c r="B334" t="n">
        <v>90.08</v>
      </c>
      <c r="C334">
        <f>C326+A334*1024*C324</f>
        <v/>
      </c>
      <c r="D334">
        <f>B334/C334</f>
        <v/>
      </c>
      <c r="E334" t="n">
        <v>0.55</v>
      </c>
      <c r="F334">
        <f>A334*1024/(C334*0.000001)/1000000000*C325</f>
        <v/>
      </c>
      <c r="G334">
        <f>E334/F334</f>
        <v/>
      </c>
    </row>
    <row r="335">
      <c r="A335" t="n">
        <v>64</v>
      </c>
      <c r="B335" t="n">
        <v>112.65</v>
      </c>
      <c r="C335">
        <f>C326+A335*1024*C324</f>
        <v/>
      </c>
      <c r="D335">
        <f>B335/C335</f>
        <v/>
      </c>
      <c r="E335" t="n">
        <v>0.87</v>
      </c>
      <c r="F335">
        <f>A335*1024/(C335*0.000001)/1000000000*C325</f>
        <v/>
      </c>
      <c r="G335">
        <f>E335/F335</f>
        <v/>
      </c>
    </row>
    <row r="336">
      <c r="A336" t="n">
        <v>128</v>
      </c>
      <c r="B336" t="n">
        <v>126.78</v>
      </c>
      <c r="C336">
        <f>C326+A336*1024*C324</f>
        <v/>
      </c>
      <c r="D336">
        <f>B336/C336</f>
        <v/>
      </c>
      <c r="E336" t="n">
        <v>1.55</v>
      </c>
      <c r="F336">
        <f>A336*1024/(C336*0.000001)/1000000000*C325</f>
        <v/>
      </c>
      <c r="G336">
        <f>E336/F336</f>
        <v/>
      </c>
    </row>
    <row r="337">
      <c r="A337" t="n">
        <v>256</v>
      </c>
      <c r="B337" t="n">
        <v>163.62</v>
      </c>
      <c r="C337">
        <f>C326+A337*1024*C324</f>
        <v/>
      </c>
      <c r="D337">
        <f>B337/C337</f>
        <v/>
      </c>
      <c r="E337" t="n">
        <v>2.4</v>
      </c>
      <c r="F337">
        <f>A337*1024/(C337*0.000001)/1000000000*C325</f>
        <v/>
      </c>
      <c r="G337">
        <f>E337/F337</f>
        <v/>
      </c>
    </row>
    <row r="338">
      <c r="A338" t="n">
        <v>512</v>
      </c>
      <c r="B338" t="n">
        <v>265.19</v>
      </c>
      <c r="C338">
        <f>C326+A338*1024*C324</f>
        <v/>
      </c>
      <c r="D338">
        <f>B338/C338</f>
        <v/>
      </c>
      <c r="E338" t="n">
        <v>2.97</v>
      </c>
      <c r="F338">
        <f>A338*1024/(C338*0.000001)/1000000000*C325</f>
        <v/>
      </c>
      <c r="G338">
        <f>E338/F338</f>
        <v/>
      </c>
    </row>
    <row r="339">
      <c r="A339" t="n">
        <v>1024</v>
      </c>
      <c r="B339" t="n">
        <v>468.75</v>
      </c>
      <c r="C339">
        <f>C326+A339*1024*C324</f>
        <v/>
      </c>
      <c r="D339">
        <f>B339/C339</f>
        <v/>
      </c>
      <c r="E339" t="n">
        <v>3.36</v>
      </c>
      <c r="F339">
        <f>A339*1024/(C339*0.000001)/1000000000*C325</f>
        <v/>
      </c>
      <c r="G339">
        <f>E339/F339</f>
        <v/>
      </c>
    </row>
    <row r="340">
      <c r="A340" t="n">
        <v>2048</v>
      </c>
      <c r="B340" t="n">
        <v>914.42</v>
      </c>
      <c r="C340">
        <f>C326+A340*1024*C324</f>
        <v/>
      </c>
      <c r="D340">
        <f>B340/C340</f>
        <v/>
      </c>
      <c r="E340" t="n">
        <v>3.44</v>
      </c>
      <c r="F340">
        <f>A340*1024/(C340*0.000001)/1000000000*C325</f>
        <v/>
      </c>
      <c r="G340">
        <f>E340/F340</f>
        <v/>
      </c>
    </row>
    <row r="341">
      <c r="A341" t="n">
        <v>4096</v>
      </c>
      <c r="B341" t="n">
        <v>1748.31</v>
      </c>
      <c r="C341">
        <f>C326+A341*1024*C324</f>
        <v/>
      </c>
      <c r="D341">
        <f>B341/C341</f>
        <v/>
      </c>
      <c r="E341" t="n">
        <v>3.6</v>
      </c>
      <c r="F341">
        <f>A341*1024/(C341*0.000001)/1000000000*C325</f>
        <v/>
      </c>
      <c r="G341">
        <f>E341/F341</f>
        <v/>
      </c>
    </row>
    <row r="342">
      <c r="A342" t="n">
        <v>8192</v>
      </c>
      <c r="B342" t="n">
        <v>3516.19</v>
      </c>
      <c r="C342">
        <f>C326+A342*1024*C324</f>
        <v/>
      </c>
      <c r="D342">
        <f>B342/C342</f>
        <v/>
      </c>
      <c r="E342" t="n">
        <v>3.58</v>
      </c>
      <c r="F342">
        <f>A342*1024/(C342*0.000001)/1000000000*C325</f>
        <v/>
      </c>
      <c r="G342">
        <f>E342/F342</f>
        <v/>
      </c>
    </row>
    <row r="343">
      <c r="A343" t="n">
        <v>16384</v>
      </c>
      <c r="B343" t="n">
        <v>6972.71</v>
      </c>
      <c r="C343">
        <f>C326+A343*1024*C324</f>
        <v/>
      </c>
      <c r="D343">
        <f>B343/C343</f>
        <v/>
      </c>
      <c r="E343" t="n">
        <v>3.61</v>
      </c>
      <c r="F343">
        <f>A343*1024/(C343*0.000001)/1000000000*C325</f>
        <v/>
      </c>
      <c r="G343">
        <f>E343/F343</f>
        <v/>
      </c>
    </row>
    <row r="344">
      <c r="A344" t="n">
        <v>32768</v>
      </c>
      <c r="B344" t="n">
        <v>13861.1</v>
      </c>
      <c r="C344">
        <f>C326+A344*1024*C324</f>
        <v/>
      </c>
      <c r="D344">
        <f>B344/C344</f>
        <v/>
      </c>
      <c r="E344" t="n">
        <v>3.63</v>
      </c>
      <c r="F344">
        <f>A344*1024/(C344*0.000001)/1000000000*C325</f>
        <v/>
      </c>
      <c r="G344">
        <f>E344/F344</f>
        <v/>
      </c>
    </row>
    <row r="345">
      <c r="A345" t="n">
        <v>65536</v>
      </c>
      <c r="B345" t="n">
        <v>27407.9</v>
      </c>
      <c r="C345">
        <f>C326+A345*1024*C324</f>
        <v/>
      </c>
      <c r="D345">
        <f>B345/C345</f>
        <v/>
      </c>
      <c r="E345" t="n">
        <v>3.67</v>
      </c>
      <c r="F345">
        <f>A345*1024/(C345*0.000001)/1000000000*C325</f>
        <v/>
      </c>
      <c r="G345">
        <f>E345/F345</f>
        <v/>
      </c>
    </row>
    <row r="346">
      <c r="A346" t="n">
        <v>131072</v>
      </c>
      <c r="B346" t="n">
        <v>54535.6</v>
      </c>
      <c r="C346">
        <f>C326+A346*1024*C324</f>
        <v/>
      </c>
      <c r="D346">
        <f>B346/C346</f>
        <v/>
      </c>
      <c r="E346" t="n">
        <v>3.69</v>
      </c>
      <c r="F346">
        <f>A346*1024/(C346*0.000001)/1000000000*C325</f>
        <v/>
      </c>
      <c r="G346">
        <f>E346/F346</f>
        <v/>
      </c>
    </row>
    <row r="347">
      <c r="A347" t="n">
        <v>262144</v>
      </c>
      <c r="B347" t="n">
        <v>108107</v>
      </c>
      <c r="C347">
        <f>C326+A347*1024*C324</f>
        <v/>
      </c>
      <c r="D347">
        <f>B347/C347</f>
        <v/>
      </c>
      <c r="E347" t="n">
        <v>3.72</v>
      </c>
      <c r="F347">
        <f>A347*1024/(C347*0.000001)/1000000000*C325</f>
        <v/>
      </c>
      <c r="G347">
        <f>E347/F347</f>
        <v/>
      </c>
    </row>
    <row r="348">
      <c r="A348" t="n">
        <v>524288</v>
      </c>
      <c r="B348" t="n">
        <v>216701</v>
      </c>
      <c r="C348">
        <f>C326+A348*1024*C324</f>
        <v/>
      </c>
      <c r="D348">
        <f>B348/C348</f>
        <v/>
      </c>
      <c r="E348" t="n">
        <v>3.72</v>
      </c>
      <c r="F348">
        <f>A348*1024/(C348*0.000001)/1000000000*C325</f>
        <v/>
      </c>
      <c r="G348">
        <f>E348/F348</f>
        <v/>
      </c>
    </row>
    <row r="349">
      <c r="A349" t="n">
        <v>1048576</v>
      </c>
      <c r="B349" t="n">
        <v>433260</v>
      </c>
      <c r="C349">
        <f>C326+A349*1024*C324</f>
        <v/>
      </c>
      <c r="D349">
        <f>B349/C349</f>
        <v/>
      </c>
      <c r="E349" t="n">
        <v>3.72</v>
      </c>
      <c r="F349">
        <f>A349*1024/(C349*0.000001)/1000000000*C325</f>
        <v/>
      </c>
      <c r="G349">
        <f>E349/F349</f>
        <v/>
      </c>
    </row>
    <row r="350"/>
    <row r="351">
      <c r="A351" t="inlineStr">
        <is>
          <t>Nodes: 4, Protocol: LL128, Channels: 1</t>
        </is>
      </c>
    </row>
    <row r="352">
      <c r="A352" t="inlineStr">
        <is>
          <t>Parameter</t>
        </is>
      </c>
      <c r="B352" t="inlineStr">
        <is>
          <t>Formula</t>
        </is>
      </c>
      <c r="C352" t="inlineStr">
        <is>
          <t>Value</t>
        </is>
      </c>
    </row>
    <row r="353">
      <c r="A353" t="inlineStr">
        <is>
          <t>n</t>
        </is>
      </c>
      <c r="B353" t="inlineStr">
        <is>
          <t>nodes on tree</t>
        </is>
      </c>
      <c r="C353" t="n">
        <v>4</v>
      </c>
    </row>
    <row r="354">
      <c r="A354" t="inlineStr">
        <is>
          <t>nch</t>
        </is>
      </c>
      <c r="B354" t="inlineStr">
        <is>
          <t>channels</t>
        </is>
      </c>
      <c r="C354" t="n">
        <v>1</v>
      </c>
    </row>
    <row r="355">
      <c r="A355" t="inlineStr">
        <is>
          <t>a</t>
        </is>
      </c>
      <c r="B355" t="inlineStr">
        <is>
          <t>RTT (us)</t>
        </is>
      </c>
      <c r="C355" t="n">
        <v>25.8107</v>
      </c>
    </row>
    <row r="356">
      <c r="A356" t="inlineStr">
        <is>
          <t>NIC_BW</t>
        </is>
      </c>
      <c r="B356" t="inlineStr">
        <is>
          <t>bytes/us</t>
        </is>
      </c>
      <c r="C356" t="n">
        <v>48750</v>
      </c>
    </row>
    <row r="357">
      <c r="A357" t="inlineStr">
        <is>
          <t>NIC_BW_REAL</t>
        </is>
      </c>
      <c r="B357" t="inlineStr">
        <is>
          <t>(NIC_BW*15/16)/3</t>
        </is>
      </c>
      <c r="C357">
        <f>(C356*15/16)/3</f>
        <v/>
      </c>
    </row>
    <row r="358">
      <c r="A358" t="inlineStr">
        <is>
          <t>G</t>
        </is>
      </c>
      <c r="B358" t="inlineStr">
        <is>
          <t>1/NIC_BW_REAL</t>
        </is>
      </c>
      <c r="C358">
        <f>1/C357</f>
        <v/>
      </c>
    </row>
    <row r="359">
      <c r="A359" t="inlineStr">
        <is>
          <t>busbw_factor</t>
        </is>
      </c>
      <c r="B359" t="inlineStr">
        <is>
          <t>2*(n-1)/n</t>
        </is>
      </c>
      <c r="C359">
        <f>2*(C353-1)/C353</f>
        <v/>
      </c>
    </row>
    <row r="360">
      <c r="A360" t="inlineStr">
        <is>
          <t>fixed_overhead</t>
        </is>
      </c>
      <c r="B360" t="inlineStr">
        <is>
          <t>(2*LOG2(n)+1)*a/2</t>
        </is>
      </c>
      <c r="C360">
        <f>(2*LOG(C353,2)+1)*C355/2</f>
        <v/>
      </c>
    </row>
    <row r="361"/>
    <row r="362">
      <c r="A362" t="inlineStr">
        <is>
          <t>size_KB</t>
        </is>
      </c>
      <c r="B362" t="inlineStr">
        <is>
          <t>Actual Time (us)</t>
        </is>
      </c>
      <c r="C362" t="inlineStr">
        <is>
          <t>Roofline Time (us)</t>
        </is>
      </c>
      <c r="D362" t="inlineStr">
        <is>
          <t>Actual/Roofline</t>
        </is>
      </c>
      <c r="E362" t="inlineStr">
        <is>
          <t>Actual busBW (GB/s)</t>
        </is>
      </c>
      <c r="F362" t="inlineStr">
        <is>
          <t>Roofline busBW (GB/s)</t>
        </is>
      </c>
      <c r="G362" t="inlineStr">
        <is>
          <t>Meas/Roof busBW</t>
        </is>
      </c>
    </row>
    <row r="363">
      <c r="A363" t="n">
        <v>1</v>
      </c>
      <c r="B363" t="n">
        <v>77.29000000000001</v>
      </c>
      <c r="C363">
        <f>C360+A363*1024*C358</f>
        <v/>
      </c>
      <c r="D363">
        <f>B363/C363</f>
        <v/>
      </c>
      <c r="E363" t="n">
        <v>0.02</v>
      </c>
      <c r="F363">
        <f>A363*1024/(C363*0.000001)/1000000000*C359</f>
        <v/>
      </c>
      <c r="G363">
        <f>E363/F363</f>
        <v/>
      </c>
    </row>
    <row r="364">
      <c r="A364" t="n">
        <v>2</v>
      </c>
      <c r="B364" t="n">
        <v>80</v>
      </c>
      <c r="C364">
        <f>C360+A364*1024*C358</f>
        <v/>
      </c>
      <c r="D364">
        <f>B364/C364</f>
        <v/>
      </c>
      <c r="E364" t="n">
        <v>0.04</v>
      </c>
      <c r="F364">
        <f>A364*1024/(C364*0.000001)/1000000000*C359</f>
        <v/>
      </c>
      <c r="G364">
        <f>E364/F364</f>
        <v/>
      </c>
    </row>
    <row r="365">
      <c r="A365" t="n">
        <v>4</v>
      </c>
      <c r="B365" t="n">
        <v>84.31999999999999</v>
      </c>
      <c r="C365">
        <f>C360+A365*1024*C358</f>
        <v/>
      </c>
      <c r="D365">
        <f>B365/C365</f>
        <v/>
      </c>
      <c r="E365" t="n">
        <v>0.07000000000000001</v>
      </c>
      <c r="F365">
        <f>A365*1024/(C365*0.000001)/1000000000*C359</f>
        <v/>
      </c>
      <c r="G365">
        <f>E365/F365</f>
        <v/>
      </c>
    </row>
    <row r="366">
      <c r="A366" t="n">
        <v>8</v>
      </c>
      <c r="B366" t="n">
        <v>90.70999999999999</v>
      </c>
      <c r="C366">
        <f>C360+A366*1024*C358</f>
        <v/>
      </c>
      <c r="D366">
        <f>B366/C366</f>
        <v/>
      </c>
      <c r="E366" t="n">
        <v>0.14</v>
      </c>
      <c r="F366">
        <f>A366*1024/(C366*0.000001)/1000000000*C359</f>
        <v/>
      </c>
      <c r="G366">
        <f>E366/F366</f>
        <v/>
      </c>
    </row>
    <row r="367">
      <c r="A367" t="n">
        <v>16</v>
      </c>
      <c r="B367" t="n">
        <v>94.59</v>
      </c>
      <c r="C367">
        <f>C360+A367*1024*C358</f>
        <v/>
      </c>
      <c r="D367">
        <f>B367/C367</f>
        <v/>
      </c>
      <c r="E367" t="n">
        <v>0.26</v>
      </c>
      <c r="F367">
        <f>A367*1024/(C367*0.000001)/1000000000*C359</f>
        <v/>
      </c>
      <c r="G367">
        <f>E367/F367</f>
        <v/>
      </c>
    </row>
    <row r="368">
      <c r="A368" t="n">
        <v>32</v>
      </c>
      <c r="B368" t="n">
        <v>99.98999999999999</v>
      </c>
      <c r="C368">
        <f>C360+A368*1024*C358</f>
        <v/>
      </c>
      <c r="D368">
        <f>B368/C368</f>
        <v/>
      </c>
      <c r="E368" t="n">
        <v>0.49</v>
      </c>
      <c r="F368">
        <f>A368*1024/(C368*0.000001)/1000000000*C359</f>
        <v/>
      </c>
      <c r="G368">
        <f>E368/F368</f>
        <v/>
      </c>
    </row>
    <row r="369">
      <c r="A369" t="n">
        <v>64</v>
      </c>
      <c r="B369" t="n">
        <v>107.18</v>
      </c>
      <c r="C369">
        <f>C360+A369*1024*C358</f>
        <v/>
      </c>
      <c r="D369">
        <f>B369/C369</f>
        <v/>
      </c>
      <c r="E369" t="n">
        <v>0.92</v>
      </c>
      <c r="F369">
        <f>A369*1024/(C369*0.000001)/1000000000*C359</f>
        <v/>
      </c>
      <c r="G369">
        <f>E369/F369</f>
        <v/>
      </c>
    </row>
    <row r="370">
      <c r="A370" t="n">
        <v>128</v>
      </c>
      <c r="B370" t="n">
        <v>122.59</v>
      </c>
      <c r="C370">
        <f>C360+A370*1024*C358</f>
        <v/>
      </c>
      <c r="D370">
        <f>B370/C370</f>
        <v/>
      </c>
      <c r="E370" t="n">
        <v>1.6</v>
      </c>
      <c r="F370">
        <f>A370*1024/(C370*0.000001)/1000000000*C359</f>
        <v/>
      </c>
      <c r="G370">
        <f>E370/F370</f>
        <v/>
      </c>
    </row>
    <row r="371">
      <c r="A371" t="n">
        <v>256</v>
      </c>
      <c r="B371" t="n">
        <v>169.15</v>
      </c>
      <c r="C371">
        <f>C360+A371*1024*C358</f>
        <v/>
      </c>
      <c r="D371">
        <f>B371/C371</f>
        <v/>
      </c>
      <c r="E371" t="n">
        <v>2.32</v>
      </c>
      <c r="F371">
        <f>A371*1024/(C371*0.000001)/1000000000*C359</f>
        <v/>
      </c>
      <c r="G371">
        <f>E371/F371</f>
        <v/>
      </c>
    </row>
    <row r="372">
      <c r="A372" t="n">
        <v>512</v>
      </c>
      <c r="B372" t="n">
        <v>271.01</v>
      </c>
      <c r="C372">
        <f>C360+A372*1024*C358</f>
        <v/>
      </c>
      <c r="D372">
        <f>B372/C372</f>
        <v/>
      </c>
      <c r="E372" t="n">
        <v>2.9</v>
      </c>
      <c r="F372">
        <f>A372*1024/(C372*0.000001)/1000000000*C359</f>
        <v/>
      </c>
      <c r="G372">
        <f>E372/F372</f>
        <v/>
      </c>
    </row>
    <row r="373">
      <c r="A373" t="n">
        <v>1024</v>
      </c>
      <c r="B373" t="n">
        <v>460.74</v>
      </c>
      <c r="C373">
        <f>C360+A373*1024*C358</f>
        <v/>
      </c>
      <c r="D373">
        <f>B373/C373</f>
        <v/>
      </c>
      <c r="E373" t="n">
        <v>3.41</v>
      </c>
      <c r="F373">
        <f>A373*1024/(C373*0.000001)/1000000000*C359</f>
        <v/>
      </c>
      <c r="G373">
        <f>E373/F373</f>
        <v/>
      </c>
    </row>
    <row r="374">
      <c r="A374" t="n">
        <v>2048</v>
      </c>
      <c r="B374" t="n">
        <v>525.25</v>
      </c>
      <c r="C374">
        <f>C360+A374*1024*C358</f>
        <v/>
      </c>
      <c r="D374">
        <f>B374/C374</f>
        <v/>
      </c>
      <c r="E374" t="n">
        <v>5.99</v>
      </c>
      <c r="F374">
        <f>A374*1024/(C374*0.000001)/1000000000*C359</f>
        <v/>
      </c>
      <c r="G374">
        <f>E374/F374</f>
        <v/>
      </c>
    </row>
    <row r="375">
      <c r="A375" t="n">
        <v>4096</v>
      </c>
      <c r="B375" t="n">
        <v>788.05</v>
      </c>
      <c r="C375">
        <f>C360+A375*1024*C358</f>
        <v/>
      </c>
      <c r="D375">
        <f>B375/C375</f>
        <v/>
      </c>
      <c r="E375" t="n">
        <v>7.98</v>
      </c>
      <c r="F375">
        <f>A375*1024/(C375*0.000001)/1000000000*C359</f>
        <v/>
      </c>
      <c r="G375">
        <f>E375/F375</f>
        <v/>
      </c>
    </row>
    <row r="376">
      <c r="A376" t="n">
        <v>8192</v>
      </c>
      <c r="B376" t="n">
        <v>1474.29</v>
      </c>
      <c r="C376">
        <f>C360+A376*1024*C358</f>
        <v/>
      </c>
      <c r="D376">
        <f>B376/C376</f>
        <v/>
      </c>
      <c r="E376" t="n">
        <v>8.529999999999999</v>
      </c>
      <c r="F376">
        <f>A376*1024/(C376*0.000001)/1000000000*C359</f>
        <v/>
      </c>
      <c r="G376">
        <f>E376/F376</f>
        <v/>
      </c>
    </row>
    <row r="377">
      <c r="A377" t="n">
        <v>16384</v>
      </c>
      <c r="B377" t="n">
        <v>2843.32</v>
      </c>
      <c r="C377">
        <f>C360+A377*1024*C358</f>
        <v/>
      </c>
      <c r="D377">
        <f>B377/C377</f>
        <v/>
      </c>
      <c r="E377" t="n">
        <v>8.85</v>
      </c>
      <c r="F377">
        <f>A377*1024/(C377*0.000001)/1000000000*C359</f>
        <v/>
      </c>
      <c r="G377">
        <f>E377/F377</f>
        <v/>
      </c>
    </row>
    <row r="378">
      <c r="A378" t="n">
        <v>32768</v>
      </c>
      <c r="B378" t="n">
        <v>4827.03</v>
      </c>
      <c r="C378">
        <f>C360+A378*1024*C358</f>
        <v/>
      </c>
      <c r="D378">
        <f>B378/C378</f>
        <v/>
      </c>
      <c r="E378" t="n">
        <v>10.43</v>
      </c>
      <c r="F378">
        <f>A378*1024/(C378*0.000001)/1000000000*C359</f>
        <v/>
      </c>
      <c r="G378">
        <f>E378/F378</f>
        <v/>
      </c>
    </row>
    <row r="379">
      <c r="A379" t="n">
        <v>65536</v>
      </c>
      <c r="B379" t="n">
        <v>8991.629999999999</v>
      </c>
      <c r="C379">
        <f>C360+A379*1024*C358</f>
        <v/>
      </c>
      <c r="D379">
        <f>B379/C379</f>
        <v/>
      </c>
      <c r="E379" t="n">
        <v>11.2</v>
      </c>
      <c r="F379">
        <f>A379*1024/(C379*0.000001)/1000000000*C359</f>
        <v/>
      </c>
      <c r="G379">
        <f>E379/F379</f>
        <v/>
      </c>
    </row>
    <row r="380">
      <c r="A380" t="n">
        <v>131072</v>
      </c>
      <c r="B380" t="n">
        <v>17568</v>
      </c>
      <c r="C380">
        <f>C360+A380*1024*C358</f>
        <v/>
      </c>
      <c r="D380">
        <f>B380/C380</f>
        <v/>
      </c>
      <c r="E380" t="n">
        <v>11.46</v>
      </c>
      <c r="F380">
        <f>A380*1024/(C380*0.000001)/1000000000*C359</f>
        <v/>
      </c>
      <c r="G380">
        <f>E380/F380</f>
        <v/>
      </c>
    </row>
    <row r="381">
      <c r="A381" t="n">
        <v>262144</v>
      </c>
      <c r="B381" t="n">
        <v>34986.1</v>
      </c>
      <c r="C381">
        <f>C360+A381*1024*C358</f>
        <v/>
      </c>
      <c r="D381">
        <f>B381/C381</f>
        <v/>
      </c>
      <c r="E381" t="n">
        <v>11.51</v>
      </c>
      <c r="F381">
        <f>A381*1024/(C381*0.000001)/1000000000*C359</f>
        <v/>
      </c>
      <c r="G381">
        <f>E381/F381</f>
        <v/>
      </c>
    </row>
    <row r="382">
      <c r="A382" t="n">
        <v>524288</v>
      </c>
      <c r="B382" t="n">
        <v>69823.8</v>
      </c>
      <c r="C382">
        <f>C360+A382*1024*C358</f>
        <v/>
      </c>
      <c r="D382">
        <f>B382/C382</f>
        <v/>
      </c>
      <c r="E382" t="n">
        <v>11.53</v>
      </c>
      <c r="F382">
        <f>A382*1024/(C382*0.000001)/1000000000*C359</f>
        <v/>
      </c>
      <c r="G382">
        <f>E382/F382</f>
        <v/>
      </c>
    </row>
    <row r="383">
      <c r="A383" t="n">
        <v>1048576</v>
      </c>
      <c r="B383" t="n">
        <v>139489</v>
      </c>
      <c r="C383">
        <f>C360+A383*1024*C358</f>
        <v/>
      </c>
      <c r="D383">
        <f>B383/C383</f>
        <v/>
      </c>
      <c r="E383" t="n">
        <v>11.55</v>
      </c>
      <c r="F383">
        <f>A383*1024/(C383*0.000001)/1000000000*C359</f>
        <v/>
      </c>
      <c r="G383">
        <f>E383/F383</f>
        <v/>
      </c>
    </row>
    <row r="384"/>
    <row r="385">
      <c r="A385" t="inlineStr">
        <is>
          <t>Nodes: 4, Protocol: LL128, Channels: 2</t>
        </is>
      </c>
    </row>
    <row r="386">
      <c r="A386" t="inlineStr">
        <is>
          <t>Parameter</t>
        </is>
      </c>
      <c r="B386" t="inlineStr">
        <is>
          <t>Formula</t>
        </is>
      </c>
      <c r="C386" t="inlineStr">
        <is>
          <t>Value</t>
        </is>
      </c>
    </row>
    <row r="387">
      <c r="A387" t="inlineStr">
        <is>
          <t>n</t>
        </is>
      </c>
      <c r="B387" t="inlineStr">
        <is>
          <t>nodes on tree</t>
        </is>
      </c>
      <c r="C387" t="n">
        <v>4</v>
      </c>
    </row>
    <row r="388">
      <c r="A388" t="inlineStr">
        <is>
          <t>nch</t>
        </is>
      </c>
      <c r="B388" t="inlineStr">
        <is>
          <t>channels</t>
        </is>
      </c>
      <c r="C388" t="n">
        <v>2</v>
      </c>
    </row>
    <row r="389">
      <c r="A389" t="inlineStr">
        <is>
          <t>a</t>
        </is>
      </c>
      <c r="B389" t="inlineStr">
        <is>
          <t>RTT (us)</t>
        </is>
      </c>
      <c r="C389" t="n">
        <v>25.8107</v>
      </c>
    </row>
    <row r="390">
      <c r="A390" t="inlineStr">
        <is>
          <t>NIC_BW</t>
        </is>
      </c>
      <c r="B390" t="inlineStr">
        <is>
          <t>bytes/us</t>
        </is>
      </c>
      <c r="C390" t="n">
        <v>48750</v>
      </c>
    </row>
    <row r="391">
      <c r="A391" t="inlineStr">
        <is>
          <t>NIC_BW_REAL</t>
        </is>
      </c>
      <c r="B391" t="inlineStr">
        <is>
          <t>(NIC_BW*15/16)/3</t>
        </is>
      </c>
      <c r="C391">
        <f>(C390*15/16)/3</f>
        <v/>
      </c>
    </row>
    <row r="392">
      <c r="A392" t="inlineStr">
        <is>
          <t>G</t>
        </is>
      </c>
      <c r="B392" t="inlineStr">
        <is>
          <t>1/NIC_BW_REAL</t>
        </is>
      </c>
      <c r="C392">
        <f>1/C391</f>
        <v/>
      </c>
    </row>
    <row r="393">
      <c r="A393" t="inlineStr">
        <is>
          <t>busbw_factor</t>
        </is>
      </c>
      <c r="B393" t="inlineStr">
        <is>
          <t>2*(n-1)/n</t>
        </is>
      </c>
      <c r="C393">
        <f>2*(C387-1)/C387</f>
        <v/>
      </c>
    </row>
    <row r="394">
      <c r="A394" t="inlineStr">
        <is>
          <t>fixed_overhead</t>
        </is>
      </c>
      <c r="B394" t="inlineStr">
        <is>
          <t>(2*LOG2(n)+1)*a/2</t>
        </is>
      </c>
      <c r="C394">
        <f>(2*LOG(C387,2)+1)*C389/2</f>
        <v/>
      </c>
    </row>
    <row r="395"/>
    <row r="396">
      <c r="A396" t="inlineStr">
        <is>
          <t>size_KB</t>
        </is>
      </c>
      <c r="B396" t="inlineStr">
        <is>
          <t>Actual Time (us)</t>
        </is>
      </c>
      <c r="C396" t="inlineStr">
        <is>
          <t>Roofline Time (us)</t>
        </is>
      </c>
      <c r="D396" t="inlineStr">
        <is>
          <t>Actual/Roofline</t>
        </is>
      </c>
      <c r="E396" t="inlineStr">
        <is>
          <t>Actual busBW (GB/s)</t>
        </is>
      </c>
      <c r="F396" t="inlineStr">
        <is>
          <t>Roofline busBW (GB/s)</t>
        </is>
      </c>
      <c r="G396" t="inlineStr">
        <is>
          <t>Meas/Roof busBW</t>
        </is>
      </c>
    </row>
    <row r="397">
      <c r="A397" t="n">
        <v>1</v>
      </c>
      <c r="B397" t="n">
        <v>77.15000000000001</v>
      </c>
      <c r="C397">
        <f>C394+A397*1024*C392</f>
        <v/>
      </c>
      <c r="D397">
        <f>B397/C397</f>
        <v/>
      </c>
      <c r="E397" t="n">
        <v>0.02</v>
      </c>
      <c r="F397">
        <f>A397*1024/(C397*0.000001)/1000000000*C393</f>
        <v/>
      </c>
      <c r="G397">
        <f>E397/F397</f>
        <v/>
      </c>
    </row>
    <row r="398">
      <c r="A398" t="n">
        <v>2</v>
      </c>
      <c r="B398" t="n">
        <v>80.14</v>
      </c>
      <c r="C398">
        <f>C394+A398*1024*C392</f>
        <v/>
      </c>
      <c r="D398">
        <f>B398/C398</f>
        <v/>
      </c>
      <c r="E398" t="n">
        <v>0.04</v>
      </c>
      <c r="F398">
        <f>A398*1024/(C398*0.000001)/1000000000*C393</f>
        <v/>
      </c>
      <c r="G398">
        <f>E398/F398</f>
        <v/>
      </c>
    </row>
    <row r="399">
      <c r="A399" t="n">
        <v>4</v>
      </c>
      <c r="B399" t="n">
        <v>84.42</v>
      </c>
      <c r="C399">
        <f>C394+A399*1024*C392</f>
        <v/>
      </c>
      <c r="D399">
        <f>B399/C399</f>
        <v/>
      </c>
      <c r="E399" t="n">
        <v>0.07000000000000001</v>
      </c>
      <c r="F399">
        <f>A399*1024/(C399*0.000001)/1000000000*C393</f>
        <v/>
      </c>
      <c r="G399">
        <f>E399/F399</f>
        <v/>
      </c>
    </row>
    <row r="400">
      <c r="A400" t="n">
        <v>8</v>
      </c>
      <c r="B400" t="n">
        <v>90.48</v>
      </c>
      <c r="C400">
        <f>C394+A400*1024*C392</f>
        <v/>
      </c>
      <c r="D400">
        <f>B400/C400</f>
        <v/>
      </c>
      <c r="E400" t="n">
        <v>0.14</v>
      </c>
      <c r="F400">
        <f>A400*1024/(C400*0.000001)/1000000000*C393</f>
        <v/>
      </c>
      <c r="G400">
        <f>E400/F400</f>
        <v/>
      </c>
    </row>
    <row r="401">
      <c r="A401" t="n">
        <v>16</v>
      </c>
      <c r="B401" t="n">
        <v>94.47</v>
      </c>
      <c r="C401">
        <f>C394+A401*1024*C392</f>
        <v/>
      </c>
      <c r="D401">
        <f>B401/C401</f>
        <v/>
      </c>
      <c r="E401" t="n">
        <v>0.26</v>
      </c>
      <c r="F401">
        <f>A401*1024/(C401*0.000001)/1000000000*C393</f>
        <v/>
      </c>
      <c r="G401">
        <f>E401/F401</f>
        <v/>
      </c>
    </row>
    <row r="402">
      <c r="A402" t="n">
        <v>32</v>
      </c>
      <c r="B402" t="n">
        <v>96.95999999999999</v>
      </c>
      <c r="C402">
        <f>C394+A402*1024*C392</f>
        <v/>
      </c>
      <c r="D402">
        <f>B402/C402</f>
        <v/>
      </c>
      <c r="E402" t="n">
        <v>0.51</v>
      </c>
      <c r="F402">
        <f>A402*1024/(C402*0.000001)/1000000000*C393</f>
        <v/>
      </c>
      <c r="G402">
        <f>E402/F402</f>
        <v/>
      </c>
    </row>
    <row r="403">
      <c r="A403" t="n">
        <v>64</v>
      </c>
      <c r="B403" t="n">
        <v>102.85</v>
      </c>
      <c r="C403">
        <f>C394+A403*1024*C392</f>
        <v/>
      </c>
      <c r="D403">
        <f>B403/C403</f>
        <v/>
      </c>
      <c r="E403" t="n">
        <v>0.96</v>
      </c>
      <c r="F403">
        <f>A403*1024/(C403*0.000001)/1000000000*C393</f>
        <v/>
      </c>
      <c r="G403">
        <f>E403/F403</f>
        <v/>
      </c>
    </row>
    <row r="404">
      <c r="A404" t="n">
        <v>128</v>
      </c>
      <c r="B404" t="n">
        <v>111.59</v>
      </c>
      <c r="C404">
        <f>C394+A404*1024*C392</f>
        <v/>
      </c>
      <c r="D404">
        <f>B404/C404</f>
        <v/>
      </c>
      <c r="E404" t="n">
        <v>1.76</v>
      </c>
      <c r="F404">
        <f>A404*1024/(C404*0.000001)/1000000000*C393</f>
        <v/>
      </c>
      <c r="G404">
        <f>E404/F404</f>
        <v/>
      </c>
    </row>
    <row r="405">
      <c r="A405" t="n">
        <v>256</v>
      </c>
      <c r="B405" t="n">
        <v>129.1</v>
      </c>
      <c r="C405">
        <f>C394+A405*1024*C392</f>
        <v/>
      </c>
      <c r="D405">
        <f>B405/C405</f>
        <v/>
      </c>
      <c r="E405" t="n">
        <v>3.05</v>
      </c>
      <c r="F405">
        <f>A405*1024/(C405*0.000001)/1000000000*C393</f>
        <v/>
      </c>
      <c r="G405">
        <f>E405/F405</f>
        <v/>
      </c>
    </row>
    <row r="406">
      <c r="A406" t="n">
        <v>512</v>
      </c>
      <c r="B406" t="n">
        <v>206.68</v>
      </c>
      <c r="C406">
        <f>C394+A406*1024*C392</f>
        <v/>
      </c>
      <c r="D406">
        <f>B406/C406</f>
        <v/>
      </c>
      <c r="E406" t="n">
        <v>3.81</v>
      </c>
      <c r="F406">
        <f>A406*1024/(C406*0.000001)/1000000000*C393</f>
        <v/>
      </c>
      <c r="G406">
        <f>E406/F406</f>
        <v/>
      </c>
    </row>
    <row r="407">
      <c r="A407" t="n">
        <v>1024</v>
      </c>
      <c r="B407" t="n">
        <v>365.29</v>
      </c>
      <c r="C407">
        <f>C394+A407*1024*C392</f>
        <v/>
      </c>
      <c r="D407">
        <f>B407/C407</f>
        <v/>
      </c>
      <c r="E407" t="n">
        <v>4.31</v>
      </c>
      <c r="F407">
        <f>A407*1024/(C407*0.000001)/1000000000*C393</f>
        <v/>
      </c>
      <c r="G407">
        <f>E407/F407</f>
        <v/>
      </c>
    </row>
    <row r="408">
      <c r="A408" t="n">
        <v>2048</v>
      </c>
      <c r="B408" t="n">
        <v>677.64</v>
      </c>
      <c r="C408">
        <f>C394+A408*1024*C392</f>
        <v/>
      </c>
      <c r="D408">
        <f>B408/C408</f>
        <v/>
      </c>
      <c r="E408" t="n">
        <v>4.64</v>
      </c>
      <c r="F408">
        <f>A408*1024/(C408*0.000001)/1000000000*C393</f>
        <v/>
      </c>
      <c r="G408">
        <f>E408/F408</f>
        <v/>
      </c>
    </row>
    <row r="409">
      <c r="A409" t="n">
        <v>4096</v>
      </c>
      <c r="B409" t="n">
        <v>723.85</v>
      </c>
      <c r="C409">
        <f>C394+A409*1024*C392</f>
        <v/>
      </c>
      <c r="D409">
        <f>B409/C409</f>
        <v/>
      </c>
      <c r="E409" t="n">
        <v>8.69</v>
      </c>
      <c r="F409">
        <f>A409*1024/(C409*0.000001)/1000000000*C393</f>
        <v/>
      </c>
      <c r="G409">
        <f>E409/F409</f>
        <v/>
      </c>
    </row>
    <row r="410">
      <c r="A410" t="n">
        <v>8192</v>
      </c>
      <c r="B410" t="n">
        <v>847.35</v>
      </c>
      <c r="C410">
        <f>C394+A410*1024*C392</f>
        <v/>
      </c>
      <c r="D410">
        <f>B410/C410</f>
        <v/>
      </c>
      <c r="E410" t="n">
        <v>14.85</v>
      </c>
      <c r="F410">
        <f>A410*1024/(C410*0.000001)/1000000000*C393</f>
        <v/>
      </c>
      <c r="G410">
        <f>E410/F410</f>
        <v/>
      </c>
    </row>
    <row r="411">
      <c r="A411" t="n">
        <v>16384</v>
      </c>
      <c r="B411" t="n">
        <v>1563.47</v>
      </c>
      <c r="C411">
        <f>C394+A411*1024*C392</f>
        <v/>
      </c>
      <c r="D411">
        <f>B411/C411</f>
        <v/>
      </c>
      <c r="E411" t="n">
        <v>16.1</v>
      </c>
      <c r="F411">
        <f>A411*1024/(C411*0.000001)/1000000000*C393</f>
        <v/>
      </c>
      <c r="G411">
        <f>E411/F411</f>
        <v/>
      </c>
    </row>
    <row r="412">
      <c r="A412" t="n">
        <v>32768</v>
      </c>
      <c r="B412" t="n">
        <v>2999.19</v>
      </c>
      <c r="C412">
        <f>C394+A412*1024*C392</f>
        <v/>
      </c>
      <c r="D412">
        <f>B412/C412</f>
        <v/>
      </c>
      <c r="E412" t="n">
        <v>16.78</v>
      </c>
      <c r="F412">
        <f>A412*1024/(C412*0.000001)/1000000000*C393</f>
        <v/>
      </c>
      <c r="G412">
        <f>E412/F412</f>
        <v/>
      </c>
    </row>
    <row r="413">
      <c r="A413" t="n">
        <v>65536</v>
      </c>
      <c r="B413" t="n">
        <v>5147.34</v>
      </c>
      <c r="C413">
        <f>C394+A413*1024*C392</f>
        <v/>
      </c>
      <c r="D413">
        <f>B413/C413</f>
        <v/>
      </c>
      <c r="E413" t="n">
        <v>19.56</v>
      </c>
      <c r="F413">
        <f>A413*1024/(C413*0.000001)/1000000000*C393</f>
        <v/>
      </c>
      <c r="G413">
        <f>E413/F413</f>
        <v/>
      </c>
    </row>
    <row r="414">
      <c r="A414" t="n">
        <v>131072</v>
      </c>
      <c r="B414" t="n">
        <v>9757.68</v>
      </c>
      <c r="C414">
        <f>C394+A414*1024*C392</f>
        <v/>
      </c>
      <c r="D414">
        <f>B414/C414</f>
        <v/>
      </c>
      <c r="E414" t="n">
        <v>20.63</v>
      </c>
      <c r="F414">
        <f>A414*1024/(C414*0.000001)/1000000000*C393</f>
        <v/>
      </c>
      <c r="G414">
        <f>E414/F414</f>
        <v/>
      </c>
    </row>
    <row r="415">
      <c r="A415" t="n">
        <v>262144</v>
      </c>
      <c r="B415" t="n">
        <v>19008.9</v>
      </c>
      <c r="C415">
        <f>C394+A415*1024*C392</f>
        <v/>
      </c>
      <c r="D415">
        <f>B415/C415</f>
        <v/>
      </c>
      <c r="E415" t="n">
        <v>21.18</v>
      </c>
      <c r="F415">
        <f>A415*1024/(C415*0.000001)/1000000000*C393</f>
        <v/>
      </c>
      <c r="G415">
        <f>E415/F415</f>
        <v/>
      </c>
    </row>
    <row r="416">
      <c r="A416" t="n">
        <v>524288</v>
      </c>
      <c r="B416" t="n">
        <v>37557.7</v>
      </c>
      <c r="C416">
        <f>C394+A416*1024*C392</f>
        <v/>
      </c>
      <c r="D416">
        <f>B416/C416</f>
        <v/>
      </c>
      <c r="E416" t="n">
        <v>21.44</v>
      </c>
      <c r="F416">
        <f>A416*1024/(C416*0.000001)/1000000000*C393</f>
        <v/>
      </c>
      <c r="G416">
        <f>E416/F416</f>
        <v/>
      </c>
    </row>
    <row r="417">
      <c r="A417" t="n">
        <v>1048576</v>
      </c>
      <c r="B417" t="n">
        <v>74800.39999999999</v>
      </c>
      <c r="C417">
        <f>C394+A417*1024*C392</f>
        <v/>
      </c>
      <c r="D417">
        <f>B417/C417</f>
        <v/>
      </c>
      <c r="E417" t="n">
        <v>21.53</v>
      </c>
      <c r="F417">
        <f>A417*1024/(C417*0.000001)/1000000000*C393</f>
        <v/>
      </c>
      <c r="G417">
        <f>E417/F417</f>
        <v/>
      </c>
    </row>
    <row r="418"/>
    <row r="419">
      <c r="A419" t="inlineStr">
        <is>
          <t>Nodes: 4, Protocol: LL128, Channels: 4</t>
        </is>
      </c>
    </row>
    <row r="420">
      <c r="A420" t="inlineStr">
        <is>
          <t>Parameter</t>
        </is>
      </c>
      <c r="B420" t="inlineStr">
        <is>
          <t>Formula</t>
        </is>
      </c>
      <c r="C420" t="inlineStr">
        <is>
          <t>Value</t>
        </is>
      </c>
    </row>
    <row r="421">
      <c r="A421" t="inlineStr">
        <is>
          <t>n</t>
        </is>
      </c>
      <c r="B421" t="inlineStr">
        <is>
          <t>nodes on tree</t>
        </is>
      </c>
      <c r="C421" t="n">
        <v>4</v>
      </c>
    </row>
    <row r="422">
      <c r="A422" t="inlineStr">
        <is>
          <t>nch</t>
        </is>
      </c>
      <c r="B422" t="inlineStr">
        <is>
          <t>channels</t>
        </is>
      </c>
      <c r="C422" t="n">
        <v>4</v>
      </c>
    </row>
    <row r="423">
      <c r="A423" t="inlineStr">
        <is>
          <t>a</t>
        </is>
      </c>
      <c r="B423" t="inlineStr">
        <is>
          <t>RTT (us)</t>
        </is>
      </c>
      <c r="C423" t="n">
        <v>25.8107</v>
      </c>
    </row>
    <row r="424">
      <c r="A424" t="inlineStr">
        <is>
          <t>NIC_BW</t>
        </is>
      </c>
      <c r="B424" t="inlineStr">
        <is>
          <t>bytes/us</t>
        </is>
      </c>
      <c r="C424" t="n">
        <v>48750</v>
      </c>
    </row>
    <row r="425">
      <c r="A425" t="inlineStr">
        <is>
          <t>NIC_BW_REAL</t>
        </is>
      </c>
      <c r="B425" t="inlineStr">
        <is>
          <t>(NIC_BW*15/16)/2</t>
        </is>
      </c>
      <c r="C425">
        <f>(C424*15/16)/2</f>
        <v/>
      </c>
    </row>
    <row r="426">
      <c r="A426" t="inlineStr">
        <is>
          <t>G</t>
        </is>
      </c>
      <c r="B426" t="inlineStr">
        <is>
          <t>1/NIC_BW_REAL</t>
        </is>
      </c>
      <c r="C426">
        <f>1/C425</f>
        <v/>
      </c>
    </row>
    <row r="427">
      <c r="A427" t="inlineStr">
        <is>
          <t>busbw_factor</t>
        </is>
      </c>
      <c r="B427" t="inlineStr">
        <is>
          <t>2*(n-1)/n</t>
        </is>
      </c>
      <c r="C427">
        <f>2*(C421-1)/C421</f>
        <v/>
      </c>
    </row>
    <row r="428">
      <c r="A428" t="inlineStr">
        <is>
          <t>fixed_overhead</t>
        </is>
      </c>
      <c r="B428" t="inlineStr">
        <is>
          <t>(2*LOG2(n)+1)*a/2</t>
        </is>
      </c>
      <c r="C428">
        <f>(2*LOG(C421,2)+1)*C423/2</f>
        <v/>
      </c>
    </row>
    <row r="429"/>
    <row r="430">
      <c r="A430" t="inlineStr">
        <is>
          <t>size_KB</t>
        </is>
      </c>
      <c r="B430" t="inlineStr">
        <is>
          <t>Actual Time (us)</t>
        </is>
      </c>
      <c r="C430" t="inlineStr">
        <is>
          <t>Roofline Time (us)</t>
        </is>
      </c>
      <c r="D430" t="inlineStr">
        <is>
          <t>Actual/Roofline</t>
        </is>
      </c>
      <c r="E430" t="inlineStr">
        <is>
          <t>Actual busBW (GB/s)</t>
        </is>
      </c>
      <c r="F430" t="inlineStr">
        <is>
          <t>Roofline busBW (GB/s)</t>
        </is>
      </c>
      <c r="G430" t="inlineStr">
        <is>
          <t>Meas/Roof busBW</t>
        </is>
      </c>
    </row>
    <row r="431">
      <c r="A431" t="n">
        <v>1</v>
      </c>
      <c r="B431" t="n">
        <v>77.27</v>
      </c>
      <c r="C431">
        <f>C428+A431*1024*C426</f>
        <v/>
      </c>
      <c r="D431">
        <f>B431/C431</f>
        <v/>
      </c>
      <c r="E431" t="n">
        <v>0.02</v>
      </c>
      <c r="F431">
        <f>A431*1024/(C431*0.000001)/1000000000*C427</f>
        <v/>
      </c>
      <c r="G431">
        <f>E431/F431</f>
        <v/>
      </c>
    </row>
    <row r="432">
      <c r="A432" t="n">
        <v>2</v>
      </c>
      <c r="B432" t="n">
        <v>80.01000000000001</v>
      </c>
      <c r="C432">
        <f>C428+A432*1024*C426</f>
        <v/>
      </c>
      <c r="D432">
        <f>B432/C432</f>
        <v/>
      </c>
      <c r="E432" t="n">
        <v>0.04</v>
      </c>
      <c r="F432">
        <f>A432*1024/(C432*0.000001)/1000000000*C427</f>
        <v/>
      </c>
      <c r="G432">
        <f>E432/F432</f>
        <v/>
      </c>
    </row>
    <row r="433">
      <c r="A433" t="n">
        <v>4</v>
      </c>
      <c r="B433" t="n">
        <v>84.3</v>
      </c>
      <c r="C433">
        <f>C428+A433*1024*C426</f>
        <v/>
      </c>
      <c r="D433">
        <f>B433/C433</f>
        <v/>
      </c>
      <c r="E433" t="n">
        <v>0.07000000000000001</v>
      </c>
      <c r="F433">
        <f>A433*1024/(C433*0.000001)/1000000000*C427</f>
        <v/>
      </c>
      <c r="G433">
        <f>E433/F433</f>
        <v/>
      </c>
    </row>
    <row r="434">
      <c r="A434" t="n">
        <v>8</v>
      </c>
      <c r="B434" t="n">
        <v>90.78</v>
      </c>
      <c r="C434">
        <f>C428+A434*1024*C426</f>
        <v/>
      </c>
      <c r="D434">
        <f>B434/C434</f>
        <v/>
      </c>
      <c r="E434" t="n">
        <v>0.14</v>
      </c>
      <c r="F434">
        <f>A434*1024/(C434*0.000001)/1000000000*C427</f>
        <v/>
      </c>
      <c r="G434">
        <f>E434/F434</f>
        <v/>
      </c>
    </row>
    <row r="435">
      <c r="A435" t="n">
        <v>16</v>
      </c>
      <c r="B435" t="n">
        <v>94.14</v>
      </c>
      <c r="C435">
        <f>C428+A435*1024*C426</f>
        <v/>
      </c>
      <c r="D435">
        <f>B435/C435</f>
        <v/>
      </c>
      <c r="E435" t="n">
        <v>0.26</v>
      </c>
      <c r="F435">
        <f>A435*1024/(C435*0.000001)/1000000000*C427</f>
        <v/>
      </c>
      <c r="G435">
        <f>E435/F435</f>
        <v/>
      </c>
    </row>
    <row r="436">
      <c r="A436" t="n">
        <v>32</v>
      </c>
      <c r="B436" t="n">
        <v>96.90000000000001</v>
      </c>
      <c r="C436">
        <f>C428+A436*1024*C426</f>
        <v/>
      </c>
      <c r="D436">
        <f>B436/C436</f>
        <v/>
      </c>
      <c r="E436" t="n">
        <v>0.51</v>
      </c>
      <c r="F436">
        <f>A436*1024/(C436*0.000001)/1000000000*C427</f>
        <v/>
      </c>
      <c r="G436">
        <f>E436/F436</f>
        <v/>
      </c>
    </row>
    <row r="437">
      <c r="A437" t="n">
        <v>64</v>
      </c>
      <c r="B437" t="n">
        <v>97.56999999999999</v>
      </c>
      <c r="C437">
        <f>C428+A437*1024*C426</f>
        <v/>
      </c>
      <c r="D437">
        <f>B437/C437</f>
        <v/>
      </c>
      <c r="E437" t="n">
        <v>1.01</v>
      </c>
      <c r="F437">
        <f>A437*1024/(C437*0.000001)/1000000000*C427</f>
        <v/>
      </c>
      <c r="G437">
        <f>E437/F437</f>
        <v/>
      </c>
    </row>
    <row r="438">
      <c r="A438" t="n">
        <v>128</v>
      </c>
      <c r="B438" t="n">
        <v>103.94</v>
      </c>
      <c r="C438">
        <f>C428+A438*1024*C426</f>
        <v/>
      </c>
      <c r="D438">
        <f>B438/C438</f>
        <v/>
      </c>
      <c r="E438" t="n">
        <v>1.89</v>
      </c>
      <c r="F438">
        <f>A438*1024/(C438*0.000001)/1000000000*C427</f>
        <v/>
      </c>
      <c r="G438">
        <f>E438/F438</f>
        <v/>
      </c>
    </row>
    <row r="439">
      <c r="A439" t="n">
        <v>256</v>
      </c>
      <c r="B439" t="n">
        <v>113.55</v>
      </c>
      <c r="C439">
        <f>C428+A439*1024*C426</f>
        <v/>
      </c>
      <c r="D439">
        <f>B439/C439</f>
        <v/>
      </c>
      <c r="E439" t="n">
        <v>3.46</v>
      </c>
      <c r="F439">
        <f>A439*1024/(C439*0.000001)/1000000000*C427</f>
        <v/>
      </c>
      <c r="G439">
        <f>E439/F439</f>
        <v/>
      </c>
    </row>
    <row r="440">
      <c r="A440" t="n">
        <v>512</v>
      </c>
      <c r="B440" t="n">
        <v>134.6</v>
      </c>
      <c r="C440">
        <f>C428+A440*1024*C426</f>
        <v/>
      </c>
      <c r="D440">
        <f>B440/C440</f>
        <v/>
      </c>
      <c r="E440" t="n">
        <v>5.84</v>
      </c>
      <c r="F440">
        <f>A440*1024/(C440*0.000001)/1000000000*C427</f>
        <v/>
      </c>
      <c r="G440">
        <f>E440/F440</f>
        <v/>
      </c>
    </row>
    <row r="441">
      <c r="A441" t="n">
        <v>1024</v>
      </c>
      <c r="B441" t="n">
        <v>232.23</v>
      </c>
      <c r="C441">
        <f>C428+A441*1024*C426</f>
        <v/>
      </c>
      <c r="D441">
        <f>B441/C441</f>
        <v/>
      </c>
      <c r="E441" t="n">
        <v>6.77</v>
      </c>
      <c r="F441">
        <f>A441*1024/(C441*0.000001)/1000000000*C427</f>
        <v/>
      </c>
      <c r="G441">
        <f>E441/F441</f>
        <v/>
      </c>
    </row>
    <row r="442">
      <c r="A442" t="n">
        <v>2048</v>
      </c>
      <c r="B442" t="n">
        <v>432.6</v>
      </c>
      <c r="C442">
        <f>C428+A442*1024*C426</f>
        <v/>
      </c>
      <c r="D442">
        <f>B442/C442</f>
        <v/>
      </c>
      <c r="E442" t="n">
        <v>7.27</v>
      </c>
      <c r="F442">
        <f>A442*1024/(C442*0.000001)/1000000000*C427</f>
        <v/>
      </c>
      <c r="G442">
        <f>E442/F442</f>
        <v/>
      </c>
    </row>
    <row r="443">
      <c r="A443" t="n">
        <v>4096</v>
      </c>
      <c r="B443" t="n">
        <v>820.35</v>
      </c>
      <c r="C443">
        <f>C428+A443*1024*C426</f>
        <v/>
      </c>
      <c r="D443">
        <f>B443/C443</f>
        <v/>
      </c>
      <c r="E443" t="n">
        <v>7.67</v>
      </c>
      <c r="F443">
        <f>A443*1024/(C443*0.000001)/1000000000*C427</f>
        <v/>
      </c>
      <c r="G443">
        <f>E443/F443</f>
        <v/>
      </c>
    </row>
    <row r="444">
      <c r="A444" t="n">
        <v>8192</v>
      </c>
      <c r="B444" t="n">
        <v>890.4299999999999</v>
      </c>
      <c r="C444">
        <f>C428+A444*1024*C426</f>
        <v/>
      </c>
      <c r="D444">
        <f>B444/C444</f>
        <v/>
      </c>
      <c r="E444" t="n">
        <v>14.13</v>
      </c>
      <c r="F444">
        <f>A444*1024/(C444*0.000001)/1000000000*C427</f>
        <v/>
      </c>
      <c r="G444">
        <f>E444/F444</f>
        <v/>
      </c>
    </row>
    <row r="445">
      <c r="A445" t="n">
        <v>16384</v>
      </c>
      <c r="B445" t="n">
        <v>1038.38</v>
      </c>
      <c r="C445">
        <f>C428+A445*1024*C426</f>
        <v/>
      </c>
      <c r="D445">
        <f>B445/C445</f>
        <v/>
      </c>
      <c r="E445" t="n">
        <v>24.24</v>
      </c>
      <c r="F445">
        <f>A445*1024/(C445*0.000001)/1000000000*C427</f>
        <v/>
      </c>
      <c r="G445">
        <f>E445/F445</f>
        <v/>
      </c>
    </row>
    <row r="446">
      <c r="A446" t="n">
        <v>32768</v>
      </c>
      <c r="B446" t="n">
        <v>1977.3</v>
      </c>
      <c r="C446">
        <f>C428+A446*1024*C426</f>
        <v/>
      </c>
      <c r="D446">
        <f>B446/C446</f>
        <v/>
      </c>
      <c r="E446" t="n">
        <v>25.45</v>
      </c>
      <c r="F446">
        <f>A446*1024/(C446*0.000001)/1000000000*C427</f>
        <v/>
      </c>
      <c r="G446">
        <f>E446/F446</f>
        <v/>
      </c>
    </row>
    <row r="447">
      <c r="A447" t="n">
        <v>65536</v>
      </c>
      <c r="B447" t="n">
        <v>3843.1</v>
      </c>
      <c r="C447">
        <f>C428+A447*1024*C426</f>
        <v/>
      </c>
      <c r="D447">
        <f>B447/C447</f>
        <v/>
      </c>
      <c r="E447" t="n">
        <v>26.19</v>
      </c>
      <c r="F447">
        <f>A447*1024/(C447*0.000001)/1000000000*C427</f>
        <v/>
      </c>
      <c r="G447">
        <f>E447/F447</f>
        <v/>
      </c>
    </row>
    <row r="448">
      <c r="A448" t="n">
        <v>131072</v>
      </c>
      <c r="B448" t="n">
        <v>6856.46</v>
      </c>
      <c r="C448">
        <f>C428+A448*1024*C426</f>
        <v/>
      </c>
      <c r="D448">
        <f>B448/C448</f>
        <v/>
      </c>
      <c r="E448" t="n">
        <v>29.36</v>
      </c>
      <c r="F448">
        <f>A448*1024/(C448*0.000001)/1000000000*C427</f>
        <v/>
      </c>
      <c r="G448">
        <f>E448/F448</f>
        <v/>
      </c>
    </row>
    <row r="449">
      <c r="A449" t="n">
        <v>262144</v>
      </c>
      <c r="B449" t="n">
        <v>13429</v>
      </c>
      <c r="C449">
        <f>C428+A449*1024*C426</f>
        <v/>
      </c>
      <c r="D449">
        <f>B449/C449</f>
        <v/>
      </c>
      <c r="E449" t="n">
        <v>29.98</v>
      </c>
      <c r="F449">
        <f>A449*1024/(C449*0.000001)/1000000000*C427</f>
        <v/>
      </c>
      <c r="G449">
        <f>E449/F449</f>
        <v/>
      </c>
    </row>
    <row r="450">
      <c r="A450" t="n">
        <v>524288</v>
      </c>
      <c r="B450" t="n">
        <v>27386.9</v>
      </c>
      <c r="C450">
        <f>C428+A450*1024*C426</f>
        <v/>
      </c>
      <c r="D450">
        <f>B450/C450</f>
        <v/>
      </c>
      <c r="E450" t="n">
        <v>29.4</v>
      </c>
      <c r="F450">
        <f>A450*1024/(C450*0.000001)/1000000000*C427</f>
        <v/>
      </c>
      <c r="G450">
        <f>E450/F450</f>
        <v/>
      </c>
    </row>
    <row r="451">
      <c r="A451" t="n">
        <v>1048576</v>
      </c>
      <c r="B451" t="n">
        <v>53853.8</v>
      </c>
      <c r="C451">
        <f>C428+A451*1024*C426</f>
        <v/>
      </c>
      <c r="D451">
        <f>B451/C451</f>
        <v/>
      </c>
      <c r="E451" t="n">
        <v>29.91</v>
      </c>
      <c r="F451">
        <f>A451*1024/(C451*0.000001)/1000000000*C427</f>
        <v/>
      </c>
      <c r="G451">
        <f>E451/F451</f>
        <v/>
      </c>
    </row>
    <row r="452"/>
    <row r="453">
      <c r="A453" t="inlineStr">
        <is>
          <t>Nodes: 4, Protocol: LL128, Channels: 8</t>
        </is>
      </c>
    </row>
    <row r="454">
      <c r="A454" t="inlineStr">
        <is>
          <t>Parameter</t>
        </is>
      </c>
      <c r="B454" t="inlineStr">
        <is>
          <t>Formula</t>
        </is>
      </c>
      <c r="C454" t="inlineStr">
        <is>
          <t>Value</t>
        </is>
      </c>
    </row>
    <row r="455">
      <c r="A455" t="inlineStr">
        <is>
          <t>n</t>
        </is>
      </c>
      <c r="B455" t="inlineStr">
        <is>
          <t>nodes on tree</t>
        </is>
      </c>
      <c r="C455" t="n">
        <v>4</v>
      </c>
    </row>
    <row r="456">
      <c r="A456" t="inlineStr">
        <is>
          <t>nch</t>
        </is>
      </c>
      <c r="B456" t="inlineStr">
        <is>
          <t>channels</t>
        </is>
      </c>
      <c r="C456" t="n">
        <v>8</v>
      </c>
    </row>
    <row r="457">
      <c r="A457" t="inlineStr">
        <is>
          <t>a</t>
        </is>
      </c>
      <c r="B457" t="inlineStr">
        <is>
          <t>RTT (us)</t>
        </is>
      </c>
      <c r="C457" t="n">
        <v>25.8107</v>
      </c>
    </row>
    <row r="458">
      <c r="A458" t="inlineStr">
        <is>
          <t>NIC_BW</t>
        </is>
      </c>
      <c r="B458" t="inlineStr">
        <is>
          <t>bytes/us</t>
        </is>
      </c>
      <c r="C458" t="n">
        <v>48750</v>
      </c>
    </row>
    <row r="459">
      <c r="A459" t="inlineStr">
        <is>
          <t>NIC_BW_REAL</t>
        </is>
      </c>
      <c r="B459" t="inlineStr">
        <is>
          <t>(NIC_BW*15/16)/2</t>
        </is>
      </c>
      <c r="C459">
        <f>(C458*15/16)/2</f>
        <v/>
      </c>
    </row>
    <row r="460">
      <c r="A460" t="inlineStr">
        <is>
          <t>G</t>
        </is>
      </c>
      <c r="B460" t="inlineStr">
        <is>
          <t>1/NIC_BW_REAL</t>
        </is>
      </c>
      <c r="C460">
        <f>1/C459</f>
        <v/>
      </c>
    </row>
    <row r="461">
      <c r="A461" t="inlineStr">
        <is>
          <t>busbw_factor</t>
        </is>
      </c>
      <c r="B461" t="inlineStr">
        <is>
          <t>2*(n-1)/n</t>
        </is>
      </c>
      <c r="C461">
        <f>2*(C455-1)/C455</f>
        <v/>
      </c>
    </row>
    <row r="462">
      <c r="A462" t="inlineStr">
        <is>
          <t>fixed_overhead</t>
        </is>
      </c>
      <c r="B462" t="inlineStr">
        <is>
          <t>(2*LOG2(n)+1)*a/2</t>
        </is>
      </c>
      <c r="C462">
        <f>(2*LOG(C455,2)+1)*C457/2</f>
        <v/>
      </c>
    </row>
    <row r="463"/>
    <row r="464">
      <c r="A464" t="inlineStr">
        <is>
          <t>size_KB</t>
        </is>
      </c>
      <c r="B464" t="inlineStr">
        <is>
          <t>Actual Time (us)</t>
        </is>
      </c>
      <c r="C464" t="inlineStr">
        <is>
          <t>Roofline Time (us)</t>
        </is>
      </c>
      <c r="D464" t="inlineStr">
        <is>
          <t>Actual/Roofline</t>
        </is>
      </c>
      <c r="E464" t="inlineStr">
        <is>
          <t>Actual busBW (GB/s)</t>
        </is>
      </c>
      <c r="F464" t="inlineStr">
        <is>
          <t>Roofline busBW (GB/s)</t>
        </is>
      </c>
      <c r="G464" t="inlineStr">
        <is>
          <t>Meas/Roof busBW</t>
        </is>
      </c>
    </row>
    <row r="465">
      <c r="A465" t="n">
        <v>1</v>
      </c>
      <c r="B465" t="n">
        <v>77.06</v>
      </c>
      <c r="C465">
        <f>C462+A465*1024*C460</f>
        <v/>
      </c>
      <c r="D465">
        <f>B465/C465</f>
        <v/>
      </c>
      <c r="E465" t="n">
        <v>0.02</v>
      </c>
      <c r="F465">
        <f>A465*1024/(C465*0.000001)/1000000000*C461</f>
        <v/>
      </c>
      <c r="G465">
        <f>E465/F465</f>
        <v/>
      </c>
    </row>
    <row r="466">
      <c r="A466" t="n">
        <v>2</v>
      </c>
      <c r="B466" t="n">
        <v>80.15000000000001</v>
      </c>
      <c r="C466">
        <f>C462+A466*1024*C460</f>
        <v/>
      </c>
      <c r="D466">
        <f>B466/C466</f>
        <v/>
      </c>
      <c r="E466" t="n">
        <v>0.04</v>
      </c>
      <c r="F466">
        <f>A466*1024/(C466*0.000001)/1000000000*C461</f>
        <v/>
      </c>
      <c r="G466">
        <f>E466/F466</f>
        <v/>
      </c>
    </row>
    <row r="467">
      <c r="A467" t="n">
        <v>4</v>
      </c>
      <c r="B467" t="n">
        <v>84.34</v>
      </c>
      <c r="C467">
        <f>C462+A467*1024*C460</f>
        <v/>
      </c>
      <c r="D467">
        <f>B467/C467</f>
        <v/>
      </c>
      <c r="E467" t="n">
        <v>0.07000000000000001</v>
      </c>
      <c r="F467">
        <f>A467*1024/(C467*0.000001)/1000000000*C461</f>
        <v/>
      </c>
      <c r="G467">
        <f>E467/F467</f>
        <v/>
      </c>
    </row>
    <row r="468">
      <c r="A468" t="n">
        <v>8</v>
      </c>
      <c r="B468" t="n">
        <v>90.56999999999999</v>
      </c>
      <c r="C468">
        <f>C462+A468*1024*C460</f>
        <v/>
      </c>
      <c r="D468">
        <f>B468/C468</f>
        <v/>
      </c>
      <c r="E468" t="n">
        <v>0.14</v>
      </c>
      <c r="F468">
        <f>A468*1024/(C468*0.000001)/1000000000*C461</f>
        <v/>
      </c>
      <c r="G468">
        <f>E468/F468</f>
        <v/>
      </c>
    </row>
    <row r="469">
      <c r="A469" t="n">
        <v>16</v>
      </c>
      <c r="B469" t="n">
        <v>94.51000000000001</v>
      </c>
      <c r="C469">
        <f>C462+A469*1024*C460</f>
        <v/>
      </c>
      <c r="D469">
        <f>B469/C469</f>
        <v/>
      </c>
      <c r="E469" t="n">
        <v>0.26</v>
      </c>
      <c r="F469">
        <f>A469*1024/(C469*0.000001)/1000000000*C461</f>
        <v/>
      </c>
      <c r="G469">
        <f>E469/F469</f>
        <v/>
      </c>
    </row>
    <row r="470">
      <c r="A470" t="n">
        <v>32</v>
      </c>
      <c r="B470" t="n">
        <v>96.94</v>
      </c>
      <c r="C470">
        <f>C462+A470*1024*C460</f>
        <v/>
      </c>
      <c r="D470">
        <f>B470/C470</f>
        <v/>
      </c>
      <c r="E470" t="n">
        <v>0.51</v>
      </c>
      <c r="F470">
        <f>A470*1024/(C470*0.000001)/1000000000*C461</f>
        <v/>
      </c>
      <c r="G470">
        <f>E470/F470</f>
        <v/>
      </c>
    </row>
    <row r="471">
      <c r="A471" t="n">
        <v>64</v>
      </c>
      <c r="B471" t="n">
        <v>97.92</v>
      </c>
      <c r="C471">
        <f>C462+A471*1024*C460</f>
        <v/>
      </c>
      <c r="D471">
        <f>B471/C471</f>
        <v/>
      </c>
      <c r="E471" t="n">
        <v>1</v>
      </c>
      <c r="F471">
        <f>A471*1024/(C471*0.000001)/1000000000*C461</f>
        <v/>
      </c>
      <c r="G471">
        <f>E471/F471</f>
        <v/>
      </c>
    </row>
    <row r="472">
      <c r="A472" t="n">
        <v>128</v>
      </c>
      <c r="B472" t="n">
        <v>104.94</v>
      </c>
      <c r="C472">
        <f>C462+A472*1024*C460</f>
        <v/>
      </c>
      <c r="D472">
        <f>B472/C472</f>
        <v/>
      </c>
      <c r="E472" t="n">
        <v>1.87</v>
      </c>
      <c r="F472">
        <f>A472*1024/(C472*0.000001)/1000000000*C461</f>
        <v/>
      </c>
      <c r="G472">
        <f>E472/F472</f>
        <v/>
      </c>
    </row>
    <row r="473">
      <c r="A473" t="n">
        <v>256</v>
      </c>
      <c r="B473" t="n">
        <v>115.13</v>
      </c>
      <c r="C473">
        <f>C462+A473*1024*C460</f>
        <v/>
      </c>
      <c r="D473">
        <f>B473/C473</f>
        <v/>
      </c>
      <c r="E473" t="n">
        <v>3.42</v>
      </c>
      <c r="F473">
        <f>A473*1024/(C473*0.000001)/1000000000*C461</f>
        <v/>
      </c>
      <c r="G473">
        <f>E473/F473</f>
        <v/>
      </c>
    </row>
    <row r="474">
      <c r="A474" t="n">
        <v>512</v>
      </c>
      <c r="B474" t="n">
        <v>137.7</v>
      </c>
      <c r="C474">
        <f>C462+A474*1024*C460</f>
        <v/>
      </c>
      <c r="D474">
        <f>B474/C474</f>
        <v/>
      </c>
      <c r="E474" t="n">
        <v>5.71</v>
      </c>
      <c r="F474">
        <f>A474*1024/(C474*0.000001)/1000000000*C461</f>
        <v/>
      </c>
      <c r="G474">
        <f>E474/F474</f>
        <v/>
      </c>
    </row>
    <row r="475">
      <c r="A475" t="n">
        <v>1024</v>
      </c>
      <c r="B475" t="n">
        <v>183.1</v>
      </c>
      <c r="C475">
        <f>C462+A475*1024*C460</f>
        <v/>
      </c>
      <c r="D475">
        <f>B475/C475</f>
        <v/>
      </c>
      <c r="E475" t="n">
        <v>8.59</v>
      </c>
      <c r="F475">
        <f>A475*1024/(C475*0.000001)/1000000000*C461</f>
        <v/>
      </c>
      <c r="G475">
        <f>E475/F475</f>
        <v/>
      </c>
    </row>
    <row r="476">
      <c r="A476" t="n">
        <v>2048</v>
      </c>
      <c r="B476" t="n">
        <v>355.77</v>
      </c>
      <c r="C476">
        <f>C462+A476*1024*C460</f>
        <v/>
      </c>
      <c r="D476">
        <f>B476/C476</f>
        <v/>
      </c>
      <c r="E476" t="n">
        <v>8.84</v>
      </c>
      <c r="F476">
        <f>A476*1024/(C476*0.000001)/1000000000*C461</f>
        <v/>
      </c>
      <c r="G476">
        <f>E476/F476</f>
        <v/>
      </c>
    </row>
    <row r="477">
      <c r="A477" t="n">
        <v>4096</v>
      </c>
      <c r="B477" t="n">
        <v>695.8099999999999</v>
      </c>
      <c r="C477">
        <f>C462+A477*1024*C460</f>
        <v/>
      </c>
      <c r="D477">
        <f>B477/C477</f>
        <v/>
      </c>
      <c r="E477" t="n">
        <v>9.039999999999999</v>
      </c>
      <c r="F477">
        <f>A477*1024/(C477*0.000001)/1000000000*C461</f>
        <v/>
      </c>
      <c r="G477">
        <f>E477/F477</f>
        <v/>
      </c>
    </row>
    <row r="478">
      <c r="A478" t="n">
        <v>8192</v>
      </c>
      <c r="B478" t="n">
        <v>1369.35</v>
      </c>
      <c r="C478">
        <f>C462+A478*1024*C460</f>
        <v/>
      </c>
      <c r="D478">
        <f>B478/C478</f>
        <v/>
      </c>
      <c r="E478" t="n">
        <v>9.19</v>
      </c>
      <c r="F478">
        <f>A478*1024/(C478*0.000001)/1000000000*C461</f>
        <v/>
      </c>
      <c r="G478">
        <f>E478/F478</f>
        <v/>
      </c>
    </row>
    <row r="479">
      <c r="A479" t="n">
        <v>16384</v>
      </c>
      <c r="B479" t="n">
        <v>1458.94</v>
      </c>
      <c r="C479">
        <f>C462+A479*1024*C460</f>
        <v/>
      </c>
      <c r="D479">
        <f>B479/C479</f>
        <v/>
      </c>
      <c r="E479" t="n">
        <v>17.25</v>
      </c>
      <c r="F479">
        <f>A479*1024/(C479*0.000001)/1000000000*C461</f>
        <v/>
      </c>
      <c r="G479">
        <f>E479/F479</f>
        <v/>
      </c>
    </row>
    <row r="480">
      <c r="A480" t="n">
        <v>32768</v>
      </c>
      <c r="B480" t="n">
        <v>1935.35</v>
      </c>
      <c r="C480">
        <f>C462+A480*1024*C460</f>
        <v/>
      </c>
      <c r="D480">
        <f>B480/C480</f>
        <v/>
      </c>
      <c r="E480" t="n">
        <v>26.01</v>
      </c>
      <c r="F480">
        <f>A480*1024/(C480*0.000001)/1000000000*C461</f>
        <v/>
      </c>
      <c r="G480">
        <f>E480/F480</f>
        <v/>
      </c>
    </row>
    <row r="481">
      <c r="A481" t="n">
        <v>65536</v>
      </c>
      <c r="B481" t="n">
        <v>3735.56</v>
      </c>
      <c r="C481">
        <f>C462+A481*1024*C460</f>
        <v/>
      </c>
      <c r="D481">
        <f>B481/C481</f>
        <v/>
      </c>
      <c r="E481" t="n">
        <v>26.95</v>
      </c>
      <c r="F481">
        <f>A481*1024/(C481*0.000001)/1000000000*C461</f>
        <v/>
      </c>
      <c r="G481">
        <f>E481/F481</f>
        <v/>
      </c>
    </row>
    <row r="482">
      <c r="A482" t="n">
        <v>131072</v>
      </c>
      <c r="B482" t="n">
        <v>7318.18</v>
      </c>
      <c r="C482">
        <f>C462+A482*1024*C460</f>
        <v/>
      </c>
      <c r="D482">
        <f>B482/C482</f>
        <v/>
      </c>
      <c r="E482" t="n">
        <v>27.51</v>
      </c>
      <c r="F482">
        <f>A482*1024/(C482*0.000001)/1000000000*C461</f>
        <v/>
      </c>
      <c r="G482">
        <f>E482/F482</f>
        <v/>
      </c>
    </row>
    <row r="483">
      <c r="A483" t="n">
        <v>262144</v>
      </c>
      <c r="B483" t="n">
        <v>14239.4</v>
      </c>
      <c r="C483">
        <f>C462+A483*1024*C460</f>
        <v/>
      </c>
      <c r="D483">
        <f>B483/C483</f>
        <v/>
      </c>
      <c r="E483" t="n">
        <v>28.28</v>
      </c>
      <c r="F483">
        <f>A483*1024/(C483*0.000001)/1000000000*C461</f>
        <v/>
      </c>
      <c r="G483">
        <f>E483/F483</f>
        <v/>
      </c>
    </row>
    <row r="484">
      <c r="A484" t="n">
        <v>524288</v>
      </c>
      <c r="B484" t="n">
        <v>27206.2</v>
      </c>
      <c r="C484">
        <f>C462+A484*1024*C460</f>
        <v/>
      </c>
      <c r="D484">
        <f>B484/C484</f>
        <v/>
      </c>
      <c r="E484" t="n">
        <v>29.6</v>
      </c>
      <c r="F484">
        <f>A484*1024/(C484*0.000001)/1000000000*C461</f>
        <v/>
      </c>
      <c r="G484">
        <f>E484/F484</f>
        <v/>
      </c>
    </row>
    <row r="485">
      <c r="A485" t="n">
        <v>1048576</v>
      </c>
      <c r="B485" t="n">
        <v>54897.6</v>
      </c>
      <c r="C485">
        <f>C462+A485*1024*C460</f>
        <v/>
      </c>
      <c r="D485">
        <f>B485/C485</f>
        <v/>
      </c>
      <c r="E485" t="n">
        <v>29.34</v>
      </c>
      <c r="F485">
        <f>A485*1024/(C485*0.000001)/1000000000*C461</f>
        <v/>
      </c>
      <c r="G485">
        <f>E485/F485</f>
        <v/>
      </c>
    </row>
    <row r="486"/>
    <row r="487">
      <c r="A487" t="inlineStr">
        <is>
          <t>Nodes: 4, Protocol: LL128, Channels: 16</t>
        </is>
      </c>
    </row>
    <row r="488">
      <c r="A488" t="inlineStr">
        <is>
          <t>Parameter</t>
        </is>
      </c>
      <c r="B488" t="inlineStr">
        <is>
          <t>Formula</t>
        </is>
      </c>
      <c r="C488" t="inlineStr">
        <is>
          <t>Value</t>
        </is>
      </c>
    </row>
    <row r="489">
      <c r="A489" t="inlineStr">
        <is>
          <t>n</t>
        </is>
      </c>
      <c r="B489" t="inlineStr">
        <is>
          <t>nodes on tree</t>
        </is>
      </c>
      <c r="C489" t="n">
        <v>4</v>
      </c>
    </row>
    <row r="490">
      <c r="A490" t="inlineStr">
        <is>
          <t>nch</t>
        </is>
      </c>
      <c r="B490" t="inlineStr">
        <is>
          <t>channels</t>
        </is>
      </c>
      <c r="C490" t="n">
        <v>16</v>
      </c>
    </row>
    <row r="491">
      <c r="A491" t="inlineStr">
        <is>
          <t>a</t>
        </is>
      </c>
      <c r="B491" t="inlineStr">
        <is>
          <t>RTT (us)</t>
        </is>
      </c>
      <c r="C491" t="n">
        <v>25.8107</v>
      </c>
    </row>
    <row r="492">
      <c r="A492" t="inlineStr">
        <is>
          <t>NIC_BW</t>
        </is>
      </c>
      <c r="B492" t="inlineStr">
        <is>
          <t>bytes/us</t>
        </is>
      </c>
      <c r="C492" t="n">
        <v>48750</v>
      </c>
    </row>
    <row r="493">
      <c r="A493" t="inlineStr">
        <is>
          <t>NIC_BW_REAL</t>
        </is>
      </c>
      <c r="B493" t="inlineStr">
        <is>
          <t>(NIC_BW*15/16)/2</t>
        </is>
      </c>
      <c r="C493">
        <f>(C492*15/16)/2</f>
        <v/>
      </c>
    </row>
    <row r="494">
      <c r="A494" t="inlineStr">
        <is>
          <t>G</t>
        </is>
      </c>
      <c r="B494" t="inlineStr">
        <is>
          <t>1/NIC_BW_REAL</t>
        </is>
      </c>
      <c r="C494">
        <f>1/C493</f>
        <v/>
      </c>
    </row>
    <row r="495">
      <c r="A495" t="inlineStr">
        <is>
          <t>busbw_factor</t>
        </is>
      </c>
      <c r="B495" t="inlineStr">
        <is>
          <t>2*(n-1)/n</t>
        </is>
      </c>
      <c r="C495">
        <f>2*(C489-1)/C489</f>
        <v/>
      </c>
    </row>
    <row r="496">
      <c r="A496" t="inlineStr">
        <is>
          <t>fixed_overhead</t>
        </is>
      </c>
      <c r="B496" t="inlineStr">
        <is>
          <t>(2*LOG2(n)+1)*a/2</t>
        </is>
      </c>
      <c r="C496">
        <f>(2*LOG(C489,2)+1)*C491/2</f>
        <v/>
      </c>
    </row>
    <row r="497"/>
    <row r="498">
      <c r="A498" t="inlineStr">
        <is>
          <t>size_KB</t>
        </is>
      </c>
      <c r="B498" t="inlineStr">
        <is>
          <t>Actual Time (us)</t>
        </is>
      </c>
      <c r="C498" t="inlineStr">
        <is>
          <t>Roofline Time (us)</t>
        </is>
      </c>
      <c r="D498" t="inlineStr">
        <is>
          <t>Actual/Roofline</t>
        </is>
      </c>
      <c r="E498" t="inlineStr">
        <is>
          <t>Actual busBW (GB/s)</t>
        </is>
      </c>
      <c r="F498" t="inlineStr">
        <is>
          <t>Roofline busBW (GB/s)</t>
        </is>
      </c>
      <c r="G498" t="inlineStr">
        <is>
          <t>Meas/Roof busBW</t>
        </is>
      </c>
    </row>
    <row r="499">
      <c r="A499" t="n">
        <v>1</v>
      </c>
      <c r="B499" t="n">
        <v>77.34</v>
      </c>
      <c r="C499">
        <f>C496+A499*1024*C494</f>
        <v/>
      </c>
      <c r="D499">
        <f>B499/C499</f>
        <v/>
      </c>
      <c r="E499" t="n">
        <v>0.02</v>
      </c>
      <c r="F499">
        <f>A499*1024/(C499*0.000001)/1000000000*C495</f>
        <v/>
      </c>
      <c r="G499">
        <f>E499/F499</f>
        <v/>
      </c>
    </row>
    <row r="500">
      <c r="A500" t="n">
        <v>2</v>
      </c>
      <c r="B500" t="n">
        <v>80.31999999999999</v>
      </c>
      <c r="C500">
        <f>C496+A500*1024*C494</f>
        <v/>
      </c>
      <c r="D500">
        <f>B500/C500</f>
        <v/>
      </c>
      <c r="E500" t="n">
        <v>0.04</v>
      </c>
      <c r="F500">
        <f>A500*1024/(C500*0.000001)/1000000000*C495</f>
        <v/>
      </c>
      <c r="G500">
        <f>E500/F500</f>
        <v/>
      </c>
    </row>
    <row r="501">
      <c r="A501" t="n">
        <v>4</v>
      </c>
      <c r="B501" t="n">
        <v>84.26000000000001</v>
      </c>
      <c r="C501">
        <f>C496+A501*1024*C494</f>
        <v/>
      </c>
      <c r="D501">
        <f>B501/C501</f>
        <v/>
      </c>
      <c r="E501" t="n">
        <v>0.07000000000000001</v>
      </c>
      <c r="F501">
        <f>A501*1024/(C501*0.000001)/1000000000*C495</f>
        <v/>
      </c>
      <c r="G501">
        <f>E501/F501</f>
        <v/>
      </c>
    </row>
    <row r="502">
      <c r="A502" t="n">
        <v>8</v>
      </c>
      <c r="B502" t="n">
        <v>90.52</v>
      </c>
      <c r="C502">
        <f>C496+A502*1024*C494</f>
        <v/>
      </c>
      <c r="D502">
        <f>B502/C502</f>
        <v/>
      </c>
      <c r="E502" t="n">
        <v>0.14</v>
      </c>
      <c r="F502">
        <f>A502*1024/(C502*0.000001)/1000000000*C495</f>
        <v/>
      </c>
      <c r="G502">
        <f>E502/F502</f>
        <v/>
      </c>
    </row>
    <row r="503">
      <c r="A503" t="n">
        <v>16</v>
      </c>
      <c r="B503" t="n">
        <v>94.31999999999999</v>
      </c>
      <c r="C503">
        <f>C496+A503*1024*C494</f>
        <v/>
      </c>
      <c r="D503">
        <f>B503/C503</f>
        <v/>
      </c>
      <c r="E503" t="n">
        <v>0.26</v>
      </c>
      <c r="F503">
        <f>A503*1024/(C503*0.000001)/1000000000*C495</f>
        <v/>
      </c>
      <c r="G503">
        <f>E503/F503</f>
        <v/>
      </c>
    </row>
    <row r="504">
      <c r="A504" t="n">
        <v>32</v>
      </c>
      <c r="B504" t="n">
        <v>96.95999999999999</v>
      </c>
      <c r="C504">
        <f>C496+A504*1024*C494</f>
        <v/>
      </c>
      <c r="D504">
        <f>B504/C504</f>
        <v/>
      </c>
      <c r="E504" t="n">
        <v>0.51</v>
      </c>
      <c r="F504">
        <f>A504*1024/(C504*0.000001)/1000000000*C495</f>
        <v/>
      </c>
      <c r="G504">
        <f>E504/F504</f>
        <v/>
      </c>
    </row>
    <row r="505">
      <c r="A505" t="n">
        <v>64</v>
      </c>
      <c r="B505" t="n">
        <v>97.83</v>
      </c>
      <c r="C505">
        <f>C496+A505*1024*C494</f>
        <v/>
      </c>
      <c r="D505">
        <f>B505/C505</f>
        <v/>
      </c>
      <c r="E505" t="n">
        <v>1</v>
      </c>
      <c r="F505">
        <f>A505*1024/(C505*0.000001)/1000000000*C495</f>
        <v/>
      </c>
      <c r="G505">
        <f>E505/F505</f>
        <v/>
      </c>
    </row>
    <row r="506">
      <c r="A506" t="n">
        <v>128</v>
      </c>
      <c r="B506" t="n">
        <v>104.71</v>
      </c>
      <c r="C506">
        <f>C496+A506*1024*C494</f>
        <v/>
      </c>
      <c r="D506">
        <f>B506/C506</f>
        <v/>
      </c>
      <c r="E506" t="n">
        <v>1.88</v>
      </c>
      <c r="F506">
        <f>A506*1024/(C506*0.000001)/1000000000*C495</f>
        <v/>
      </c>
      <c r="G506">
        <f>E506/F506</f>
        <v/>
      </c>
    </row>
    <row r="507">
      <c r="A507" t="n">
        <v>256</v>
      </c>
      <c r="B507" t="n">
        <v>122.39</v>
      </c>
      <c r="C507">
        <f>C496+A507*1024*C494</f>
        <v/>
      </c>
      <c r="D507">
        <f>B507/C507</f>
        <v/>
      </c>
      <c r="E507" t="n">
        <v>3.21</v>
      </c>
      <c r="F507">
        <f>A507*1024/(C507*0.000001)/1000000000*C495</f>
        <v/>
      </c>
      <c r="G507">
        <f>E507/F507</f>
        <v/>
      </c>
    </row>
    <row r="508">
      <c r="A508" t="n">
        <v>512</v>
      </c>
      <c r="B508" t="n">
        <v>153.26</v>
      </c>
      <c r="C508">
        <f>C496+A508*1024*C494</f>
        <v/>
      </c>
      <c r="D508">
        <f>B508/C508</f>
        <v/>
      </c>
      <c r="E508" t="n">
        <v>5.13</v>
      </c>
      <c r="F508">
        <f>A508*1024/(C508*0.000001)/1000000000*C495</f>
        <v/>
      </c>
      <c r="G508">
        <f>E508/F508</f>
        <v/>
      </c>
    </row>
    <row r="509">
      <c r="A509" t="n">
        <v>1024</v>
      </c>
      <c r="B509" t="n">
        <v>196.5</v>
      </c>
      <c r="C509">
        <f>C496+A509*1024*C494</f>
        <v/>
      </c>
      <c r="D509">
        <f>B509/C509</f>
        <v/>
      </c>
      <c r="E509" t="n">
        <v>8</v>
      </c>
      <c r="F509">
        <f>A509*1024/(C509*0.000001)/1000000000*C495</f>
        <v/>
      </c>
      <c r="G509">
        <f>E509/F509</f>
        <v/>
      </c>
    </row>
    <row r="510">
      <c r="A510" t="n">
        <v>2048</v>
      </c>
      <c r="B510" t="n">
        <v>340.22</v>
      </c>
      <c r="C510">
        <f>C496+A510*1024*C494</f>
        <v/>
      </c>
      <c r="D510">
        <f>B510/C510</f>
        <v/>
      </c>
      <c r="E510" t="n">
        <v>9.25</v>
      </c>
      <c r="F510">
        <f>A510*1024/(C510*0.000001)/1000000000*C495</f>
        <v/>
      </c>
      <c r="G510">
        <f>E510/F510</f>
        <v/>
      </c>
    </row>
    <row r="511">
      <c r="A511" t="n">
        <v>4096</v>
      </c>
      <c r="B511" t="n">
        <v>703</v>
      </c>
      <c r="C511">
        <f>C496+A511*1024*C494</f>
        <v/>
      </c>
      <c r="D511">
        <f>B511/C511</f>
        <v/>
      </c>
      <c r="E511" t="n">
        <v>8.949999999999999</v>
      </c>
      <c r="F511">
        <f>A511*1024/(C511*0.000001)/1000000000*C495</f>
        <v/>
      </c>
      <c r="G511">
        <f>E511/F511</f>
        <v/>
      </c>
    </row>
    <row r="512">
      <c r="A512" t="n">
        <v>8192</v>
      </c>
      <c r="B512" t="n">
        <v>1310.22</v>
      </c>
      <c r="C512">
        <f>C496+A512*1024*C494</f>
        <v/>
      </c>
      <c r="D512">
        <f>B512/C512</f>
        <v/>
      </c>
      <c r="E512" t="n">
        <v>9.6</v>
      </c>
      <c r="F512">
        <f>A512*1024/(C512*0.000001)/1000000000*C495</f>
        <v/>
      </c>
      <c r="G512">
        <f>E512/F512</f>
        <v/>
      </c>
    </row>
    <row r="513">
      <c r="A513" t="n">
        <v>16384</v>
      </c>
      <c r="B513" t="n">
        <v>2591.37</v>
      </c>
      <c r="C513">
        <f>C496+A513*1024*C494</f>
        <v/>
      </c>
      <c r="D513">
        <f>B513/C513</f>
        <v/>
      </c>
      <c r="E513" t="n">
        <v>9.710000000000001</v>
      </c>
      <c r="F513">
        <f>A513*1024/(C513*0.000001)/1000000000*C495</f>
        <v/>
      </c>
      <c r="G513">
        <f>E513/F513</f>
        <v/>
      </c>
    </row>
    <row r="514">
      <c r="A514" t="n">
        <v>32768</v>
      </c>
      <c r="B514" t="n">
        <v>2683.91</v>
      </c>
      <c r="C514">
        <f>C496+A514*1024*C494</f>
        <v/>
      </c>
      <c r="D514">
        <f>B514/C514</f>
        <v/>
      </c>
      <c r="E514" t="n">
        <v>18.75</v>
      </c>
      <c r="F514">
        <f>A514*1024/(C514*0.000001)/1000000000*C495</f>
        <v/>
      </c>
      <c r="G514">
        <f>E514/F514</f>
        <v/>
      </c>
    </row>
    <row r="515">
      <c r="A515" t="n">
        <v>65536</v>
      </c>
      <c r="B515" t="n">
        <v>3834.72</v>
      </c>
      <c r="C515">
        <f>C496+A515*1024*C494</f>
        <v/>
      </c>
      <c r="D515">
        <f>B515/C515</f>
        <v/>
      </c>
      <c r="E515" t="n">
        <v>26.25</v>
      </c>
      <c r="F515">
        <f>A515*1024/(C515*0.000001)/1000000000*C495</f>
        <v/>
      </c>
      <c r="G515">
        <f>E515/F515</f>
        <v/>
      </c>
    </row>
    <row r="516">
      <c r="A516" t="n">
        <v>131072</v>
      </c>
      <c r="B516" t="n">
        <v>7488.1</v>
      </c>
      <c r="C516">
        <f>C496+A516*1024*C494</f>
        <v/>
      </c>
      <c r="D516">
        <f>B516/C516</f>
        <v/>
      </c>
      <c r="E516" t="n">
        <v>26.89</v>
      </c>
      <c r="F516">
        <f>A516*1024/(C516*0.000001)/1000000000*C495</f>
        <v/>
      </c>
      <c r="G516">
        <f>E516/F516</f>
        <v/>
      </c>
    </row>
    <row r="517">
      <c r="A517" t="n">
        <v>262144</v>
      </c>
      <c r="B517" t="n">
        <v>14830.3</v>
      </c>
      <c r="C517">
        <f>C496+A517*1024*C494</f>
        <v/>
      </c>
      <c r="D517">
        <f>B517/C517</f>
        <v/>
      </c>
      <c r="E517" t="n">
        <v>27.15</v>
      </c>
      <c r="F517">
        <f>A517*1024/(C517*0.000001)/1000000000*C495</f>
        <v/>
      </c>
      <c r="G517">
        <f>E517/F517</f>
        <v/>
      </c>
    </row>
    <row r="518">
      <c r="A518" t="n">
        <v>524288</v>
      </c>
      <c r="B518" t="n">
        <v>28745.1</v>
      </c>
      <c r="C518">
        <f>C496+A518*1024*C494</f>
        <v/>
      </c>
      <c r="D518">
        <f>B518/C518</f>
        <v/>
      </c>
      <c r="E518" t="n">
        <v>28.02</v>
      </c>
      <c r="F518">
        <f>A518*1024/(C518*0.000001)/1000000000*C495</f>
        <v/>
      </c>
      <c r="G518">
        <f>E518/F518</f>
        <v/>
      </c>
    </row>
    <row r="519">
      <c r="A519" t="n">
        <v>1048576</v>
      </c>
      <c r="B519" t="n">
        <v>53875.1</v>
      </c>
      <c r="C519">
        <f>C496+A519*1024*C494</f>
        <v/>
      </c>
      <c r="D519">
        <f>B519/C519</f>
        <v/>
      </c>
      <c r="E519" t="n">
        <v>29.9</v>
      </c>
      <c r="F519">
        <f>A519*1024/(C519*0.000001)/1000000000*C495</f>
        <v/>
      </c>
      <c r="G519">
        <f>E519/F519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Nodes: 4, Protocol: Simple, Channels: 1</t>
        </is>
      </c>
    </row>
    <row r="2">
      <c r="A2" t="inlineStr">
        <is>
          <t>Parameter</t>
        </is>
      </c>
      <c r="B2" t="inlineStr">
        <is>
          <t>Formula</t>
        </is>
      </c>
      <c r="C2" t="inlineStr">
        <is>
          <t>Value</t>
        </is>
      </c>
    </row>
    <row r="3">
      <c r="A3" t="inlineStr">
        <is>
          <t>N</t>
        </is>
      </c>
      <c r="B3" t="inlineStr">
        <is>
          <t>nodes</t>
        </is>
      </c>
      <c r="C3" t="n">
        <v>4</v>
      </c>
    </row>
    <row r="4">
      <c r="A4" t="inlineStr">
        <is>
          <t>n</t>
        </is>
      </c>
      <c r="B4" t="inlineStr">
        <is>
          <t>GPUs/node</t>
        </is>
      </c>
      <c r="C4" t="n">
        <v>8</v>
      </c>
    </row>
    <row r="5">
      <c r="A5" t="inlineStr">
        <is>
          <t>n_total</t>
        </is>
      </c>
      <c r="B5" t="inlineStr">
        <is>
          <t>N*n</t>
        </is>
      </c>
      <c r="C5" t="n">
        <v>32</v>
      </c>
    </row>
    <row r="6">
      <c r="A6" t="inlineStr">
        <is>
          <t>nch_raw</t>
        </is>
      </c>
      <c r="B6" t="inlineStr">
        <is>
          <t>raw channels</t>
        </is>
      </c>
      <c r="C6" t="n">
        <v>1</v>
      </c>
    </row>
    <row r="7">
      <c r="A7" t="inlineStr">
        <is>
          <t>nch</t>
        </is>
      </c>
      <c r="B7" t="inlineStr">
        <is>
          <t>min(nch_raw,8)</t>
        </is>
      </c>
      <c r="C7" t="n">
        <v>1</v>
      </c>
    </row>
    <row r="8">
      <c r="A8" t="inlineStr">
        <is>
          <t>a</t>
        </is>
      </c>
      <c r="B8" t="inlineStr">
        <is>
          <t>RTT (us)</t>
        </is>
      </c>
      <c r="C8" t="n">
        <v>24.92</v>
      </c>
    </row>
    <row r="9">
      <c r="A9" t="inlineStr">
        <is>
          <t>NIC_BW</t>
        </is>
      </c>
      <c r="B9" t="inlineStr">
        <is>
          <t>bytes/us</t>
        </is>
      </c>
      <c r="C9" t="n">
        <v>48750</v>
      </c>
    </row>
    <row r="10">
      <c r="A10" t="inlineStr">
        <is>
          <t>G_agg</t>
        </is>
      </c>
      <c r="B10" t="inlineStr">
        <is>
          <t>nch*NIC_BW</t>
        </is>
      </c>
      <c r="C10">
        <f>C7*C9</f>
        <v/>
      </c>
    </row>
    <row r="11">
      <c r="A11" t="inlineStr">
        <is>
          <t>busbw_factor</t>
        </is>
      </c>
      <c r="B11" t="inlineStr">
        <is>
          <t>2*(n_total-1)/n_total</t>
        </is>
      </c>
      <c r="C11">
        <f>2*(C5-1)/C5</f>
        <v/>
      </c>
    </row>
    <row r="12">
      <c r="A12" t="inlineStr">
        <is>
          <t>G_per_byte</t>
        </is>
      </c>
      <c r="B12" t="inlineStr">
        <is>
          <t>busbw_factor/G_agg</t>
        </is>
      </c>
      <c r="C12">
        <f>C11/C10</f>
        <v/>
      </c>
    </row>
    <row r="13">
      <c r="A13" t="inlineStr">
        <is>
          <t>fixed_small</t>
        </is>
      </c>
      <c r="B13" t="inlineStr">
        <is>
          <t>(2*n_total-1)*a/2</t>
        </is>
      </c>
      <c r="C13">
        <f>(2*C5-1)*C8/2</f>
        <v/>
      </c>
    </row>
    <row r="14">
      <c r="A14" t="inlineStr">
        <is>
          <t>fixed_large</t>
        </is>
      </c>
      <c r="B14" t="inlineStr">
        <is>
          <t>(2*N-1)*a/2</t>
        </is>
      </c>
      <c r="C14">
        <f>(2*C3-1)*C8/2</f>
        <v/>
      </c>
    </row>
    <row r="15">
      <c r="A15" t="inlineStr">
        <is>
          <t>threshold</t>
        </is>
      </c>
      <c r="B15" t="inlineStr">
        <is>
          <t>700</t>
        </is>
      </c>
      <c r="C15" t="n">
        <v>700</v>
      </c>
    </row>
    <row r="16"/>
    <row r="17">
      <c r="A17" t="inlineStr">
        <is>
          <t>size_KB</t>
        </is>
      </c>
      <c r="B17" t="inlineStr">
        <is>
          <t>Actual Time (us)</t>
        </is>
      </c>
      <c r="C17" t="inlineStr">
        <is>
          <t>Roofline Time (us)</t>
        </is>
      </c>
      <c r="D17" t="inlineStr">
        <is>
          <t>Actual/Roofline</t>
        </is>
      </c>
      <c r="E17" t="inlineStr">
        <is>
          <t>Actual busBW (GB/s)</t>
        </is>
      </c>
      <c r="F17" t="inlineStr">
        <is>
          <t>Roofline busBW (GB/s)</t>
        </is>
      </c>
      <c r="G17" t="inlineStr">
        <is>
          <t>Meas/Roof busBW</t>
        </is>
      </c>
    </row>
    <row r="18">
      <c r="A18" t="n">
        <v>1</v>
      </c>
      <c r="B18" t="n">
        <v>975.47</v>
      </c>
      <c r="C18">
        <f>IF(A18*1024/(C6*C9)&lt;C15,C13,C14)+A18*1024*C12</f>
        <v/>
      </c>
      <c r="D18">
        <f>B18/C18</f>
        <v/>
      </c>
      <c r="E18" t="n">
        <v>0</v>
      </c>
      <c r="F18">
        <f>A18*1024/(C18*0.000001)/1000000000*C11</f>
        <v/>
      </c>
      <c r="G18">
        <f>E18/F18</f>
        <v/>
      </c>
    </row>
    <row r="19">
      <c r="A19" t="n">
        <v>2</v>
      </c>
      <c r="B19" t="n">
        <v>969.71</v>
      </c>
      <c r="C19">
        <f>IF(A19*1024/(C6*C9)&lt;C15,C13,C14)+A19*1024*C12</f>
        <v/>
      </c>
      <c r="D19">
        <f>B19/C19</f>
        <v/>
      </c>
      <c r="E19" t="n">
        <v>0</v>
      </c>
      <c r="F19">
        <f>A19*1024/(C19*0.000001)/1000000000*C11</f>
        <v/>
      </c>
      <c r="G19">
        <f>E19/F19</f>
        <v/>
      </c>
    </row>
    <row r="20">
      <c r="A20" t="n">
        <v>4</v>
      </c>
      <c r="B20" t="n">
        <v>976.24</v>
      </c>
      <c r="C20">
        <f>IF(A20*1024/(C6*C9)&lt;C15,C13,C14)+A20*1024*C12</f>
        <v/>
      </c>
      <c r="D20">
        <f>B20/C20</f>
        <v/>
      </c>
      <c r="E20" t="n">
        <v>0.01</v>
      </c>
      <c r="F20">
        <f>A20*1024/(C20*0.000001)/1000000000*C11</f>
        <v/>
      </c>
      <c r="G20">
        <f>E20/F20</f>
        <v/>
      </c>
    </row>
    <row r="21">
      <c r="A21" t="n">
        <v>8</v>
      </c>
      <c r="B21" t="n">
        <v>970.96</v>
      </c>
      <c r="C21">
        <f>IF(A21*1024/(C6*C9)&lt;C15,C13,C14)+A21*1024*C12</f>
        <v/>
      </c>
      <c r="D21">
        <f>B21/C21</f>
        <v/>
      </c>
      <c r="E21" t="n">
        <v>0.02</v>
      </c>
      <c r="F21">
        <f>A21*1024/(C21*0.000001)/1000000000*C11</f>
        <v/>
      </c>
      <c r="G21">
        <f>E21/F21</f>
        <v/>
      </c>
    </row>
    <row r="22">
      <c r="A22" t="n">
        <v>16</v>
      </c>
      <c r="B22" t="n">
        <v>976.4</v>
      </c>
      <c r="C22">
        <f>IF(A22*1024/(C6*C9)&lt;C15,C13,C14)+A22*1024*C12</f>
        <v/>
      </c>
      <c r="D22">
        <f>B22/C22</f>
        <v/>
      </c>
      <c r="E22" t="n">
        <v>0.03</v>
      </c>
      <c r="F22">
        <f>A22*1024/(C22*0.000001)/1000000000*C11</f>
        <v/>
      </c>
      <c r="G22">
        <f>E22/F22</f>
        <v/>
      </c>
    </row>
    <row r="23">
      <c r="A23" t="n">
        <v>32</v>
      </c>
      <c r="B23" t="n">
        <v>979.4299999999999</v>
      </c>
      <c r="C23">
        <f>IF(A23*1024/(C6*C9)&lt;C15,C13,C14)+A23*1024*C12</f>
        <v/>
      </c>
      <c r="D23">
        <f>B23/C23</f>
        <v/>
      </c>
      <c r="E23" t="n">
        <v>0.06</v>
      </c>
      <c r="F23">
        <f>A23*1024/(C23*0.000001)/1000000000*C11</f>
        <v/>
      </c>
      <c r="G23">
        <f>E23/F23</f>
        <v/>
      </c>
    </row>
    <row r="24">
      <c r="A24" t="n">
        <v>64</v>
      </c>
      <c r="B24" t="n">
        <v>983.46</v>
      </c>
      <c r="C24">
        <f>IF(A24*1024/(C6*C9)&lt;C15,C13,C14)+A24*1024*C12</f>
        <v/>
      </c>
      <c r="D24">
        <f>B24/C24</f>
        <v/>
      </c>
      <c r="E24" t="n">
        <v>0.13</v>
      </c>
      <c r="F24">
        <f>A24*1024/(C24*0.000001)/1000000000*C11</f>
        <v/>
      </c>
      <c r="G24">
        <f>E24/F24</f>
        <v/>
      </c>
    </row>
    <row r="25">
      <c r="A25" t="n">
        <v>128</v>
      </c>
      <c r="B25" t="n">
        <v>1007.98</v>
      </c>
      <c r="C25">
        <f>IF(A25*1024/(C6*C9)&lt;C15,C13,C14)+A25*1024*C12</f>
        <v/>
      </c>
      <c r="D25">
        <f>B25/C25</f>
        <v/>
      </c>
      <c r="E25" t="n">
        <v>0.25</v>
      </c>
      <c r="F25">
        <f>A25*1024/(C25*0.000001)/1000000000*C11</f>
        <v/>
      </c>
      <c r="G25">
        <f>E25/F25</f>
        <v/>
      </c>
    </row>
    <row r="26">
      <c r="A26" t="n">
        <v>256</v>
      </c>
      <c r="B26" t="n">
        <v>1060.18</v>
      </c>
      <c r="C26">
        <f>IF(A26*1024/(C6*C9)&lt;C15,C13,C14)+A26*1024*C12</f>
        <v/>
      </c>
      <c r="D26">
        <f>B26/C26</f>
        <v/>
      </c>
      <c r="E26" t="n">
        <v>0.48</v>
      </c>
      <c r="F26">
        <f>A26*1024/(C26*0.000001)/1000000000*C11</f>
        <v/>
      </c>
      <c r="G26">
        <f>E26/F26</f>
        <v/>
      </c>
    </row>
    <row r="27">
      <c r="A27" t="n">
        <v>512</v>
      </c>
      <c r="B27" t="n">
        <v>1251.81</v>
      </c>
      <c r="C27">
        <f>IF(A27*1024/(C6*C9)&lt;C15,C13,C14)+A27*1024*C12</f>
        <v/>
      </c>
      <c r="D27">
        <f>B27/C27</f>
        <v/>
      </c>
      <c r="E27" t="n">
        <v>0.8100000000000001</v>
      </c>
      <c r="F27">
        <f>A27*1024/(C27*0.000001)/1000000000*C11</f>
        <v/>
      </c>
      <c r="G27">
        <f>E27/F27</f>
        <v/>
      </c>
    </row>
    <row r="28">
      <c r="A28" t="n">
        <v>1024</v>
      </c>
      <c r="B28" t="n">
        <v>1352.11</v>
      </c>
      <c r="C28">
        <f>IF(A28*1024/(C6*C9)&lt;C15,C13,C14)+A28*1024*C12</f>
        <v/>
      </c>
      <c r="D28">
        <f>B28/C28</f>
        <v/>
      </c>
      <c r="E28" t="n">
        <v>1.5</v>
      </c>
      <c r="F28">
        <f>A28*1024/(C28*0.000001)/1000000000*C11</f>
        <v/>
      </c>
      <c r="G28">
        <f>E28/F28</f>
        <v/>
      </c>
    </row>
    <row r="29">
      <c r="A29" t="n">
        <v>2048</v>
      </c>
      <c r="B29" t="n">
        <v>1460.49</v>
      </c>
      <c r="C29">
        <f>IF(A29*1024/(C6*C9)&lt;C15,C13,C14)+A29*1024*C12</f>
        <v/>
      </c>
      <c r="D29">
        <f>B29/C29</f>
        <v/>
      </c>
      <c r="E29" t="n">
        <v>2.78</v>
      </c>
      <c r="F29">
        <f>A29*1024/(C29*0.000001)/1000000000*C11</f>
        <v/>
      </c>
      <c r="G29">
        <f>E29/F29</f>
        <v/>
      </c>
    </row>
    <row r="30">
      <c r="A30" t="n">
        <v>4096</v>
      </c>
      <c r="B30" t="n">
        <v>1490.73</v>
      </c>
      <c r="C30">
        <f>IF(A30*1024/(C6*C9)&lt;C15,C13,C14)+A30*1024*C12</f>
        <v/>
      </c>
      <c r="D30">
        <f>B30/C30</f>
        <v/>
      </c>
      <c r="E30" t="n">
        <v>5.45</v>
      </c>
      <c r="F30">
        <f>A30*1024/(C30*0.000001)/1000000000*C11</f>
        <v/>
      </c>
      <c r="G30">
        <f>E30/F30</f>
        <v/>
      </c>
    </row>
    <row r="31">
      <c r="A31" t="n">
        <v>8192</v>
      </c>
      <c r="B31" t="n">
        <v>1729.81</v>
      </c>
      <c r="C31">
        <f>IF(A31*1024/(C6*C9)&lt;C15,C13,C14)+A31*1024*C12</f>
        <v/>
      </c>
      <c r="D31">
        <f>B31/C31</f>
        <v/>
      </c>
      <c r="E31" t="n">
        <v>9.4</v>
      </c>
      <c r="F31">
        <f>A31*1024/(C31*0.000001)/1000000000*C11</f>
        <v/>
      </c>
      <c r="G31">
        <f>E31/F31</f>
        <v/>
      </c>
    </row>
    <row r="32">
      <c r="A32" t="n">
        <v>16384</v>
      </c>
      <c r="B32" t="n">
        <v>1979.89</v>
      </c>
      <c r="C32">
        <f>IF(A32*1024/(C6*C9)&lt;C15,C13,C14)+A32*1024*C12</f>
        <v/>
      </c>
      <c r="D32">
        <f>B32/C32</f>
        <v/>
      </c>
      <c r="E32" t="n">
        <v>16.42</v>
      </c>
      <c r="F32">
        <f>A32*1024/(C32*0.000001)/1000000000*C11</f>
        <v/>
      </c>
      <c r="G32">
        <f>E32/F32</f>
        <v/>
      </c>
    </row>
    <row r="33">
      <c r="A33" t="n">
        <v>32768</v>
      </c>
      <c r="B33" t="n">
        <v>2884.55</v>
      </c>
      <c r="C33">
        <f>IF(A33*1024/(C6*C9)&lt;C15,C13,C14)+A33*1024*C12</f>
        <v/>
      </c>
      <c r="D33">
        <f>B33/C33</f>
        <v/>
      </c>
      <c r="E33" t="n">
        <v>22.54</v>
      </c>
      <c r="F33">
        <f>A33*1024/(C33*0.000001)/1000000000*C11</f>
        <v/>
      </c>
      <c r="G33">
        <f>E33/F33</f>
        <v/>
      </c>
    </row>
    <row r="34">
      <c r="A34" t="n">
        <v>65536</v>
      </c>
      <c r="B34" t="n">
        <v>5057.02</v>
      </c>
      <c r="C34">
        <f>IF(A34*1024/(C6*C9)&lt;C15,C13,C14)+A34*1024*C12</f>
        <v/>
      </c>
      <c r="D34">
        <f>B34/C34</f>
        <v/>
      </c>
      <c r="E34" t="n">
        <v>25.71</v>
      </c>
      <c r="F34">
        <f>A34*1024/(C34*0.000001)/1000000000*C11</f>
        <v/>
      </c>
      <c r="G34">
        <f>E34/F34</f>
        <v/>
      </c>
    </row>
    <row r="35">
      <c r="A35" t="n">
        <v>131072</v>
      </c>
      <c r="B35" t="n">
        <v>9469.440000000001</v>
      </c>
      <c r="C35">
        <f>IF(A35*1024/(C6*C9)&lt;C15,C13,C14)+A35*1024*C12</f>
        <v/>
      </c>
      <c r="D35">
        <f>B35/C35</f>
        <v/>
      </c>
      <c r="E35" t="n">
        <v>27.46</v>
      </c>
      <c r="F35">
        <f>A35*1024/(C35*0.000001)/1000000000*C11</f>
        <v/>
      </c>
      <c r="G35">
        <f>E35/F35</f>
        <v/>
      </c>
    </row>
    <row r="36">
      <c r="A36" t="n">
        <v>262144</v>
      </c>
      <c r="B36" t="n">
        <v>18939.2</v>
      </c>
      <c r="C36">
        <f>IF(A36*1024/(C6*C9)&lt;C15,C13,C14)+A36*1024*C12</f>
        <v/>
      </c>
      <c r="D36">
        <f>B36/C36</f>
        <v/>
      </c>
      <c r="E36" t="n">
        <v>27.46</v>
      </c>
      <c r="F36">
        <f>A36*1024/(C36*0.000001)/1000000000*C11</f>
        <v/>
      </c>
      <c r="G36">
        <f>E36/F36</f>
        <v/>
      </c>
    </row>
    <row r="37">
      <c r="A37" t="n">
        <v>524288</v>
      </c>
      <c r="B37" t="n">
        <v>37826.5</v>
      </c>
      <c r="C37">
        <f>IF(A37*1024/(C6*C9)&lt;C15,C13,C14)+A37*1024*C12</f>
        <v/>
      </c>
      <c r="D37">
        <f>B37/C37</f>
        <v/>
      </c>
      <c r="E37" t="n">
        <v>27.5</v>
      </c>
      <c r="F37">
        <f>A37*1024/(C37*0.000001)/1000000000*C11</f>
        <v/>
      </c>
      <c r="G37">
        <f>E37/F37</f>
        <v/>
      </c>
    </row>
    <row r="38">
      <c r="A38" t="n">
        <v>1048576</v>
      </c>
      <c r="B38" t="n">
        <v>75630.5</v>
      </c>
      <c r="C38">
        <f>IF(A38*1024/(C6*C9)&lt;C15,C13,C14)+A38*1024*C12</f>
        <v/>
      </c>
      <c r="D38">
        <f>B38/C38</f>
        <v/>
      </c>
      <c r="E38" t="n">
        <v>27.51</v>
      </c>
      <c r="F38">
        <f>A38*1024/(C38*0.000001)/1000000000*C11</f>
        <v/>
      </c>
      <c r="G38">
        <f>E38/F38</f>
        <v/>
      </c>
    </row>
    <row r="39">
      <c r="A39" t="n">
        <v>2097152</v>
      </c>
      <c r="B39" t="n">
        <v>151251</v>
      </c>
      <c r="C39">
        <f>IF(A39*1024/(C6*C9)&lt;C15,C13,C14)+A39*1024*C12</f>
        <v/>
      </c>
      <c r="D39">
        <f>B39/C39</f>
        <v/>
      </c>
      <c r="E39" t="n">
        <v>27.51</v>
      </c>
      <c r="F39">
        <f>A39*1024/(C39*0.000001)/1000000000*C11</f>
        <v/>
      </c>
      <c r="G39">
        <f>E39/F39</f>
        <v/>
      </c>
    </row>
    <row r="40">
      <c r="A40" t="n">
        <v>4194304</v>
      </c>
      <c r="B40" t="n">
        <v>302565</v>
      </c>
      <c r="C40">
        <f>IF(A40*1024/(C6*C9)&lt;C15,C13,C14)+A40*1024*C12</f>
        <v/>
      </c>
      <c r="D40">
        <f>B40/C40</f>
        <v/>
      </c>
      <c r="E40" t="n">
        <v>27.5</v>
      </c>
      <c r="F40">
        <f>A40*1024/(C40*0.000001)/1000000000*C11</f>
        <v/>
      </c>
      <c r="G40">
        <f>E40/F40</f>
        <v/>
      </c>
    </row>
    <row r="41"/>
    <row r="42">
      <c r="A42" t="inlineStr">
        <is>
          <t>Nodes: 4, Protocol: Simple, Channels: 2</t>
        </is>
      </c>
    </row>
    <row r="43">
      <c r="A43" t="inlineStr">
        <is>
          <t>Parameter</t>
        </is>
      </c>
      <c r="B43" t="inlineStr">
        <is>
          <t>Formula</t>
        </is>
      </c>
      <c r="C43" t="inlineStr">
        <is>
          <t>Value</t>
        </is>
      </c>
    </row>
    <row r="44">
      <c r="A44" t="inlineStr">
        <is>
          <t>N</t>
        </is>
      </c>
      <c r="B44" t="inlineStr">
        <is>
          <t>nodes</t>
        </is>
      </c>
      <c r="C44" t="n">
        <v>4</v>
      </c>
    </row>
    <row r="45">
      <c r="A45" t="inlineStr">
        <is>
          <t>n</t>
        </is>
      </c>
      <c r="B45" t="inlineStr">
        <is>
          <t>GPUs/node</t>
        </is>
      </c>
      <c r="C45" t="n">
        <v>8</v>
      </c>
    </row>
    <row r="46">
      <c r="A46" t="inlineStr">
        <is>
          <t>n_total</t>
        </is>
      </c>
      <c r="B46" t="inlineStr">
        <is>
          <t>N*n</t>
        </is>
      </c>
      <c r="C46" t="n">
        <v>32</v>
      </c>
    </row>
    <row r="47">
      <c r="A47" t="inlineStr">
        <is>
          <t>nch_raw</t>
        </is>
      </c>
      <c r="B47" t="inlineStr">
        <is>
          <t>raw channels</t>
        </is>
      </c>
      <c r="C47" t="n">
        <v>2</v>
      </c>
    </row>
    <row r="48">
      <c r="A48" t="inlineStr">
        <is>
          <t>nch</t>
        </is>
      </c>
      <c r="B48" t="inlineStr">
        <is>
          <t>min(nch_raw,8)</t>
        </is>
      </c>
      <c r="C48" t="n">
        <v>2</v>
      </c>
    </row>
    <row r="49">
      <c r="A49" t="inlineStr">
        <is>
          <t>a</t>
        </is>
      </c>
      <c r="B49" t="inlineStr">
        <is>
          <t>RTT (us)</t>
        </is>
      </c>
      <c r="C49" t="n">
        <v>24.92</v>
      </c>
    </row>
    <row r="50">
      <c r="A50" t="inlineStr">
        <is>
          <t>NIC_BW</t>
        </is>
      </c>
      <c r="B50" t="inlineStr">
        <is>
          <t>bytes/us</t>
        </is>
      </c>
      <c r="C50" t="n">
        <v>48750</v>
      </c>
    </row>
    <row r="51">
      <c r="A51" t="inlineStr">
        <is>
          <t>G_agg</t>
        </is>
      </c>
      <c r="B51" t="inlineStr">
        <is>
          <t>nch*NIC_BW</t>
        </is>
      </c>
      <c r="C51">
        <f>C48*C50</f>
        <v/>
      </c>
    </row>
    <row r="52">
      <c r="A52" t="inlineStr">
        <is>
          <t>busbw_factor</t>
        </is>
      </c>
      <c r="B52" t="inlineStr">
        <is>
          <t>2*(n_total-1)/n_total</t>
        </is>
      </c>
      <c r="C52">
        <f>2*(C46-1)/C46</f>
        <v/>
      </c>
    </row>
    <row r="53">
      <c r="A53" t="inlineStr">
        <is>
          <t>G_per_byte</t>
        </is>
      </c>
      <c r="B53" t="inlineStr">
        <is>
          <t>busbw_factor/G_agg</t>
        </is>
      </c>
      <c r="C53">
        <f>C52/C51</f>
        <v/>
      </c>
    </row>
    <row r="54">
      <c r="A54" t="inlineStr">
        <is>
          <t>fixed_small</t>
        </is>
      </c>
      <c r="B54" t="inlineStr">
        <is>
          <t>(2*n_total-1)*a/2</t>
        </is>
      </c>
      <c r="C54">
        <f>(2*C46-1)*C49/2</f>
        <v/>
      </c>
    </row>
    <row r="55">
      <c r="A55" t="inlineStr">
        <is>
          <t>fixed_large</t>
        </is>
      </c>
      <c r="B55" t="inlineStr">
        <is>
          <t>(2*N-1)*a/2</t>
        </is>
      </c>
      <c r="C55">
        <f>(2*C44-1)*C49/2</f>
        <v/>
      </c>
    </row>
    <row r="56">
      <c r="A56" t="inlineStr">
        <is>
          <t>threshold</t>
        </is>
      </c>
      <c r="B56" t="inlineStr">
        <is>
          <t>700</t>
        </is>
      </c>
      <c r="C56" t="n">
        <v>700</v>
      </c>
    </row>
    <row r="57"/>
    <row r="58">
      <c r="A58" t="inlineStr">
        <is>
          <t>size_KB</t>
        </is>
      </c>
      <c r="B58" t="inlineStr">
        <is>
          <t>Actual Time (us)</t>
        </is>
      </c>
      <c r="C58" t="inlineStr">
        <is>
          <t>Roofline Time (us)</t>
        </is>
      </c>
      <c r="D58" t="inlineStr">
        <is>
          <t>Actual/Roofline</t>
        </is>
      </c>
      <c r="E58" t="inlineStr">
        <is>
          <t>Actual busBW (GB/s)</t>
        </is>
      </c>
      <c r="F58" t="inlineStr">
        <is>
          <t>Roofline busBW (GB/s)</t>
        </is>
      </c>
      <c r="G58" t="inlineStr">
        <is>
          <t>Meas/Roof busBW</t>
        </is>
      </c>
    </row>
    <row r="59">
      <c r="A59" t="n">
        <v>1</v>
      </c>
      <c r="B59" t="n">
        <v>973.36</v>
      </c>
      <c r="C59">
        <f>IF(A59*1024/(C47*C50)&lt;C56,C54,C55)+A59*1024*C53</f>
        <v/>
      </c>
      <c r="D59">
        <f>B59/C59</f>
        <v/>
      </c>
      <c r="E59" t="n">
        <v>0</v>
      </c>
      <c r="F59">
        <f>A59*1024/(C59*0.000001)/1000000000*C52</f>
        <v/>
      </c>
      <c r="G59">
        <f>E59/F59</f>
        <v/>
      </c>
    </row>
    <row r="60">
      <c r="A60" t="n">
        <v>2</v>
      </c>
      <c r="B60" t="n">
        <v>970.74</v>
      </c>
      <c r="C60">
        <f>IF(A60*1024/(C47*C50)&lt;C56,C54,C55)+A60*1024*C53</f>
        <v/>
      </c>
      <c r="D60">
        <f>B60/C60</f>
        <v/>
      </c>
      <c r="E60" t="n">
        <v>0</v>
      </c>
      <c r="F60">
        <f>A60*1024/(C60*0.000001)/1000000000*C52</f>
        <v/>
      </c>
      <c r="G60">
        <f>E60/F60</f>
        <v/>
      </c>
    </row>
    <row r="61">
      <c r="A61" t="n">
        <v>4</v>
      </c>
      <c r="B61" t="n">
        <v>973.05</v>
      </c>
      <c r="C61">
        <f>IF(A61*1024/(C47*C50)&lt;C56,C54,C55)+A61*1024*C53</f>
        <v/>
      </c>
      <c r="D61">
        <f>B61/C61</f>
        <v/>
      </c>
      <c r="E61" t="n">
        <v>0.01</v>
      </c>
      <c r="F61">
        <f>A61*1024/(C61*0.000001)/1000000000*C52</f>
        <v/>
      </c>
      <c r="G61">
        <f>E61/F61</f>
        <v/>
      </c>
    </row>
    <row r="62">
      <c r="A62" t="n">
        <v>8</v>
      </c>
      <c r="B62" t="n">
        <v>972.0599999999999</v>
      </c>
      <c r="C62">
        <f>IF(A62*1024/(C47*C50)&lt;C56,C54,C55)+A62*1024*C53</f>
        <v/>
      </c>
      <c r="D62">
        <f>B62/C62</f>
        <v/>
      </c>
      <c r="E62" t="n">
        <v>0.02</v>
      </c>
      <c r="F62">
        <f>A62*1024/(C62*0.000001)/1000000000*C52</f>
        <v/>
      </c>
      <c r="G62">
        <f>E62/F62</f>
        <v/>
      </c>
    </row>
    <row r="63">
      <c r="A63" t="n">
        <v>16</v>
      </c>
      <c r="B63" t="n">
        <v>970.65</v>
      </c>
      <c r="C63">
        <f>IF(A63*1024/(C47*C50)&lt;C56,C54,C55)+A63*1024*C53</f>
        <v/>
      </c>
      <c r="D63">
        <f>B63/C63</f>
        <v/>
      </c>
      <c r="E63" t="n">
        <v>0.03</v>
      </c>
      <c r="F63">
        <f>A63*1024/(C63*0.000001)/1000000000*C52</f>
        <v/>
      </c>
      <c r="G63">
        <f>E63/F63</f>
        <v/>
      </c>
    </row>
    <row r="64">
      <c r="A64" t="n">
        <v>32</v>
      </c>
      <c r="B64" t="n">
        <v>974.52</v>
      </c>
      <c r="C64">
        <f>IF(A64*1024/(C47*C50)&lt;C56,C54,C55)+A64*1024*C53</f>
        <v/>
      </c>
      <c r="D64">
        <f>B64/C64</f>
        <v/>
      </c>
      <c r="E64" t="n">
        <v>0.07000000000000001</v>
      </c>
      <c r="F64">
        <f>A64*1024/(C64*0.000001)/1000000000*C52</f>
        <v/>
      </c>
      <c r="G64">
        <f>E64/F64</f>
        <v/>
      </c>
    </row>
    <row r="65">
      <c r="A65" t="n">
        <v>64</v>
      </c>
      <c r="B65" t="n">
        <v>1012.7</v>
      </c>
      <c r="C65">
        <f>IF(A65*1024/(C47*C50)&lt;C56,C54,C55)+A65*1024*C53</f>
        <v/>
      </c>
      <c r="D65">
        <f>B65/C65</f>
        <v/>
      </c>
      <c r="E65" t="n">
        <v>0.13</v>
      </c>
      <c r="F65">
        <f>A65*1024/(C65*0.000001)/1000000000*C52</f>
        <v/>
      </c>
      <c r="G65">
        <f>E65/F65</f>
        <v/>
      </c>
    </row>
    <row r="66">
      <c r="A66" t="n">
        <v>128</v>
      </c>
      <c r="B66" t="n">
        <v>1013.55</v>
      </c>
      <c r="C66">
        <f>IF(A66*1024/(C47*C50)&lt;C56,C54,C55)+A66*1024*C53</f>
        <v/>
      </c>
      <c r="D66">
        <f>B66/C66</f>
        <v/>
      </c>
      <c r="E66" t="n">
        <v>0.25</v>
      </c>
      <c r="F66">
        <f>A66*1024/(C66*0.000001)/1000000000*C52</f>
        <v/>
      </c>
      <c r="G66">
        <f>E66/F66</f>
        <v/>
      </c>
    </row>
    <row r="67">
      <c r="A67" t="n">
        <v>256</v>
      </c>
      <c r="B67" t="n">
        <v>1037.59</v>
      </c>
      <c r="C67">
        <f>IF(A67*1024/(C47*C50)&lt;C56,C54,C55)+A67*1024*C53</f>
        <v/>
      </c>
      <c r="D67">
        <f>B67/C67</f>
        <v/>
      </c>
      <c r="E67" t="n">
        <v>0.49</v>
      </c>
      <c r="F67">
        <f>A67*1024/(C67*0.000001)/1000000000*C52</f>
        <v/>
      </c>
      <c r="G67">
        <f>E67/F67</f>
        <v/>
      </c>
    </row>
    <row r="68">
      <c r="A68" t="n">
        <v>512</v>
      </c>
      <c r="B68" t="n">
        <v>1092.98</v>
      </c>
      <c r="C68">
        <f>IF(A68*1024/(C47*C50)&lt;C56,C54,C55)+A68*1024*C53</f>
        <v/>
      </c>
      <c r="D68">
        <f>B68/C68</f>
        <v/>
      </c>
      <c r="E68" t="n">
        <v>0.93</v>
      </c>
      <c r="F68">
        <f>A68*1024/(C68*0.000001)/1000000000*C52</f>
        <v/>
      </c>
      <c r="G68">
        <f>E68/F68</f>
        <v/>
      </c>
    </row>
    <row r="69">
      <c r="A69" t="n">
        <v>1024</v>
      </c>
      <c r="B69" t="n">
        <v>1277.9</v>
      </c>
      <c r="C69">
        <f>IF(A69*1024/(C47*C50)&lt;C56,C54,C55)+A69*1024*C53</f>
        <v/>
      </c>
      <c r="D69">
        <f>B69/C69</f>
        <v/>
      </c>
      <c r="E69" t="n">
        <v>1.59</v>
      </c>
      <c r="F69">
        <f>A69*1024/(C69*0.000001)/1000000000*C52</f>
        <v/>
      </c>
      <c r="G69">
        <f>E69/F69</f>
        <v/>
      </c>
    </row>
    <row r="70">
      <c r="A70" t="n">
        <v>2048</v>
      </c>
      <c r="B70" t="n">
        <v>1379.15</v>
      </c>
      <c r="C70">
        <f>IF(A70*1024/(C47*C50)&lt;C56,C54,C55)+A70*1024*C53</f>
        <v/>
      </c>
      <c r="D70">
        <f>B70/C70</f>
        <v/>
      </c>
      <c r="E70" t="n">
        <v>2.95</v>
      </c>
      <c r="F70">
        <f>A70*1024/(C70*0.000001)/1000000000*C52</f>
        <v/>
      </c>
      <c r="G70">
        <f>E70/F70</f>
        <v/>
      </c>
    </row>
    <row r="71">
      <c r="A71" t="n">
        <v>4096</v>
      </c>
      <c r="B71" t="n">
        <v>1485.68</v>
      </c>
      <c r="C71">
        <f>IF(A71*1024/(C47*C50)&lt;C56,C54,C55)+A71*1024*C53</f>
        <v/>
      </c>
      <c r="D71">
        <f>B71/C71</f>
        <v/>
      </c>
      <c r="E71" t="n">
        <v>5.47</v>
      </c>
      <c r="F71">
        <f>A71*1024/(C71*0.000001)/1000000000*C52</f>
        <v/>
      </c>
      <c r="G71">
        <f>E71/F71</f>
        <v/>
      </c>
    </row>
    <row r="72">
      <c r="A72" t="n">
        <v>8192</v>
      </c>
      <c r="B72" t="n">
        <v>1515.04</v>
      </c>
      <c r="C72">
        <f>IF(A72*1024/(C47*C50)&lt;C56,C54,C55)+A72*1024*C53</f>
        <v/>
      </c>
      <c r="D72">
        <f>B72/C72</f>
        <v/>
      </c>
      <c r="E72" t="n">
        <v>10.73</v>
      </c>
      <c r="F72">
        <f>A72*1024/(C72*0.000001)/1000000000*C52</f>
        <v/>
      </c>
      <c r="G72">
        <f>E72/F72</f>
        <v/>
      </c>
    </row>
    <row r="73">
      <c r="A73" t="n">
        <v>16384</v>
      </c>
      <c r="B73" t="n">
        <v>1755.5</v>
      </c>
      <c r="C73">
        <f>IF(A73*1024/(C47*C50)&lt;C56,C54,C55)+A73*1024*C53</f>
        <v/>
      </c>
      <c r="D73">
        <f>B73/C73</f>
        <v/>
      </c>
      <c r="E73" t="n">
        <v>18.52</v>
      </c>
      <c r="F73">
        <f>A73*1024/(C73*0.000001)/1000000000*C52</f>
        <v/>
      </c>
      <c r="G73">
        <f>E73/F73</f>
        <v/>
      </c>
    </row>
    <row r="74">
      <c r="A74" t="n">
        <v>32768</v>
      </c>
      <c r="B74" t="n">
        <v>2008.62</v>
      </c>
      <c r="C74">
        <f>IF(A74*1024/(C47*C50)&lt;C56,C54,C55)+A74*1024*C53</f>
        <v/>
      </c>
      <c r="D74">
        <f>B74/C74</f>
        <v/>
      </c>
      <c r="E74" t="n">
        <v>32.37</v>
      </c>
      <c r="F74">
        <f>A74*1024/(C74*0.000001)/1000000000*C52</f>
        <v/>
      </c>
      <c r="G74">
        <f>E74/F74</f>
        <v/>
      </c>
    </row>
    <row r="75">
      <c r="A75" t="n">
        <v>65536</v>
      </c>
      <c r="B75" t="n">
        <v>2901.73</v>
      </c>
      <c r="C75">
        <f>IF(A75*1024/(C47*C50)&lt;C56,C54,C55)+A75*1024*C53</f>
        <v/>
      </c>
      <c r="D75">
        <f>B75/C75</f>
        <v/>
      </c>
      <c r="E75" t="n">
        <v>44.81</v>
      </c>
      <c r="F75">
        <f>A75*1024/(C75*0.000001)/1000000000*C52</f>
        <v/>
      </c>
      <c r="G75">
        <f>E75/F75</f>
        <v/>
      </c>
    </row>
    <row r="76">
      <c r="A76" t="n">
        <v>131072</v>
      </c>
      <c r="B76" t="n">
        <v>5095.06</v>
      </c>
      <c r="C76">
        <f>IF(A76*1024/(C47*C50)&lt;C56,C54,C55)+A76*1024*C53</f>
        <v/>
      </c>
      <c r="D76">
        <f>B76/C76</f>
        <v/>
      </c>
      <c r="E76" t="n">
        <v>51.04</v>
      </c>
      <c r="F76">
        <f>A76*1024/(C76*0.000001)/1000000000*C52</f>
        <v/>
      </c>
      <c r="G76">
        <f>E76/F76</f>
        <v/>
      </c>
    </row>
    <row r="77">
      <c r="A77" t="n">
        <v>262144</v>
      </c>
      <c r="B77" t="n">
        <v>9528.67</v>
      </c>
      <c r="C77">
        <f>IF(A77*1024/(C47*C50)&lt;C56,C54,C55)+A77*1024*C53</f>
        <v/>
      </c>
      <c r="D77">
        <f>B77/C77</f>
        <v/>
      </c>
      <c r="E77" t="n">
        <v>54.58</v>
      </c>
      <c r="F77">
        <f>A77*1024/(C77*0.000001)/1000000000*C52</f>
        <v/>
      </c>
      <c r="G77">
        <f>E77/F77</f>
        <v/>
      </c>
    </row>
    <row r="78">
      <c r="A78" t="n">
        <v>524288</v>
      </c>
      <c r="B78" t="n">
        <v>19010</v>
      </c>
      <c r="C78">
        <f>IF(A78*1024/(C47*C50)&lt;C56,C54,C55)+A78*1024*C53</f>
        <v/>
      </c>
      <c r="D78">
        <f>B78/C78</f>
        <v/>
      </c>
      <c r="E78" t="n">
        <v>54.72</v>
      </c>
      <c r="F78">
        <f>A78*1024/(C78*0.000001)/1000000000*C52</f>
        <v/>
      </c>
      <c r="G78">
        <f>E78/F78</f>
        <v/>
      </c>
    </row>
    <row r="79">
      <c r="A79" t="n">
        <v>1048576</v>
      </c>
      <c r="B79" t="n">
        <v>37991.9</v>
      </c>
      <c r="C79">
        <f>IF(A79*1024/(C47*C50)&lt;C56,C54,C55)+A79*1024*C53</f>
        <v/>
      </c>
      <c r="D79">
        <f>B79/C79</f>
        <v/>
      </c>
      <c r="E79" t="n">
        <v>54.76</v>
      </c>
      <c r="F79">
        <f>A79*1024/(C79*0.000001)/1000000000*C52</f>
        <v/>
      </c>
      <c r="G79">
        <f>E79/F79</f>
        <v/>
      </c>
    </row>
    <row r="80">
      <c r="A80" t="n">
        <v>2097152</v>
      </c>
      <c r="B80" t="n">
        <v>75968.89999999999</v>
      </c>
      <c r="C80">
        <f>IF(A80*1024/(C47*C50)&lt;C56,C54,C55)+A80*1024*C53</f>
        <v/>
      </c>
      <c r="D80">
        <f>B80/C80</f>
        <v/>
      </c>
      <c r="E80" t="n">
        <v>54.77</v>
      </c>
      <c r="F80">
        <f>A80*1024/(C80*0.000001)/1000000000*C52</f>
        <v/>
      </c>
      <c r="G80">
        <f>E80/F80</f>
        <v/>
      </c>
    </row>
    <row r="81">
      <c r="A81" t="n">
        <v>4194304</v>
      </c>
      <c r="B81" t="n">
        <v>151876</v>
      </c>
      <c r="C81">
        <f>IF(A81*1024/(C47*C50)&lt;C56,C54,C55)+A81*1024*C53</f>
        <v/>
      </c>
      <c r="D81">
        <f>B81/C81</f>
        <v/>
      </c>
      <c r="E81" t="n">
        <v>54.79</v>
      </c>
      <c r="F81">
        <f>A81*1024/(C81*0.000001)/1000000000*C52</f>
        <v/>
      </c>
      <c r="G81">
        <f>E81/F81</f>
        <v/>
      </c>
    </row>
    <row r="82"/>
    <row r="83">
      <c r="A83" t="inlineStr">
        <is>
          <t>Nodes: 4, Protocol: Simple, Channels: 4</t>
        </is>
      </c>
    </row>
    <row r="84">
      <c r="A84" t="inlineStr">
        <is>
          <t>Parameter</t>
        </is>
      </c>
      <c r="B84" t="inlineStr">
        <is>
          <t>Formula</t>
        </is>
      </c>
      <c r="C84" t="inlineStr">
        <is>
          <t>Value</t>
        </is>
      </c>
    </row>
    <row r="85">
      <c r="A85" t="inlineStr">
        <is>
          <t>N</t>
        </is>
      </c>
      <c r="B85" t="inlineStr">
        <is>
          <t>nodes</t>
        </is>
      </c>
      <c r="C85" t="n">
        <v>4</v>
      </c>
    </row>
    <row r="86">
      <c r="A86" t="inlineStr">
        <is>
          <t>n</t>
        </is>
      </c>
      <c r="B86" t="inlineStr">
        <is>
          <t>GPUs/node</t>
        </is>
      </c>
      <c r="C86" t="n">
        <v>8</v>
      </c>
    </row>
    <row r="87">
      <c r="A87" t="inlineStr">
        <is>
          <t>n_total</t>
        </is>
      </c>
      <c r="B87" t="inlineStr">
        <is>
          <t>N*n</t>
        </is>
      </c>
      <c r="C87" t="n">
        <v>32</v>
      </c>
    </row>
    <row r="88">
      <c r="A88" t="inlineStr">
        <is>
          <t>nch_raw</t>
        </is>
      </c>
      <c r="B88" t="inlineStr">
        <is>
          <t>raw channels</t>
        </is>
      </c>
      <c r="C88" t="n">
        <v>4</v>
      </c>
    </row>
    <row r="89">
      <c r="A89" t="inlineStr">
        <is>
          <t>nch</t>
        </is>
      </c>
      <c r="B89" t="inlineStr">
        <is>
          <t>min(nch_raw,8)</t>
        </is>
      </c>
      <c r="C89" t="n">
        <v>4</v>
      </c>
    </row>
    <row r="90">
      <c r="A90" t="inlineStr">
        <is>
          <t>a</t>
        </is>
      </c>
      <c r="B90" t="inlineStr">
        <is>
          <t>RTT (us)</t>
        </is>
      </c>
      <c r="C90" t="n">
        <v>24.92</v>
      </c>
    </row>
    <row r="91">
      <c r="A91" t="inlineStr">
        <is>
          <t>NIC_BW</t>
        </is>
      </c>
      <c r="B91" t="inlineStr">
        <is>
          <t>bytes/us</t>
        </is>
      </c>
      <c r="C91" t="n">
        <v>48750</v>
      </c>
    </row>
    <row r="92">
      <c r="A92" t="inlineStr">
        <is>
          <t>G_agg</t>
        </is>
      </c>
      <c r="B92" t="inlineStr">
        <is>
          <t>nch*NIC_BW</t>
        </is>
      </c>
      <c r="C92">
        <f>C89*C91</f>
        <v/>
      </c>
    </row>
    <row r="93">
      <c r="A93" t="inlineStr">
        <is>
          <t>busbw_factor</t>
        </is>
      </c>
      <c r="B93" t="inlineStr">
        <is>
          <t>2*(n_total-1)/n_total</t>
        </is>
      </c>
      <c r="C93">
        <f>2*(C87-1)/C87</f>
        <v/>
      </c>
    </row>
    <row r="94">
      <c r="A94" t="inlineStr">
        <is>
          <t>G_per_byte</t>
        </is>
      </c>
      <c r="B94" t="inlineStr">
        <is>
          <t>busbw_factor/G_agg</t>
        </is>
      </c>
      <c r="C94">
        <f>C93/C92</f>
        <v/>
      </c>
    </row>
    <row r="95">
      <c r="A95" t="inlineStr">
        <is>
          <t>fixed_small</t>
        </is>
      </c>
      <c r="B95" t="inlineStr">
        <is>
          <t>(2*n_total-1)*a/2</t>
        </is>
      </c>
      <c r="C95">
        <f>(2*C87-1)*C90/2</f>
        <v/>
      </c>
    </row>
    <row r="96">
      <c r="A96" t="inlineStr">
        <is>
          <t>fixed_large</t>
        </is>
      </c>
      <c r="B96" t="inlineStr">
        <is>
          <t>(2*N-1)*a/2</t>
        </is>
      </c>
      <c r="C96">
        <f>(2*C85-1)*C90/2</f>
        <v/>
      </c>
    </row>
    <row r="97">
      <c r="A97" t="inlineStr">
        <is>
          <t>threshold</t>
        </is>
      </c>
      <c r="B97" t="inlineStr">
        <is>
          <t>700</t>
        </is>
      </c>
      <c r="C97" t="n">
        <v>700</v>
      </c>
    </row>
    <row r="98"/>
    <row r="99">
      <c r="A99" t="inlineStr">
        <is>
          <t>size_KB</t>
        </is>
      </c>
      <c r="B99" t="inlineStr">
        <is>
          <t>Actual Time (us)</t>
        </is>
      </c>
      <c r="C99" t="inlineStr">
        <is>
          <t>Roofline Time (us)</t>
        </is>
      </c>
      <c r="D99" t="inlineStr">
        <is>
          <t>Actual/Roofline</t>
        </is>
      </c>
      <c r="E99" t="inlineStr">
        <is>
          <t>Actual busBW (GB/s)</t>
        </is>
      </c>
      <c r="F99" t="inlineStr">
        <is>
          <t>Roofline busBW (GB/s)</t>
        </is>
      </c>
      <c r="G99" t="inlineStr">
        <is>
          <t>Meas/Roof busBW</t>
        </is>
      </c>
    </row>
    <row r="100">
      <c r="A100" t="n">
        <v>1</v>
      </c>
      <c r="B100" t="n">
        <v>974.85</v>
      </c>
      <c r="C100">
        <f>IF(A100*1024/(C88*C91)&lt;C97,C95,C96)+A100*1024*C94</f>
        <v/>
      </c>
      <c r="D100">
        <f>B100/C100</f>
        <v/>
      </c>
      <c r="E100" t="n">
        <v>0</v>
      </c>
      <c r="F100">
        <f>A100*1024/(C100*0.000001)/1000000000*C93</f>
        <v/>
      </c>
      <c r="G100">
        <f>E100/F100</f>
        <v/>
      </c>
    </row>
    <row r="101">
      <c r="A101" t="n">
        <v>2</v>
      </c>
      <c r="B101" t="n">
        <v>961.3</v>
      </c>
      <c r="C101">
        <f>IF(A101*1024/(C88*C91)&lt;C97,C95,C96)+A101*1024*C94</f>
        <v/>
      </c>
      <c r="D101">
        <f>B101/C101</f>
        <v/>
      </c>
      <c r="E101" t="n">
        <v>0</v>
      </c>
      <c r="F101">
        <f>A101*1024/(C101*0.000001)/1000000000*C93</f>
        <v/>
      </c>
      <c r="G101">
        <f>E101/F101</f>
        <v/>
      </c>
    </row>
    <row r="102">
      <c r="A102" t="n">
        <v>4</v>
      </c>
      <c r="B102" t="n">
        <v>965.72</v>
      </c>
      <c r="C102">
        <f>IF(A102*1024/(C88*C91)&lt;C97,C95,C96)+A102*1024*C94</f>
        <v/>
      </c>
      <c r="D102">
        <f>B102/C102</f>
        <v/>
      </c>
      <c r="E102" t="n">
        <v>0.01</v>
      </c>
      <c r="F102">
        <f>A102*1024/(C102*0.000001)/1000000000*C93</f>
        <v/>
      </c>
      <c r="G102">
        <f>E102/F102</f>
        <v/>
      </c>
    </row>
    <row r="103">
      <c r="A103" t="n">
        <v>8</v>
      </c>
      <c r="B103" t="n">
        <v>961.75</v>
      </c>
      <c r="C103">
        <f>IF(A103*1024/(C88*C91)&lt;C97,C95,C96)+A103*1024*C94</f>
        <v/>
      </c>
      <c r="D103">
        <f>B103/C103</f>
        <v/>
      </c>
      <c r="E103" t="n">
        <v>0.02</v>
      </c>
      <c r="F103">
        <f>A103*1024/(C103*0.000001)/1000000000*C93</f>
        <v/>
      </c>
      <c r="G103">
        <f>E103/F103</f>
        <v/>
      </c>
    </row>
    <row r="104">
      <c r="A104" t="n">
        <v>16</v>
      </c>
      <c r="B104" t="n">
        <v>962.77</v>
      </c>
      <c r="C104">
        <f>IF(A104*1024/(C88*C91)&lt;C97,C95,C96)+A104*1024*C94</f>
        <v/>
      </c>
      <c r="D104">
        <f>B104/C104</f>
        <v/>
      </c>
      <c r="E104" t="n">
        <v>0.03</v>
      </c>
      <c r="F104">
        <f>A104*1024/(C104*0.000001)/1000000000*C93</f>
        <v/>
      </c>
      <c r="G104">
        <f>E104/F104</f>
        <v/>
      </c>
    </row>
    <row r="105">
      <c r="A105" t="n">
        <v>32</v>
      </c>
      <c r="B105" t="n">
        <v>970.45</v>
      </c>
      <c r="C105">
        <f>IF(A105*1024/(C88*C91)&lt;C97,C95,C96)+A105*1024*C94</f>
        <v/>
      </c>
      <c r="D105">
        <f>B105/C105</f>
        <v/>
      </c>
      <c r="E105" t="n">
        <v>0.07000000000000001</v>
      </c>
      <c r="F105">
        <f>A105*1024/(C105*0.000001)/1000000000*C93</f>
        <v/>
      </c>
      <c r="G105">
        <f>E105/F105</f>
        <v/>
      </c>
    </row>
    <row r="106">
      <c r="A106" t="n">
        <v>64</v>
      </c>
      <c r="B106" t="n">
        <v>1011.03</v>
      </c>
      <c r="C106">
        <f>IF(A106*1024/(C88*C91)&lt;C97,C95,C96)+A106*1024*C94</f>
        <v/>
      </c>
      <c r="D106">
        <f>B106/C106</f>
        <v/>
      </c>
      <c r="E106" t="n">
        <v>0.13</v>
      </c>
      <c r="F106">
        <f>A106*1024/(C106*0.000001)/1000000000*C93</f>
        <v/>
      </c>
      <c r="G106">
        <f>E106/F106</f>
        <v/>
      </c>
    </row>
    <row r="107">
      <c r="A107" t="n">
        <v>128</v>
      </c>
      <c r="B107" t="n">
        <v>1023.05</v>
      </c>
      <c r="C107">
        <f>IF(A107*1024/(C88*C91)&lt;C97,C95,C96)+A107*1024*C94</f>
        <v/>
      </c>
      <c r="D107">
        <f>B107/C107</f>
        <v/>
      </c>
      <c r="E107" t="n">
        <v>0.25</v>
      </c>
      <c r="F107">
        <f>A107*1024/(C107*0.000001)/1000000000*C93</f>
        <v/>
      </c>
      <c r="G107">
        <f>E107/F107</f>
        <v/>
      </c>
    </row>
    <row r="108">
      <c r="A108" t="n">
        <v>256</v>
      </c>
      <c r="B108" t="n">
        <v>1038.11</v>
      </c>
      <c r="C108">
        <f>IF(A108*1024/(C88*C91)&lt;C97,C95,C96)+A108*1024*C94</f>
        <v/>
      </c>
      <c r="D108">
        <f>B108/C108</f>
        <v/>
      </c>
      <c r="E108" t="n">
        <v>0.49</v>
      </c>
      <c r="F108">
        <f>A108*1024/(C108*0.000001)/1000000000*C93</f>
        <v/>
      </c>
      <c r="G108">
        <f>E108/F108</f>
        <v/>
      </c>
    </row>
    <row r="109">
      <c r="A109" t="n">
        <v>512</v>
      </c>
      <c r="B109" t="n">
        <v>1084.23</v>
      </c>
      <c r="C109">
        <f>IF(A109*1024/(C88*C91)&lt;C97,C95,C96)+A109*1024*C94</f>
        <v/>
      </c>
      <c r="D109">
        <f>B109/C109</f>
        <v/>
      </c>
      <c r="E109" t="n">
        <v>0.9399999999999999</v>
      </c>
      <c r="F109">
        <f>A109*1024/(C109*0.000001)/1000000000*C93</f>
        <v/>
      </c>
      <c r="G109">
        <f>E109/F109</f>
        <v/>
      </c>
    </row>
    <row r="110">
      <c r="A110" t="n">
        <v>1024</v>
      </c>
      <c r="B110" t="n">
        <v>1107.39</v>
      </c>
      <c r="C110">
        <f>IF(A110*1024/(C88*C91)&lt;C97,C95,C96)+A110*1024*C94</f>
        <v/>
      </c>
      <c r="D110">
        <f>B110/C110</f>
        <v/>
      </c>
      <c r="E110" t="n">
        <v>1.83</v>
      </c>
      <c r="F110">
        <f>A110*1024/(C110*0.000001)/1000000000*C93</f>
        <v/>
      </c>
      <c r="G110">
        <f>E110/F110</f>
        <v/>
      </c>
    </row>
    <row r="111">
      <c r="A111" t="n">
        <v>2048</v>
      </c>
      <c r="B111" t="n">
        <v>1282.22</v>
      </c>
      <c r="C111">
        <f>IF(A111*1024/(C88*C91)&lt;C97,C95,C96)+A111*1024*C94</f>
        <v/>
      </c>
      <c r="D111">
        <f>B111/C111</f>
        <v/>
      </c>
      <c r="E111" t="n">
        <v>3.17</v>
      </c>
      <c r="F111">
        <f>A111*1024/(C111*0.000001)/1000000000*C93</f>
        <v/>
      </c>
      <c r="G111">
        <f>E111/F111</f>
        <v/>
      </c>
    </row>
    <row r="112">
      <c r="A112" t="n">
        <v>4096</v>
      </c>
      <c r="B112" t="n">
        <v>1373.41</v>
      </c>
      <c r="C112">
        <f>IF(A112*1024/(C88*C91)&lt;C97,C95,C96)+A112*1024*C94</f>
        <v/>
      </c>
      <c r="D112">
        <f>B112/C112</f>
        <v/>
      </c>
      <c r="E112" t="n">
        <v>5.92</v>
      </c>
      <c r="F112">
        <f>A112*1024/(C112*0.000001)/1000000000*C93</f>
        <v/>
      </c>
      <c r="G112">
        <f>E112/F112</f>
        <v/>
      </c>
    </row>
    <row r="113">
      <c r="A113" t="n">
        <v>8192</v>
      </c>
      <c r="B113" t="n">
        <v>1485.78</v>
      </c>
      <c r="C113">
        <f>IF(A113*1024/(C88*C91)&lt;C97,C95,C96)+A113*1024*C94</f>
        <v/>
      </c>
      <c r="D113">
        <f>B113/C113</f>
        <v/>
      </c>
      <c r="E113" t="n">
        <v>10.94</v>
      </c>
      <c r="F113">
        <f>A113*1024/(C113*0.000001)/1000000000*C93</f>
        <v/>
      </c>
      <c r="G113">
        <f>E113/F113</f>
        <v/>
      </c>
    </row>
    <row r="114">
      <c r="A114" t="n">
        <v>16384</v>
      </c>
      <c r="B114" t="n">
        <v>1515.31</v>
      </c>
      <c r="C114">
        <f>IF(A114*1024/(C88*C91)&lt;C97,C95,C96)+A114*1024*C94</f>
        <v/>
      </c>
      <c r="D114">
        <f>B114/C114</f>
        <v/>
      </c>
      <c r="E114" t="n">
        <v>21.45</v>
      </c>
      <c r="F114">
        <f>A114*1024/(C114*0.000001)/1000000000*C93</f>
        <v/>
      </c>
      <c r="G114">
        <f>E114/F114</f>
        <v/>
      </c>
    </row>
    <row r="115">
      <c r="A115" t="n">
        <v>32768</v>
      </c>
      <c r="B115" t="n">
        <v>1759.26</v>
      </c>
      <c r="C115">
        <f>IF(A115*1024/(C88*C91)&lt;C97,C95,C96)+A115*1024*C94</f>
        <v/>
      </c>
      <c r="D115">
        <f>B115/C115</f>
        <v/>
      </c>
      <c r="E115" t="n">
        <v>36.95</v>
      </c>
      <c r="F115">
        <f>A115*1024/(C115*0.000001)/1000000000*C93</f>
        <v/>
      </c>
      <c r="G115">
        <f>E115/F115</f>
        <v/>
      </c>
    </row>
    <row r="116">
      <c r="A116" t="n">
        <v>65536</v>
      </c>
      <c r="B116" t="n">
        <v>2013.66</v>
      </c>
      <c r="C116">
        <f>IF(A116*1024/(C88*C91)&lt;C97,C95,C96)+A116*1024*C94</f>
        <v/>
      </c>
      <c r="D116">
        <f>B116/C116</f>
        <v/>
      </c>
      <c r="E116" t="n">
        <v>64.56999999999999</v>
      </c>
      <c r="F116">
        <f>A116*1024/(C116*0.000001)/1000000000*C93</f>
        <v/>
      </c>
      <c r="G116">
        <f>E116/F116</f>
        <v/>
      </c>
    </row>
    <row r="117">
      <c r="A117" t="n">
        <v>131072</v>
      </c>
      <c r="B117" t="n">
        <v>2924.19</v>
      </c>
      <c r="C117">
        <f>IF(A117*1024/(C88*C91)&lt;C97,C95,C96)+A117*1024*C94</f>
        <v/>
      </c>
      <c r="D117">
        <f>B117/C117</f>
        <v/>
      </c>
      <c r="E117" t="n">
        <v>88.93000000000001</v>
      </c>
      <c r="F117">
        <f>A117*1024/(C117*0.000001)/1000000000*C93</f>
        <v/>
      </c>
      <c r="G117">
        <f>E117/F117</f>
        <v/>
      </c>
    </row>
    <row r="118">
      <c r="A118" t="n">
        <v>262144</v>
      </c>
      <c r="B118" t="n">
        <v>5145.73</v>
      </c>
      <c r="C118">
        <f>IF(A118*1024/(C88*C91)&lt;C97,C95,C96)+A118*1024*C94</f>
        <v/>
      </c>
      <c r="D118">
        <f>B118/C118</f>
        <v/>
      </c>
      <c r="E118" t="n">
        <v>101.07</v>
      </c>
      <c r="F118">
        <f>A118*1024/(C118*0.000001)/1000000000*C93</f>
        <v/>
      </c>
      <c r="G118">
        <f>E118/F118</f>
        <v/>
      </c>
    </row>
    <row r="119">
      <c r="A119" t="n">
        <v>524288</v>
      </c>
      <c r="B119" t="n">
        <v>9606.639999999999</v>
      </c>
      <c r="C119">
        <f>IF(A119*1024/(C88*C91)&lt;C97,C95,C96)+A119*1024*C94</f>
        <v/>
      </c>
      <c r="D119">
        <f>B119/C119</f>
        <v/>
      </c>
      <c r="E119" t="n">
        <v>108.28</v>
      </c>
      <c r="F119">
        <f>A119*1024/(C119*0.000001)/1000000000*C93</f>
        <v/>
      </c>
      <c r="G119">
        <f>E119/F119</f>
        <v/>
      </c>
    </row>
    <row r="120">
      <c r="A120" t="n">
        <v>1048576</v>
      </c>
      <c r="B120" t="n">
        <v>19184.8</v>
      </c>
      <c r="C120">
        <f>IF(A120*1024/(C88*C91)&lt;C97,C95,C96)+A120*1024*C94</f>
        <v/>
      </c>
      <c r="D120">
        <f>B120/C120</f>
        <v/>
      </c>
      <c r="E120" t="n">
        <v>108.44</v>
      </c>
      <c r="F120">
        <f>A120*1024/(C120*0.000001)/1000000000*C93</f>
        <v/>
      </c>
      <c r="G120">
        <f>E120/F120</f>
        <v/>
      </c>
    </row>
    <row r="121">
      <c r="A121" t="n">
        <v>2097152</v>
      </c>
      <c r="B121" t="n">
        <v>38304.7</v>
      </c>
      <c r="C121">
        <f>IF(A121*1024/(C88*C91)&lt;C97,C95,C96)+A121*1024*C94</f>
        <v/>
      </c>
      <c r="D121">
        <f>B121/C121</f>
        <v/>
      </c>
      <c r="E121" t="n">
        <v>108.62</v>
      </c>
      <c r="F121">
        <f>A121*1024/(C121*0.000001)/1000000000*C93</f>
        <v/>
      </c>
      <c r="G121">
        <f>E121/F121</f>
        <v/>
      </c>
    </row>
    <row r="122">
      <c r="A122" t="n">
        <v>4194304</v>
      </c>
      <c r="B122" t="n">
        <v>76692.89999999999</v>
      </c>
      <c r="C122">
        <f>IF(A122*1024/(C88*C91)&lt;C97,C95,C96)+A122*1024*C94</f>
        <v/>
      </c>
      <c r="D122">
        <f>B122/C122</f>
        <v/>
      </c>
      <c r="E122" t="n">
        <v>108.5</v>
      </c>
      <c r="F122">
        <f>A122*1024/(C122*0.000001)/1000000000*C93</f>
        <v/>
      </c>
      <c r="G122">
        <f>E122/F122</f>
        <v/>
      </c>
    </row>
    <row r="123"/>
    <row r="124">
      <c r="A124" t="inlineStr">
        <is>
          <t>Nodes: 4, Protocol: Simple, Channels: 8</t>
        </is>
      </c>
    </row>
    <row r="125">
      <c r="A125" t="inlineStr">
        <is>
          <t>Parameter</t>
        </is>
      </c>
      <c r="B125" t="inlineStr">
        <is>
          <t>Formula</t>
        </is>
      </c>
      <c r="C125" t="inlineStr">
        <is>
          <t>Value</t>
        </is>
      </c>
    </row>
    <row r="126">
      <c r="A126" t="inlineStr">
        <is>
          <t>N</t>
        </is>
      </c>
      <c r="B126" t="inlineStr">
        <is>
          <t>nodes</t>
        </is>
      </c>
      <c r="C126" t="n">
        <v>4</v>
      </c>
    </row>
    <row r="127">
      <c r="A127" t="inlineStr">
        <is>
          <t>n</t>
        </is>
      </c>
      <c r="B127" t="inlineStr">
        <is>
          <t>GPUs/node</t>
        </is>
      </c>
      <c r="C127" t="n">
        <v>8</v>
      </c>
    </row>
    <row r="128">
      <c r="A128" t="inlineStr">
        <is>
          <t>n_total</t>
        </is>
      </c>
      <c r="B128" t="inlineStr">
        <is>
          <t>N*n</t>
        </is>
      </c>
      <c r="C128" t="n">
        <v>32</v>
      </c>
    </row>
    <row r="129">
      <c r="A129" t="inlineStr">
        <is>
          <t>nch_raw</t>
        </is>
      </c>
      <c r="B129" t="inlineStr">
        <is>
          <t>raw channels</t>
        </is>
      </c>
      <c r="C129" t="n">
        <v>8</v>
      </c>
    </row>
    <row r="130">
      <c r="A130" t="inlineStr">
        <is>
          <t>nch</t>
        </is>
      </c>
      <c r="B130" t="inlineStr">
        <is>
          <t>min(nch_raw,8)</t>
        </is>
      </c>
      <c r="C130" t="n">
        <v>8</v>
      </c>
    </row>
    <row r="131">
      <c r="A131" t="inlineStr">
        <is>
          <t>a</t>
        </is>
      </c>
      <c r="B131" t="inlineStr">
        <is>
          <t>RTT (us)</t>
        </is>
      </c>
      <c r="C131" t="n">
        <v>24.92</v>
      </c>
    </row>
    <row r="132">
      <c r="A132" t="inlineStr">
        <is>
          <t>NIC_BW</t>
        </is>
      </c>
      <c r="B132" t="inlineStr">
        <is>
          <t>bytes/us</t>
        </is>
      </c>
      <c r="C132" t="n">
        <v>48750</v>
      </c>
    </row>
    <row r="133">
      <c r="A133" t="inlineStr">
        <is>
          <t>G_agg</t>
        </is>
      </c>
      <c r="B133" t="inlineStr">
        <is>
          <t>nch*NIC_BW</t>
        </is>
      </c>
      <c r="C133">
        <f>C130*C132</f>
        <v/>
      </c>
    </row>
    <row r="134">
      <c r="A134" t="inlineStr">
        <is>
          <t>busbw_factor</t>
        </is>
      </c>
      <c r="B134" t="inlineStr">
        <is>
          <t>2*(n_total-1)/n_total</t>
        </is>
      </c>
      <c r="C134">
        <f>2*(C128-1)/C128</f>
        <v/>
      </c>
    </row>
    <row r="135">
      <c r="A135" t="inlineStr">
        <is>
          <t>G_per_byte</t>
        </is>
      </c>
      <c r="B135" t="inlineStr">
        <is>
          <t>busbw_factor/G_agg</t>
        </is>
      </c>
      <c r="C135">
        <f>C134/C133</f>
        <v/>
      </c>
    </row>
    <row r="136">
      <c r="A136" t="inlineStr">
        <is>
          <t>fixed_small</t>
        </is>
      </c>
      <c r="B136" t="inlineStr">
        <is>
          <t>(2*n_total-1)*a/2</t>
        </is>
      </c>
      <c r="C136">
        <f>(2*C128-1)*C131/2</f>
        <v/>
      </c>
    </row>
    <row r="137">
      <c r="A137" t="inlineStr">
        <is>
          <t>fixed_large</t>
        </is>
      </c>
      <c r="B137" t="inlineStr">
        <is>
          <t>(2*N-1)*a/2</t>
        </is>
      </c>
      <c r="C137">
        <f>(2*C126-1)*C131/2</f>
        <v/>
      </c>
    </row>
    <row r="138">
      <c r="A138" t="inlineStr">
        <is>
          <t>threshold</t>
        </is>
      </c>
      <c r="B138" t="inlineStr">
        <is>
          <t>700</t>
        </is>
      </c>
      <c r="C138" t="n">
        <v>700</v>
      </c>
    </row>
    <row r="139"/>
    <row r="140">
      <c r="A140" t="inlineStr">
        <is>
          <t>size_KB</t>
        </is>
      </c>
      <c r="B140" t="inlineStr">
        <is>
          <t>Actual Time (us)</t>
        </is>
      </c>
      <c r="C140" t="inlineStr">
        <is>
          <t>Roofline Time (us)</t>
        </is>
      </c>
      <c r="D140" t="inlineStr">
        <is>
          <t>Actual/Roofline</t>
        </is>
      </c>
      <c r="E140" t="inlineStr">
        <is>
          <t>Actual busBW (GB/s)</t>
        </is>
      </c>
      <c r="F140" t="inlineStr">
        <is>
          <t>Roofline busBW (GB/s)</t>
        </is>
      </c>
      <c r="G140" t="inlineStr">
        <is>
          <t>Meas/Roof busBW</t>
        </is>
      </c>
    </row>
    <row r="141">
      <c r="A141" t="n">
        <v>1</v>
      </c>
      <c r="B141" t="n">
        <v>962.4</v>
      </c>
      <c r="C141">
        <f>IF(A141*1024/(C129*C132)&lt;C138,C136,C137)+A141*1024*C135</f>
        <v/>
      </c>
      <c r="D141">
        <f>B141/C141</f>
        <v/>
      </c>
      <c r="E141" t="n">
        <v>0</v>
      </c>
      <c r="F141">
        <f>A141*1024/(C141*0.000001)/1000000000*C134</f>
        <v/>
      </c>
      <c r="G141">
        <f>E141/F141</f>
        <v/>
      </c>
    </row>
    <row r="142">
      <c r="A142" t="n">
        <v>2</v>
      </c>
      <c r="B142" t="n">
        <v>960.1</v>
      </c>
      <c r="C142">
        <f>IF(A142*1024/(C129*C132)&lt;C138,C136,C137)+A142*1024*C135</f>
        <v/>
      </c>
      <c r="D142">
        <f>B142/C142</f>
        <v/>
      </c>
      <c r="E142" t="n">
        <v>0</v>
      </c>
      <c r="F142">
        <f>A142*1024/(C142*0.000001)/1000000000*C134</f>
        <v/>
      </c>
      <c r="G142">
        <f>E142/F142</f>
        <v/>
      </c>
    </row>
    <row r="143">
      <c r="A143" t="n">
        <v>4</v>
      </c>
      <c r="B143" t="n">
        <v>958.9</v>
      </c>
      <c r="C143">
        <f>IF(A143*1024/(C129*C132)&lt;C138,C136,C137)+A143*1024*C135</f>
        <v/>
      </c>
      <c r="D143">
        <f>B143/C143</f>
        <v/>
      </c>
      <c r="E143" t="n">
        <v>0.01</v>
      </c>
      <c r="F143">
        <f>A143*1024/(C143*0.000001)/1000000000*C134</f>
        <v/>
      </c>
      <c r="G143">
        <f>E143/F143</f>
        <v/>
      </c>
    </row>
    <row r="144">
      <c r="A144" t="n">
        <v>8</v>
      </c>
      <c r="B144" t="n">
        <v>962.78</v>
      </c>
      <c r="C144">
        <f>IF(A144*1024/(C129*C132)&lt;C138,C136,C137)+A144*1024*C135</f>
        <v/>
      </c>
      <c r="D144">
        <f>B144/C144</f>
        <v/>
      </c>
      <c r="E144" t="n">
        <v>0.02</v>
      </c>
      <c r="F144">
        <f>A144*1024/(C144*0.000001)/1000000000*C134</f>
        <v/>
      </c>
      <c r="G144">
        <f>E144/F144</f>
        <v/>
      </c>
    </row>
    <row r="145">
      <c r="A145" t="n">
        <v>16</v>
      </c>
      <c r="B145" t="n">
        <v>963.6799999999999</v>
      </c>
      <c r="C145">
        <f>IF(A145*1024/(C129*C132)&lt;C138,C136,C137)+A145*1024*C135</f>
        <v/>
      </c>
      <c r="D145">
        <f>B145/C145</f>
        <v/>
      </c>
      <c r="E145" t="n">
        <v>0.03</v>
      </c>
      <c r="F145">
        <f>A145*1024/(C145*0.000001)/1000000000*C134</f>
        <v/>
      </c>
      <c r="G145">
        <f>E145/F145</f>
        <v/>
      </c>
    </row>
    <row r="146">
      <c r="A146" t="n">
        <v>32</v>
      </c>
      <c r="B146" t="n">
        <v>966.88</v>
      </c>
      <c r="C146">
        <f>IF(A146*1024/(C129*C132)&lt;C138,C136,C137)+A146*1024*C135</f>
        <v/>
      </c>
      <c r="D146">
        <f>B146/C146</f>
        <v/>
      </c>
      <c r="E146" t="n">
        <v>0.07000000000000001</v>
      </c>
      <c r="F146">
        <f>A146*1024/(C146*0.000001)/1000000000*C134</f>
        <v/>
      </c>
      <c r="G146">
        <f>E146/F146</f>
        <v/>
      </c>
    </row>
    <row r="147">
      <c r="A147" t="n">
        <v>64</v>
      </c>
      <c r="B147" t="n">
        <v>1015.63</v>
      </c>
      <c r="C147">
        <f>IF(A147*1024/(C129*C132)&lt;C138,C136,C137)+A147*1024*C135</f>
        <v/>
      </c>
      <c r="D147">
        <f>B147/C147</f>
        <v/>
      </c>
      <c r="E147" t="n">
        <v>0.13</v>
      </c>
      <c r="F147">
        <f>A147*1024/(C147*0.000001)/1000000000*C134</f>
        <v/>
      </c>
      <c r="G147">
        <f>E147/F147</f>
        <v/>
      </c>
    </row>
    <row r="148">
      <c r="A148" t="n">
        <v>128</v>
      </c>
      <c r="B148" t="n">
        <v>1025.83</v>
      </c>
      <c r="C148">
        <f>IF(A148*1024/(C129*C132)&lt;C138,C136,C137)+A148*1024*C135</f>
        <v/>
      </c>
      <c r="D148">
        <f>B148/C148</f>
        <v/>
      </c>
      <c r="E148" t="n">
        <v>0.25</v>
      </c>
      <c r="F148">
        <f>A148*1024/(C148*0.000001)/1000000000*C134</f>
        <v/>
      </c>
      <c r="G148">
        <f>E148/F148</f>
        <v/>
      </c>
    </row>
    <row r="149">
      <c r="A149" t="n">
        <v>256</v>
      </c>
      <c r="B149" t="n">
        <v>1044.55</v>
      </c>
      <c r="C149">
        <f>IF(A149*1024/(C129*C132)&lt;C138,C136,C137)+A149*1024*C135</f>
        <v/>
      </c>
      <c r="D149">
        <f>B149/C149</f>
        <v/>
      </c>
      <c r="E149" t="n">
        <v>0.49</v>
      </c>
      <c r="F149">
        <f>A149*1024/(C149*0.000001)/1000000000*C134</f>
        <v/>
      </c>
      <c r="G149">
        <f>E149/F149</f>
        <v/>
      </c>
    </row>
    <row r="150">
      <c r="A150" t="n">
        <v>512</v>
      </c>
      <c r="B150" t="n">
        <v>1053.77</v>
      </c>
      <c r="C150">
        <f>IF(A150*1024/(C129*C132)&lt;C138,C136,C137)+A150*1024*C135</f>
        <v/>
      </c>
      <c r="D150">
        <f>B150/C150</f>
        <v/>
      </c>
      <c r="E150" t="n">
        <v>0.96</v>
      </c>
      <c r="F150">
        <f>A150*1024/(C150*0.000001)/1000000000*C134</f>
        <v/>
      </c>
      <c r="G150">
        <f>E150/F150</f>
        <v/>
      </c>
    </row>
    <row r="151">
      <c r="A151" t="n">
        <v>1024</v>
      </c>
      <c r="B151" t="n">
        <v>1068.67</v>
      </c>
      <c r="C151">
        <f>IF(A151*1024/(C129*C132)&lt;C138,C136,C137)+A151*1024*C135</f>
        <v/>
      </c>
      <c r="D151">
        <f>B151/C151</f>
        <v/>
      </c>
      <c r="E151" t="n">
        <v>1.9</v>
      </c>
      <c r="F151">
        <f>A151*1024/(C151*0.000001)/1000000000*C134</f>
        <v/>
      </c>
      <c r="G151">
        <f>E151/F151</f>
        <v/>
      </c>
    </row>
    <row r="152">
      <c r="A152" t="n">
        <v>2048</v>
      </c>
      <c r="B152" t="n">
        <v>1120.86</v>
      </c>
      <c r="C152">
        <f>IF(A152*1024/(C129*C132)&lt;C138,C136,C137)+A152*1024*C135</f>
        <v/>
      </c>
      <c r="D152">
        <f>B152/C152</f>
        <v/>
      </c>
      <c r="E152" t="n">
        <v>3.63</v>
      </c>
      <c r="F152">
        <f>A152*1024/(C152*0.000001)/1000000000*C134</f>
        <v/>
      </c>
      <c r="G152">
        <f>E152/F152</f>
        <v/>
      </c>
    </row>
    <row r="153">
      <c r="A153" t="n">
        <v>4096</v>
      </c>
      <c r="B153" t="n">
        <v>1282.2</v>
      </c>
      <c r="C153">
        <f>IF(A153*1024/(C129*C132)&lt;C138,C136,C137)+A153*1024*C135</f>
        <v/>
      </c>
      <c r="D153">
        <f>B153/C153</f>
        <v/>
      </c>
      <c r="E153" t="n">
        <v>6.34</v>
      </c>
      <c r="F153">
        <f>A153*1024/(C153*0.000001)/1000000000*C134</f>
        <v/>
      </c>
      <c r="G153">
        <f>E153/F153</f>
        <v/>
      </c>
    </row>
    <row r="154">
      <c r="A154" t="n">
        <v>8192</v>
      </c>
      <c r="B154" t="n">
        <v>1385.18</v>
      </c>
      <c r="C154">
        <f>IF(A154*1024/(C129*C132)&lt;C138,C136,C137)+A154*1024*C135</f>
        <v/>
      </c>
      <c r="D154">
        <f>B154/C154</f>
        <v/>
      </c>
      <c r="E154" t="n">
        <v>11.73</v>
      </c>
      <c r="F154">
        <f>A154*1024/(C154*0.000001)/1000000000*C134</f>
        <v/>
      </c>
      <c r="G154">
        <f>E154/F154</f>
        <v/>
      </c>
    </row>
    <row r="155">
      <c r="A155" t="n">
        <v>16384</v>
      </c>
      <c r="B155" t="n">
        <v>1494.12</v>
      </c>
      <c r="C155">
        <f>IF(A155*1024/(C129*C132)&lt;C138,C136,C137)+A155*1024*C135</f>
        <v/>
      </c>
      <c r="D155">
        <f>B155/C155</f>
        <v/>
      </c>
      <c r="E155" t="n">
        <v>21.76</v>
      </c>
      <c r="F155">
        <f>A155*1024/(C155*0.000001)/1000000000*C134</f>
        <v/>
      </c>
      <c r="G155">
        <f>E155/F155</f>
        <v/>
      </c>
    </row>
    <row r="156">
      <c r="A156" t="n">
        <v>32768</v>
      </c>
      <c r="B156" t="n">
        <v>1528.87</v>
      </c>
      <c r="C156">
        <f>IF(A156*1024/(C129*C132)&lt;C138,C136,C137)+A156*1024*C135</f>
        <v/>
      </c>
      <c r="D156">
        <f>B156/C156</f>
        <v/>
      </c>
      <c r="E156" t="n">
        <v>42.52</v>
      </c>
      <c r="F156">
        <f>A156*1024/(C156*0.000001)/1000000000*C134</f>
        <v/>
      </c>
      <c r="G156">
        <f>E156/F156</f>
        <v/>
      </c>
    </row>
    <row r="157">
      <c r="A157" t="n">
        <v>65536</v>
      </c>
      <c r="B157" t="n">
        <v>1778.45</v>
      </c>
      <c r="C157">
        <f>IF(A157*1024/(C129*C132)&lt;C138,C136,C137)+A157*1024*C135</f>
        <v/>
      </c>
      <c r="D157">
        <f>B157/C157</f>
        <v/>
      </c>
      <c r="E157" t="n">
        <v>73.11</v>
      </c>
      <c r="F157">
        <f>A157*1024/(C157*0.000001)/1000000000*C134</f>
        <v/>
      </c>
      <c r="G157">
        <f>E157/F157</f>
        <v/>
      </c>
    </row>
    <row r="158">
      <c r="A158" t="n">
        <v>131072</v>
      </c>
      <c r="B158" t="n">
        <v>2075.58</v>
      </c>
      <c r="C158">
        <f>IF(A158*1024/(C129*C132)&lt;C138,C136,C137)+A158*1024*C135</f>
        <v/>
      </c>
      <c r="D158">
        <f>B158/C158</f>
        <v/>
      </c>
      <c r="E158" t="n">
        <v>125.29</v>
      </c>
      <c r="F158">
        <f>A158*1024/(C158*0.000001)/1000000000*C134</f>
        <v/>
      </c>
      <c r="G158">
        <f>E158/F158</f>
        <v/>
      </c>
    </row>
    <row r="159">
      <c r="A159" t="n">
        <v>262144</v>
      </c>
      <c r="B159" t="n">
        <v>2972.73</v>
      </c>
      <c r="C159">
        <f>IF(A159*1024/(C129*C132)&lt;C138,C136,C137)+A159*1024*C135</f>
        <v/>
      </c>
      <c r="D159">
        <f>B159/C159</f>
        <v/>
      </c>
      <c r="E159" t="n">
        <v>174.95</v>
      </c>
      <c r="F159">
        <f>A159*1024/(C159*0.000001)/1000000000*C134</f>
        <v/>
      </c>
      <c r="G159">
        <f>E159/F159</f>
        <v/>
      </c>
    </row>
    <row r="160">
      <c r="A160" t="n">
        <v>524288</v>
      </c>
      <c r="B160" t="n">
        <v>5241.44</v>
      </c>
      <c r="C160">
        <f>IF(A160*1024/(C129*C132)&lt;C138,C136,C137)+A160*1024*C135</f>
        <v/>
      </c>
      <c r="D160">
        <f>B160/C160</f>
        <v/>
      </c>
      <c r="E160" t="n">
        <v>198.45</v>
      </c>
      <c r="F160">
        <f>A160*1024/(C160*0.000001)/1000000000*C134</f>
        <v/>
      </c>
      <c r="G160">
        <f>E160/F160</f>
        <v/>
      </c>
    </row>
    <row r="161">
      <c r="A161" t="n">
        <v>1048576</v>
      </c>
      <c r="B161" t="n">
        <v>9796.860000000001</v>
      </c>
      <c r="C161">
        <f>IF(A161*1024/(C129*C132)&lt;C138,C136,C137)+A161*1024*C135</f>
        <v/>
      </c>
      <c r="D161">
        <f>B161/C161</f>
        <v/>
      </c>
      <c r="E161" t="n">
        <v>212.35</v>
      </c>
      <c r="F161">
        <f>A161*1024/(C161*0.000001)/1000000000*C134</f>
        <v/>
      </c>
      <c r="G161">
        <f>E161/F161</f>
        <v/>
      </c>
    </row>
    <row r="162">
      <c r="A162" t="n">
        <v>2097152</v>
      </c>
      <c r="B162" t="n">
        <v>19524.7</v>
      </c>
      <c r="C162">
        <f>IF(A162*1024/(C129*C132)&lt;C138,C136,C137)+A162*1024*C135</f>
        <v/>
      </c>
      <c r="D162">
        <f>B162/C162</f>
        <v/>
      </c>
      <c r="E162" t="n">
        <v>213.1</v>
      </c>
      <c r="F162">
        <f>A162*1024/(C162*0.000001)/1000000000*C134</f>
        <v/>
      </c>
      <c r="G162">
        <f>E162/F162</f>
        <v/>
      </c>
    </row>
    <row r="163">
      <c r="A163" t="n">
        <v>4194304</v>
      </c>
      <c r="B163" t="n">
        <v>39021.9</v>
      </c>
      <c r="C163">
        <f>IF(A163*1024/(C129*C132)&lt;C138,C136,C137)+A163*1024*C135</f>
        <v/>
      </c>
      <c r="D163">
        <f>B163/C163</f>
        <v/>
      </c>
      <c r="E163" t="n">
        <v>213.25</v>
      </c>
      <c r="F163">
        <f>A163*1024/(C163*0.000001)/1000000000*C134</f>
        <v/>
      </c>
      <c r="G163">
        <f>E163/F163</f>
        <v/>
      </c>
    </row>
    <row r="164"/>
    <row r="165">
      <c r="A165" t="inlineStr">
        <is>
          <t>Nodes: 4, Protocol: Simple, Channels: 16</t>
        </is>
      </c>
    </row>
    <row r="166">
      <c r="A166" t="inlineStr">
        <is>
          <t>Parameter</t>
        </is>
      </c>
      <c r="B166" t="inlineStr">
        <is>
          <t>Formula</t>
        </is>
      </c>
      <c r="C166" t="inlineStr">
        <is>
          <t>Value</t>
        </is>
      </c>
    </row>
    <row r="167">
      <c r="A167" t="inlineStr">
        <is>
          <t>N</t>
        </is>
      </c>
      <c r="B167" t="inlineStr">
        <is>
          <t>nodes</t>
        </is>
      </c>
      <c r="C167" t="n">
        <v>4</v>
      </c>
    </row>
    <row r="168">
      <c r="A168" t="inlineStr">
        <is>
          <t>n</t>
        </is>
      </c>
      <c r="B168" t="inlineStr">
        <is>
          <t>GPUs/node</t>
        </is>
      </c>
      <c r="C168" t="n">
        <v>8</v>
      </c>
    </row>
    <row r="169">
      <c r="A169" t="inlineStr">
        <is>
          <t>n_total</t>
        </is>
      </c>
      <c r="B169" t="inlineStr">
        <is>
          <t>N*n</t>
        </is>
      </c>
      <c r="C169" t="n">
        <v>32</v>
      </c>
    </row>
    <row r="170">
      <c r="A170" t="inlineStr">
        <is>
          <t>nch_raw</t>
        </is>
      </c>
      <c r="B170" t="inlineStr">
        <is>
          <t>raw channels</t>
        </is>
      </c>
      <c r="C170" t="n">
        <v>16</v>
      </c>
    </row>
    <row r="171">
      <c r="A171" t="inlineStr">
        <is>
          <t>nch</t>
        </is>
      </c>
      <c r="B171" t="inlineStr">
        <is>
          <t>min(nch_raw,8)</t>
        </is>
      </c>
      <c r="C171" t="n">
        <v>8</v>
      </c>
    </row>
    <row r="172">
      <c r="A172" t="inlineStr">
        <is>
          <t>a</t>
        </is>
      </c>
      <c r="B172" t="inlineStr">
        <is>
          <t>RTT (us)</t>
        </is>
      </c>
      <c r="C172" t="n">
        <v>24.92</v>
      </c>
    </row>
    <row r="173">
      <c r="A173" t="inlineStr">
        <is>
          <t>NIC_BW</t>
        </is>
      </c>
      <c r="B173" t="inlineStr">
        <is>
          <t>bytes/us</t>
        </is>
      </c>
      <c r="C173" t="n">
        <v>48750</v>
      </c>
    </row>
    <row r="174">
      <c r="A174" t="inlineStr">
        <is>
          <t>G_agg</t>
        </is>
      </c>
      <c r="B174" t="inlineStr">
        <is>
          <t>nch*NIC_BW</t>
        </is>
      </c>
      <c r="C174">
        <f>C171*C173</f>
        <v/>
      </c>
    </row>
    <row r="175">
      <c r="A175" t="inlineStr">
        <is>
          <t>busbw_factor</t>
        </is>
      </c>
      <c r="B175" t="inlineStr">
        <is>
          <t>2*(n_total-1)/n_total</t>
        </is>
      </c>
      <c r="C175">
        <f>2*(C169-1)/C169</f>
        <v/>
      </c>
    </row>
    <row r="176">
      <c r="A176" t="inlineStr">
        <is>
          <t>G_per_byte</t>
        </is>
      </c>
      <c r="B176" t="inlineStr">
        <is>
          <t>busbw_factor/G_agg</t>
        </is>
      </c>
      <c r="C176">
        <f>C175/C174</f>
        <v/>
      </c>
    </row>
    <row r="177">
      <c r="A177" t="inlineStr">
        <is>
          <t>fixed_small</t>
        </is>
      </c>
      <c r="B177" t="inlineStr">
        <is>
          <t>(2*n_total-1)*a/2</t>
        </is>
      </c>
      <c r="C177">
        <f>(2*C169-1)*C172/2</f>
        <v/>
      </c>
    </row>
    <row r="178">
      <c r="A178" t="inlineStr">
        <is>
          <t>fixed_large</t>
        </is>
      </c>
      <c r="B178" t="inlineStr">
        <is>
          <t>(2*N-1)*a/2</t>
        </is>
      </c>
      <c r="C178">
        <f>(2*C167-1)*C172/2</f>
        <v/>
      </c>
    </row>
    <row r="179">
      <c r="A179" t="inlineStr">
        <is>
          <t>threshold</t>
        </is>
      </c>
      <c r="B179" t="inlineStr">
        <is>
          <t>700</t>
        </is>
      </c>
      <c r="C179" t="n">
        <v>700</v>
      </c>
    </row>
    <row r="180"/>
    <row r="181">
      <c r="A181" t="inlineStr">
        <is>
          <t>size_KB</t>
        </is>
      </c>
      <c r="B181" t="inlineStr">
        <is>
          <t>Actual Time (us)</t>
        </is>
      </c>
      <c r="C181" t="inlineStr">
        <is>
          <t>Roofline Time (us)</t>
        </is>
      </c>
      <c r="D181" t="inlineStr">
        <is>
          <t>Actual/Roofline</t>
        </is>
      </c>
      <c r="E181" t="inlineStr">
        <is>
          <t>Actual busBW (GB/s)</t>
        </is>
      </c>
      <c r="F181" t="inlineStr">
        <is>
          <t>Roofline busBW (GB/s)</t>
        </is>
      </c>
      <c r="G181" t="inlineStr">
        <is>
          <t>Meas/Roof busBW</t>
        </is>
      </c>
    </row>
    <row r="182">
      <c r="A182" t="n">
        <v>1</v>
      </c>
      <c r="B182" t="n">
        <v>961.6799999999999</v>
      </c>
      <c r="C182">
        <f>IF(A182*1024/(C170*C173)&lt;C179,C177,C178)+A182*1024*C176</f>
        <v/>
      </c>
      <c r="D182">
        <f>B182/C182</f>
        <v/>
      </c>
      <c r="E182" t="n">
        <v>0</v>
      </c>
      <c r="F182">
        <f>A182*1024/(C182*0.000001)/1000000000*C175</f>
        <v/>
      </c>
      <c r="G182">
        <f>E182/F182</f>
        <v/>
      </c>
    </row>
    <row r="183">
      <c r="A183" t="n">
        <v>2</v>
      </c>
      <c r="B183" t="n">
        <v>959.61</v>
      </c>
      <c r="C183">
        <f>IF(A183*1024/(C170*C173)&lt;C179,C177,C178)+A183*1024*C176</f>
        <v/>
      </c>
      <c r="D183">
        <f>B183/C183</f>
        <v/>
      </c>
      <c r="E183" t="n">
        <v>0</v>
      </c>
      <c r="F183">
        <f>A183*1024/(C183*0.000001)/1000000000*C175</f>
        <v/>
      </c>
      <c r="G183">
        <f>E183/F183</f>
        <v/>
      </c>
    </row>
    <row r="184">
      <c r="A184" t="n">
        <v>4</v>
      </c>
      <c r="B184" t="n">
        <v>961.04</v>
      </c>
      <c r="C184">
        <f>IF(A184*1024/(C170*C173)&lt;C179,C177,C178)+A184*1024*C176</f>
        <v/>
      </c>
      <c r="D184">
        <f>B184/C184</f>
        <v/>
      </c>
      <c r="E184" t="n">
        <v>0.01</v>
      </c>
      <c r="F184">
        <f>A184*1024/(C184*0.000001)/1000000000*C175</f>
        <v/>
      </c>
      <c r="G184">
        <f>E184/F184</f>
        <v/>
      </c>
    </row>
    <row r="185">
      <c r="A185" t="n">
        <v>8</v>
      </c>
      <c r="B185" t="n">
        <v>967.05</v>
      </c>
      <c r="C185">
        <f>IF(A185*1024/(C170*C173)&lt;C179,C177,C178)+A185*1024*C176</f>
        <v/>
      </c>
      <c r="D185">
        <f>B185/C185</f>
        <v/>
      </c>
      <c r="E185" t="n">
        <v>0.02</v>
      </c>
      <c r="F185">
        <f>A185*1024/(C185*0.000001)/1000000000*C175</f>
        <v/>
      </c>
      <c r="G185">
        <f>E185/F185</f>
        <v/>
      </c>
    </row>
    <row r="186">
      <c r="A186" t="n">
        <v>16</v>
      </c>
      <c r="B186" t="n">
        <v>968.14</v>
      </c>
      <c r="C186">
        <f>IF(A186*1024/(C170*C173)&lt;C179,C177,C178)+A186*1024*C176</f>
        <v/>
      </c>
      <c r="D186">
        <f>B186/C186</f>
        <v/>
      </c>
      <c r="E186" t="n">
        <v>0.03</v>
      </c>
      <c r="F186">
        <f>A186*1024/(C186*0.000001)/1000000000*C175</f>
        <v/>
      </c>
      <c r="G186">
        <f>E186/F186</f>
        <v/>
      </c>
    </row>
    <row r="187">
      <c r="A187" t="n">
        <v>32</v>
      </c>
      <c r="B187" t="n">
        <v>966.48</v>
      </c>
      <c r="C187">
        <f>IF(A187*1024/(C170*C173)&lt;C179,C177,C178)+A187*1024*C176</f>
        <v/>
      </c>
      <c r="D187">
        <f>B187/C187</f>
        <v/>
      </c>
      <c r="E187" t="n">
        <v>0.07000000000000001</v>
      </c>
      <c r="F187">
        <f>A187*1024/(C187*0.000001)/1000000000*C175</f>
        <v/>
      </c>
      <c r="G187">
        <f>E187/F187</f>
        <v/>
      </c>
    </row>
    <row r="188">
      <c r="A188" t="n">
        <v>64</v>
      </c>
      <c r="B188" t="n">
        <v>1008.89</v>
      </c>
      <c r="C188">
        <f>IF(A188*1024/(C170*C173)&lt;C179,C177,C178)+A188*1024*C176</f>
        <v/>
      </c>
      <c r="D188">
        <f>B188/C188</f>
        <v/>
      </c>
      <c r="E188" t="n">
        <v>0.13</v>
      </c>
      <c r="F188">
        <f>A188*1024/(C188*0.000001)/1000000000*C175</f>
        <v/>
      </c>
      <c r="G188">
        <f>E188/F188</f>
        <v/>
      </c>
    </row>
    <row r="189">
      <c r="A189" t="n">
        <v>128</v>
      </c>
      <c r="B189" t="n">
        <v>1024.66</v>
      </c>
      <c r="C189">
        <f>IF(A189*1024/(C170*C173)&lt;C179,C177,C178)+A189*1024*C176</f>
        <v/>
      </c>
      <c r="D189">
        <f>B189/C189</f>
        <v/>
      </c>
      <c r="E189" t="n">
        <v>0.25</v>
      </c>
      <c r="F189">
        <f>A189*1024/(C189*0.000001)/1000000000*C175</f>
        <v/>
      </c>
      <c r="G189">
        <f>E189/F189</f>
        <v/>
      </c>
    </row>
    <row r="190">
      <c r="A190" t="n">
        <v>256</v>
      </c>
      <c r="B190" t="n">
        <v>1036.17</v>
      </c>
      <c r="C190">
        <f>IF(A190*1024/(C170*C173)&lt;C179,C177,C178)+A190*1024*C176</f>
        <v/>
      </c>
      <c r="D190">
        <f>B190/C190</f>
        <v/>
      </c>
      <c r="E190" t="n">
        <v>0.49</v>
      </c>
      <c r="F190">
        <f>A190*1024/(C190*0.000001)/1000000000*C175</f>
        <v/>
      </c>
      <c r="G190">
        <f>E190/F190</f>
        <v/>
      </c>
    </row>
    <row r="191">
      <c r="A191" t="n">
        <v>512</v>
      </c>
      <c r="B191" t="n">
        <v>1091.48</v>
      </c>
      <c r="C191">
        <f>IF(A191*1024/(C170*C173)&lt;C179,C177,C178)+A191*1024*C176</f>
        <v/>
      </c>
      <c r="D191">
        <f>B191/C191</f>
        <v/>
      </c>
      <c r="E191" t="n">
        <v>0.93</v>
      </c>
      <c r="F191">
        <f>A191*1024/(C191*0.000001)/1000000000*C175</f>
        <v/>
      </c>
      <c r="G191">
        <f>E191/F191</f>
        <v/>
      </c>
    </row>
    <row r="192">
      <c r="A192" t="n">
        <v>1024</v>
      </c>
      <c r="B192" t="n">
        <v>1093.21</v>
      </c>
      <c r="C192">
        <f>IF(A192*1024/(C170*C173)&lt;C179,C177,C178)+A192*1024*C176</f>
        <v/>
      </c>
      <c r="D192">
        <f>B192/C192</f>
        <v/>
      </c>
      <c r="E192" t="n">
        <v>1.86</v>
      </c>
      <c r="F192">
        <f>A192*1024/(C192*0.000001)/1000000000*C175</f>
        <v/>
      </c>
      <c r="G192">
        <f>E192/F192</f>
        <v/>
      </c>
    </row>
    <row r="193">
      <c r="A193" t="n">
        <v>2048</v>
      </c>
      <c r="B193" t="n">
        <v>1118.73</v>
      </c>
      <c r="C193">
        <f>IF(A193*1024/(C170*C173)&lt;C179,C177,C178)+A193*1024*C176</f>
        <v/>
      </c>
      <c r="D193">
        <f>B193/C193</f>
        <v/>
      </c>
      <c r="E193" t="n">
        <v>3.63</v>
      </c>
      <c r="F193">
        <f>A193*1024/(C193*0.000001)/1000000000*C175</f>
        <v/>
      </c>
      <c r="G193">
        <f>E193/F193</f>
        <v/>
      </c>
    </row>
    <row r="194">
      <c r="A194" t="n">
        <v>4096</v>
      </c>
      <c r="B194" t="n">
        <v>1174.67</v>
      </c>
      <c r="C194">
        <f>IF(A194*1024/(C170*C173)&lt;C179,C177,C178)+A194*1024*C176</f>
        <v/>
      </c>
      <c r="D194">
        <f>B194/C194</f>
        <v/>
      </c>
      <c r="E194" t="n">
        <v>6.92</v>
      </c>
      <c r="F194">
        <f>A194*1024/(C194*0.000001)/1000000000*C175</f>
        <v/>
      </c>
      <c r="G194">
        <f>E194/F194</f>
        <v/>
      </c>
    </row>
    <row r="195">
      <c r="A195" t="n">
        <v>8192</v>
      </c>
      <c r="B195" t="n">
        <v>1348.35</v>
      </c>
      <c r="C195">
        <f>IF(A195*1024/(C170*C173)&lt;C179,C177,C178)+A195*1024*C176</f>
        <v/>
      </c>
      <c r="D195">
        <f>B195/C195</f>
        <v/>
      </c>
      <c r="E195" t="n">
        <v>12.05</v>
      </c>
      <c r="F195">
        <f>A195*1024/(C195*0.000001)/1000000000*C175</f>
        <v/>
      </c>
      <c r="G195">
        <f>E195/F195</f>
        <v/>
      </c>
    </row>
    <row r="196">
      <c r="A196" t="n">
        <v>16384</v>
      </c>
      <c r="B196" t="n">
        <v>1449.32</v>
      </c>
      <c r="C196">
        <f>IF(A196*1024/(C170*C173)&lt;C179,C177,C178)+A196*1024*C176</f>
        <v/>
      </c>
      <c r="D196">
        <f>B196/C196</f>
        <v/>
      </c>
      <c r="E196" t="n">
        <v>22.43</v>
      </c>
      <c r="F196">
        <f>A196*1024/(C196*0.000001)/1000000000*C175</f>
        <v/>
      </c>
      <c r="G196">
        <f>E196/F196</f>
        <v/>
      </c>
    </row>
    <row r="197">
      <c r="A197" t="n">
        <v>32768</v>
      </c>
      <c r="B197" t="n">
        <v>1571.01</v>
      </c>
      <c r="C197">
        <f>IF(A197*1024/(C170*C173)&lt;C179,C177,C178)+A197*1024*C176</f>
        <v/>
      </c>
      <c r="D197">
        <f>B197/C197</f>
        <v/>
      </c>
      <c r="E197" t="n">
        <v>41.38</v>
      </c>
      <c r="F197">
        <f>A197*1024/(C197*0.000001)/1000000000*C175</f>
        <v/>
      </c>
      <c r="G197">
        <f>E197/F197</f>
        <v/>
      </c>
    </row>
    <row r="198">
      <c r="A198" t="n">
        <v>65536</v>
      </c>
      <c r="B198" t="n">
        <v>1626.22</v>
      </c>
      <c r="C198">
        <f>IF(A198*1024/(C170*C173)&lt;C179,C177,C178)+A198*1024*C176</f>
        <v/>
      </c>
      <c r="D198">
        <f>B198/C198</f>
        <v/>
      </c>
      <c r="E198" t="n">
        <v>79.95</v>
      </c>
      <c r="F198">
        <f>A198*1024/(C198*0.000001)/1000000000*C175</f>
        <v/>
      </c>
      <c r="G198">
        <f>E198/F198</f>
        <v/>
      </c>
    </row>
    <row r="199">
      <c r="A199" t="n">
        <v>131072</v>
      </c>
      <c r="B199" t="n">
        <v>1922.31</v>
      </c>
      <c r="C199">
        <f>IF(A199*1024/(C170*C173)&lt;C179,C177,C178)+A199*1024*C176</f>
        <v/>
      </c>
      <c r="D199">
        <f>B199/C199</f>
        <v/>
      </c>
      <c r="E199" t="n">
        <v>135.28</v>
      </c>
      <c r="F199">
        <f>A199*1024/(C199*0.000001)/1000000000*C175</f>
        <v/>
      </c>
      <c r="G199">
        <f>E199/F199</f>
        <v/>
      </c>
    </row>
    <row r="200">
      <c r="A200" t="n">
        <v>262144</v>
      </c>
      <c r="B200" t="n">
        <v>2370.3</v>
      </c>
      <c r="C200">
        <f>IF(A200*1024/(C170*C173)&lt;C179,C177,C178)+A200*1024*C176</f>
        <v/>
      </c>
      <c r="D200">
        <f>B200/C200</f>
        <v/>
      </c>
      <c r="E200" t="n">
        <v>219.42</v>
      </c>
      <c r="F200">
        <f>A200*1024/(C200*0.000001)/1000000000*C175</f>
        <v/>
      </c>
      <c r="G200">
        <f>E200/F200</f>
        <v/>
      </c>
    </row>
    <row r="201">
      <c r="A201" t="n">
        <v>524288</v>
      </c>
      <c r="B201" t="n">
        <v>3484.05</v>
      </c>
      <c r="C201">
        <f>IF(A201*1024/(C170*C173)&lt;C179,C177,C178)+A201*1024*C176</f>
        <v/>
      </c>
      <c r="D201">
        <f>B201/C201</f>
        <v/>
      </c>
      <c r="E201" t="n">
        <v>298.56</v>
      </c>
      <c r="F201">
        <f>A201*1024/(C201*0.000001)/1000000000*C175</f>
        <v/>
      </c>
      <c r="G201">
        <f>E201/F201</f>
        <v/>
      </c>
    </row>
    <row r="202">
      <c r="A202" t="n">
        <v>1048576</v>
      </c>
      <c r="B202" t="n">
        <v>6021.91</v>
      </c>
      <c r="C202">
        <f>IF(A202*1024/(C170*C173)&lt;C179,C177,C178)+A202*1024*C176</f>
        <v/>
      </c>
      <c r="D202">
        <f>B202/C202</f>
        <v/>
      </c>
      <c r="E202" t="n">
        <v>345.47</v>
      </c>
      <c r="F202">
        <f>A202*1024/(C202*0.000001)/1000000000*C175</f>
        <v/>
      </c>
      <c r="G202">
        <f>E202/F202</f>
        <v/>
      </c>
    </row>
    <row r="203">
      <c r="A203" t="n">
        <v>2097152</v>
      </c>
      <c r="B203" t="n">
        <v>11500.8</v>
      </c>
      <c r="C203">
        <f>IF(A203*1024/(C170*C173)&lt;C179,C177,C178)+A203*1024*C176</f>
        <v/>
      </c>
      <c r="D203">
        <f>B203/C203</f>
        <v/>
      </c>
      <c r="E203" t="n">
        <v>361.78</v>
      </c>
      <c r="F203">
        <f>A203*1024/(C203*0.000001)/1000000000*C175</f>
        <v/>
      </c>
      <c r="G203">
        <f>E203/F203</f>
        <v/>
      </c>
    </row>
    <row r="204">
      <c r="A204" t="n">
        <v>4194304</v>
      </c>
      <c r="B204" t="n">
        <v>22729.1</v>
      </c>
      <c r="C204">
        <f>IF(A204*1024/(C170*C173)&lt;C179,C177,C178)+A204*1024*C176</f>
        <v/>
      </c>
      <c r="D204">
        <f>B204/C204</f>
        <v/>
      </c>
      <c r="E204" t="n">
        <v>366.12</v>
      </c>
      <c r="F204">
        <f>A204*1024/(C204*0.000001)/1000000000*C175</f>
        <v/>
      </c>
      <c r="G204">
        <f>E204/F204</f>
        <v/>
      </c>
    </row>
    <row r="205"/>
    <row r="206">
      <c r="A206" t="inlineStr">
        <is>
          <t>Nodes: 4, Protocol: LL, Channels: 1</t>
        </is>
      </c>
    </row>
    <row r="207">
      <c r="A207" t="inlineStr">
        <is>
          <t>Parameter</t>
        </is>
      </c>
      <c r="B207" t="inlineStr">
        <is>
          <t>Formula</t>
        </is>
      </c>
      <c r="C207" t="inlineStr">
        <is>
          <t>Value</t>
        </is>
      </c>
    </row>
    <row r="208">
      <c r="A208" t="inlineStr">
        <is>
          <t>N</t>
        </is>
      </c>
      <c r="B208" t="inlineStr">
        <is>
          <t>nodes</t>
        </is>
      </c>
      <c r="C208" t="n">
        <v>4</v>
      </c>
    </row>
    <row r="209">
      <c r="A209" t="inlineStr">
        <is>
          <t>n</t>
        </is>
      </c>
      <c r="B209" t="inlineStr">
        <is>
          <t>GPUs/node</t>
        </is>
      </c>
      <c r="C209" t="n">
        <v>8</v>
      </c>
    </row>
    <row r="210">
      <c r="A210" t="inlineStr">
        <is>
          <t>n_total</t>
        </is>
      </c>
      <c r="B210" t="inlineStr">
        <is>
          <t>N*n</t>
        </is>
      </c>
      <c r="C210" t="n">
        <v>32</v>
      </c>
    </row>
    <row r="211">
      <c r="A211" t="inlineStr">
        <is>
          <t>nch_raw</t>
        </is>
      </c>
      <c r="B211" t="inlineStr">
        <is>
          <t>raw channels</t>
        </is>
      </c>
      <c r="C211" t="n">
        <v>1</v>
      </c>
    </row>
    <row r="212">
      <c r="A212" t="inlineStr">
        <is>
          <t>nch</t>
        </is>
      </c>
      <c r="B212" t="inlineStr">
        <is>
          <t>min(nch_raw,8)</t>
        </is>
      </c>
      <c r="C212" t="n">
        <v>1</v>
      </c>
    </row>
    <row r="213">
      <c r="A213" t="inlineStr">
        <is>
          <t>a</t>
        </is>
      </c>
      <c r="B213" t="inlineStr">
        <is>
          <t>RTT (us)</t>
        </is>
      </c>
      <c r="C213" t="n">
        <v>24.92</v>
      </c>
    </row>
    <row r="214">
      <c r="A214" t="inlineStr">
        <is>
          <t>NIC_BW</t>
        </is>
      </c>
      <c r="B214" t="inlineStr">
        <is>
          <t>bytes/us</t>
        </is>
      </c>
      <c r="C214" t="n">
        <v>48750</v>
      </c>
    </row>
    <row r="215">
      <c r="A215" t="inlineStr">
        <is>
          <t>intra_node_latency</t>
        </is>
      </c>
      <c r="B215" t="inlineStr">
        <is>
          <t>us</t>
        </is>
      </c>
      <c r="C215" t="n">
        <v>8.4</v>
      </c>
    </row>
    <row r="216">
      <c r="A216" t="inlineStr">
        <is>
          <t>chunk_size</t>
        </is>
      </c>
      <c r="B216" t="inlineStr">
        <is>
          <t>bytes</t>
        </is>
      </c>
      <c r="C216" t="n">
        <v>32768</v>
      </c>
    </row>
    <row r="217">
      <c r="A217" t="inlineStr">
        <is>
          <t>G_agg</t>
        </is>
      </c>
      <c r="B217" t="inlineStr">
        <is>
          <t>nch*NIC_BW</t>
        </is>
      </c>
      <c r="C217">
        <f>C212*C214</f>
        <v/>
      </c>
    </row>
    <row r="218">
      <c r="A218" t="inlineStr">
        <is>
          <t>G</t>
        </is>
      </c>
      <c r="B218" t="inlineStr">
        <is>
          <t>2*2*(n_total-1)/(n_total*G_agg)</t>
        </is>
      </c>
      <c r="C218">
        <f>2*2*(C210-1)/(C210*C217)</f>
        <v/>
      </c>
    </row>
    <row r="219">
      <c r="A219" t="inlineStr">
        <is>
          <t>busbw_factor</t>
        </is>
      </c>
      <c r="B219" t="inlineStr">
        <is>
          <t>2*(n_total-1)/n_total</t>
        </is>
      </c>
      <c r="C219">
        <f>2*(C210-1)/C210</f>
        <v/>
      </c>
    </row>
    <row r="220">
      <c r="A220" t="inlineStr">
        <is>
          <t>fixed_per_step</t>
        </is>
      </c>
      <c r="B220" t="inlineStr">
        <is>
          <t>(2*N-1)*(a/2+intra)</t>
        </is>
      </c>
      <c r="C220">
        <f>(2*C208-1)*(C213/2+C215)</f>
        <v/>
      </c>
    </row>
    <row r="221"/>
    <row r="222">
      <c r="A222" t="inlineStr">
        <is>
          <t>size_KB</t>
        </is>
      </c>
      <c r="B222" t="inlineStr">
        <is>
          <t>Actual Time (us)</t>
        </is>
      </c>
      <c r="C222" t="inlineStr">
        <is>
          <t>Roofline Time (us)</t>
        </is>
      </c>
      <c r="D222" t="inlineStr">
        <is>
          <t>Actual/Roofline</t>
        </is>
      </c>
      <c r="E222" t="inlineStr">
        <is>
          <t>Actual busBW (GB/s)</t>
        </is>
      </c>
      <c r="F222" t="inlineStr">
        <is>
          <t>Roofline busBW (GB/s)</t>
        </is>
      </c>
      <c r="G222" t="inlineStr">
        <is>
          <t>Meas/Roof busBW</t>
        </is>
      </c>
    </row>
    <row r="223">
      <c r="A223" t="n">
        <v>1</v>
      </c>
      <c r="B223" t="n">
        <v>235.36</v>
      </c>
      <c r="C223">
        <f>C220*CEILING(A223*1024/(C211*C216*C210),1)+A223*1024*C218</f>
        <v/>
      </c>
      <c r="D223">
        <f>B223/C223</f>
        <v/>
      </c>
      <c r="E223" t="n">
        <v>0.01</v>
      </c>
      <c r="F223">
        <f>A223*1024/(C223*0.000001)/1000000000*C219</f>
        <v/>
      </c>
      <c r="G223">
        <f>E223/F223</f>
        <v/>
      </c>
    </row>
    <row r="224">
      <c r="A224" t="n">
        <v>2</v>
      </c>
      <c r="B224" t="n">
        <v>235.7</v>
      </c>
      <c r="C224">
        <f>C220*CEILING(A224*1024/(C211*C216*C210),1)+A224*1024*C218</f>
        <v/>
      </c>
      <c r="D224">
        <f>B224/C224</f>
        <v/>
      </c>
      <c r="E224" t="n">
        <v>0.02</v>
      </c>
      <c r="F224">
        <f>A224*1024/(C224*0.000001)/1000000000*C219</f>
        <v/>
      </c>
      <c r="G224">
        <f>E224/F224</f>
        <v/>
      </c>
    </row>
    <row r="225">
      <c r="A225" t="n">
        <v>4</v>
      </c>
      <c r="B225" t="n">
        <v>236.26</v>
      </c>
      <c r="C225">
        <f>C220*CEILING(A225*1024/(C211*C216*C210),1)+A225*1024*C218</f>
        <v/>
      </c>
      <c r="D225">
        <f>B225/C225</f>
        <v/>
      </c>
      <c r="E225" t="n">
        <v>0.03</v>
      </c>
      <c r="F225">
        <f>A225*1024/(C225*0.000001)/1000000000*C219</f>
        <v/>
      </c>
      <c r="G225">
        <f>E225/F225</f>
        <v/>
      </c>
    </row>
    <row r="226">
      <c r="A226" t="n">
        <v>8</v>
      </c>
      <c r="B226" t="n">
        <v>236.87</v>
      </c>
      <c r="C226">
        <f>C220*CEILING(A226*1024/(C211*C216*C210),1)+A226*1024*C218</f>
        <v/>
      </c>
      <c r="D226">
        <f>B226/C226</f>
        <v/>
      </c>
      <c r="E226" t="n">
        <v>0.07000000000000001</v>
      </c>
      <c r="F226">
        <f>A226*1024/(C226*0.000001)/1000000000*C219</f>
        <v/>
      </c>
      <c r="G226">
        <f>E226/F226</f>
        <v/>
      </c>
    </row>
    <row r="227">
      <c r="A227" t="n">
        <v>16</v>
      </c>
      <c r="B227" t="n">
        <v>237.92</v>
      </c>
      <c r="C227">
        <f>C220*CEILING(A227*1024/(C211*C216*C210),1)+A227*1024*C218</f>
        <v/>
      </c>
      <c r="D227">
        <f>B227/C227</f>
        <v/>
      </c>
      <c r="E227" t="n">
        <v>0.13</v>
      </c>
      <c r="F227">
        <f>A227*1024/(C227*0.000001)/1000000000*C219</f>
        <v/>
      </c>
      <c r="G227">
        <f>E227/F227</f>
        <v/>
      </c>
    </row>
    <row r="228">
      <c r="A228" t="n">
        <v>32</v>
      </c>
      <c r="B228" t="n">
        <v>240.77</v>
      </c>
      <c r="C228">
        <f>C220*CEILING(A228*1024/(C211*C216*C210),1)+A228*1024*C218</f>
        <v/>
      </c>
      <c r="D228">
        <f>B228/C228</f>
        <v/>
      </c>
      <c r="E228" t="n">
        <v>0.26</v>
      </c>
      <c r="F228">
        <f>A228*1024/(C228*0.000001)/1000000000*C219</f>
        <v/>
      </c>
      <c r="G228">
        <f>E228/F228</f>
        <v/>
      </c>
    </row>
    <row r="229">
      <c r="A229" t="n">
        <v>64</v>
      </c>
      <c r="B229" t="n">
        <v>248.37</v>
      </c>
      <c r="C229">
        <f>C220*CEILING(A229*1024/(C211*C216*C210),1)+A229*1024*C218</f>
        <v/>
      </c>
      <c r="D229">
        <f>B229/C229</f>
        <v/>
      </c>
      <c r="E229" t="n">
        <v>0.51</v>
      </c>
      <c r="F229">
        <f>A229*1024/(C229*0.000001)/1000000000*C219</f>
        <v/>
      </c>
      <c r="G229">
        <f>E229/F229</f>
        <v/>
      </c>
    </row>
    <row r="230">
      <c r="A230" t="n">
        <v>128</v>
      </c>
      <c r="B230" t="n">
        <v>268.01</v>
      </c>
      <c r="C230">
        <f>C220*CEILING(A230*1024/(C211*C216*C210),1)+A230*1024*C218</f>
        <v/>
      </c>
      <c r="D230">
        <f>B230/C230</f>
        <v/>
      </c>
      <c r="E230" t="n">
        <v>0.95</v>
      </c>
      <c r="F230">
        <f>A230*1024/(C230*0.000001)/1000000000*C219</f>
        <v/>
      </c>
      <c r="G230">
        <f>E230/F230</f>
        <v/>
      </c>
    </row>
    <row r="231">
      <c r="A231" t="n">
        <v>256</v>
      </c>
      <c r="B231" t="n">
        <v>297.64</v>
      </c>
      <c r="C231">
        <f>C220*CEILING(A231*1024/(C211*C216*C210),1)+A231*1024*C218</f>
        <v/>
      </c>
      <c r="D231">
        <f>B231/C231</f>
        <v/>
      </c>
      <c r="E231" t="n">
        <v>1.71</v>
      </c>
      <c r="F231">
        <f>A231*1024/(C231*0.000001)/1000000000*C219</f>
        <v/>
      </c>
      <c r="G231">
        <f>E231/F231</f>
        <v/>
      </c>
    </row>
    <row r="232">
      <c r="A232" t="n">
        <v>512</v>
      </c>
      <c r="B232" t="n">
        <v>343.3</v>
      </c>
      <c r="C232">
        <f>C220*CEILING(A232*1024/(C211*C216*C210),1)+A232*1024*C218</f>
        <v/>
      </c>
      <c r="D232">
        <f>B232/C232</f>
        <v/>
      </c>
      <c r="E232" t="n">
        <v>2.96</v>
      </c>
      <c r="F232">
        <f>A232*1024/(C232*0.000001)/1000000000*C219</f>
        <v/>
      </c>
      <c r="G232">
        <f>E232/F232</f>
        <v/>
      </c>
    </row>
    <row r="233">
      <c r="A233" t="n">
        <v>1024</v>
      </c>
      <c r="B233" t="n">
        <v>429.29</v>
      </c>
      <c r="C233">
        <f>C220*CEILING(A233*1024/(C211*C216*C210),1)+A233*1024*C218</f>
        <v/>
      </c>
      <c r="D233">
        <f>B233/C233</f>
        <v/>
      </c>
      <c r="E233" t="n">
        <v>4.73</v>
      </c>
      <c r="F233">
        <f>A233*1024/(C233*0.000001)/1000000000*C219</f>
        <v/>
      </c>
      <c r="G233">
        <f>E233/F233</f>
        <v/>
      </c>
    </row>
    <row r="234">
      <c r="A234" t="n">
        <v>2048</v>
      </c>
      <c r="B234" t="n">
        <v>835.97</v>
      </c>
      <c r="C234">
        <f>C220*CEILING(A234*1024/(C211*C216*C210),1)+A234*1024*C218</f>
        <v/>
      </c>
      <c r="D234">
        <f>B234/C234</f>
        <v/>
      </c>
      <c r="E234" t="n">
        <v>4.86</v>
      </c>
      <c r="F234">
        <f>A234*1024/(C234*0.000001)/1000000000*C219</f>
        <v/>
      </c>
      <c r="G234">
        <f>E234/F234</f>
        <v/>
      </c>
    </row>
    <row r="235">
      <c r="A235" t="n">
        <v>4096</v>
      </c>
      <c r="B235" t="n">
        <v>1651.28</v>
      </c>
      <c r="C235">
        <f>C220*CEILING(A235*1024/(C211*C216*C210),1)+A235*1024*C218</f>
        <v/>
      </c>
      <c r="D235">
        <f>B235/C235</f>
        <v/>
      </c>
      <c r="E235" t="n">
        <v>4.92</v>
      </c>
      <c r="F235">
        <f>A235*1024/(C235*0.000001)/1000000000*C219</f>
        <v/>
      </c>
      <c r="G235">
        <f>E235/F235</f>
        <v/>
      </c>
    </row>
    <row r="236">
      <c r="A236" t="n">
        <v>8192</v>
      </c>
      <c r="B236" t="n">
        <v>3290.26</v>
      </c>
      <c r="C236">
        <f>C220*CEILING(A236*1024/(C211*C216*C210),1)+A236*1024*C218</f>
        <v/>
      </c>
      <c r="D236">
        <f>B236/C236</f>
        <v/>
      </c>
      <c r="E236" t="n">
        <v>4.94</v>
      </c>
      <c r="F236">
        <f>A236*1024/(C236*0.000001)/1000000000*C219</f>
        <v/>
      </c>
      <c r="G236">
        <f>E236/F236</f>
        <v/>
      </c>
    </row>
    <row r="237">
      <c r="A237" t="n">
        <v>16384</v>
      </c>
      <c r="B237" t="n">
        <v>6530.44</v>
      </c>
      <c r="C237">
        <f>C220*CEILING(A237*1024/(C211*C216*C210),1)+A237*1024*C218</f>
        <v/>
      </c>
      <c r="D237">
        <f>B237/C237</f>
        <v/>
      </c>
      <c r="E237" t="n">
        <v>4.98</v>
      </c>
      <c r="F237">
        <f>A237*1024/(C237*0.000001)/1000000000*C219</f>
        <v/>
      </c>
      <c r="G237">
        <f>E237/F237</f>
        <v/>
      </c>
    </row>
    <row r="238">
      <c r="A238" t="n">
        <v>32768</v>
      </c>
      <c r="B238" t="n">
        <v>13039.7</v>
      </c>
      <c r="C238">
        <f>C220*CEILING(A238*1024/(C211*C216*C210),1)+A238*1024*C218</f>
        <v/>
      </c>
      <c r="D238">
        <f>B238/C238</f>
        <v/>
      </c>
      <c r="E238" t="n">
        <v>4.99</v>
      </c>
      <c r="F238">
        <f>A238*1024/(C238*0.000001)/1000000000*C219</f>
        <v/>
      </c>
      <c r="G238">
        <f>E238/F238</f>
        <v/>
      </c>
    </row>
    <row r="239">
      <c r="A239" t="n">
        <v>65536</v>
      </c>
      <c r="B239" t="n">
        <v>26077.2</v>
      </c>
      <c r="C239">
        <f>C220*CEILING(A239*1024/(C211*C216*C210),1)+A239*1024*C218</f>
        <v/>
      </c>
      <c r="D239">
        <f>B239/C239</f>
        <v/>
      </c>
      <c r="E239" t="n">
        <v>4.99</v>
      </c>
      <c r="F239">
        <f>A239*1024/(C239*0.000001)/1000000000*C219</f>
        <v/>
      </c>
      <c r="G239">
        <f>E239/F239</f>
        <v/>
      </c>
    </row>
    <row r="240">
      <c r="A240" t="n">
        <v>131072</v>
      </c>
      <c r="B240" t="n">
        <v>52109.4</v>
      </c>
      <c r="C240">
        <f>C220*CEILING(A240*1024/(C211*C216*C210),1)+A240*1024*C218</f>
        <v/>
      </c>
      <c r="D240">
        <f>B240/C240</f>
        <v/>
      </c>
      <c r="E240" t="n">
        <v>4.99</v>
      </c>
      <c r="F240">
        <f>A240*1024/(C240*0.000001)/1000000000*C219</f>
        <v/>
      </c>
      <c r="G240">
        <f>E240/F240</f>
        <v/>
      </c>
    </row>
    <row r="241">
      <c r="A241" t="n">
        <v>262144</v>
      </c>
      <c r="B241" t="n">
        <v>104190</v>
      </c>
      <c r="C241">
        <f>C220*CEILING(A241*1024/(C211*C216*C210),1)+A241*1024*C218</f>
        <v/>
      </c>
      <c r="D241">
        <f>B241/C241</f>
        <v/>
      </c>
      <c r="E241" t="n">
        <v>4.99</v>
      </c>
      <c r="F241">
        <f>A241*1024/(C241*0.000001)/1000000000*C219</f>
        <v/>
      </c>
      <c r="G241">
        <f>E241/F241</f>
        <v/>
      </c>
    </row>
    <row r="242">
      <c r="A242" t="n">
        <v>524288</v>
      </c>
      <c r="B242" t="n">
        <v>208158</v>
      </c>
      <c r="C242">
        <f>C220*CEILING(A242*1024/(C211*C216*C210),1)+A242*1024*C218</f>
        <v/>
      </c>
      <c r="D242">
        <f>B242/C242</f>
        <v/>
      </c>
      <c r="E242" t="n">
        <v>5</v>
      </c>
      <c r="F242">
        <f>A242*1024/(C242*0.000001)/1000000000*C219</f>
        <v/>
      </c>
      <c r="G242">
        <f>E242/F242</f>
        <v/>
      </c>
    </row>
    <row r="243">
      <c r="A243" t="n">
        <v>1048576</v>
      </c>
      <c r="B243" t="n">
        <v>416844</v>
      </c>
      <c r="C243">
        <f>C220*CEILING(A243*1024/(C211*C216*C210),1)+A243*1024*C218</f>
        <v/>
      </c>
      <c r="D243">
        <f>B243/C243</f>
        <v/>
      </c>
      <c r="E243" t="n">
        <v>4.99</v>
      </c>
      <c r="F243">
        <f>A243*1024/(C243*0.000001)/1000000000*C219</f>
        <v/>
      </c>
      <c r="G243">
        <f>E243/F243</f>
        <v/>
      </c>
    </row>
    <row r="244"/>
    <row r="245">
      <c r="A245" t="inlineStr">
        <is>
          <t>Nodes: 4, Protocol: LL, Channels: 2</t>
        </is>
      </c>
    </row>
    <row r="246">
      <c r="A246" t="inlineStr">
        <is>
          <t>Parameter</t>
        </is>
      </c>
      <c r="B246" t="inlineStr">
        <is>
          <t>Formula</t>
        </is>
      </c>
      <c r="C246" t="inlineStr">
        <is>
          <t>Value</t>
        </is>
      </c>
    </row>
    <row r="247">
      <c r="A247" t="inlineStr">
        <is>
          <t>N</t>
        </is>
      </c>
      <c r="B247" t="inlineStr">
        <is>
          <t>nodes</t>
        </is>
      </c>
      <c r="C247" t="n">
        <v>4</v>
      </c>
    </row>
    <row r="248">
      <c r="A248" t="inlineStr">
        <is>
          <t>n</t>
        </is>
      </c>
      <c r="B248" t="inlineStr">
        <is>
          <t>GPUs/node</t>
        </is>
      </c>
      <c r="C248" t="n">
        <v>8</v>
      </c>
    </row>
    <row r="249">
      <c r="A249" t="inlineStr">
        <is>
          <t>n_total</t>
        </is>
      </c>
      <c r="B249" t="inlineStr">
        <is>
          <t>N*n</t>
        </is>
      </c>
      <c r="C249" t="n">
        <v>32</v>
      </c>
    </row>
    <row r="250">
      <c r="A250" t="inlineStr">
        <is>
          <t>nch_raw</t>
        </is>
      </c>
      <c r="B250" t="inlineStr">
        <is>
          <t>raw channels</t>
        </is>
      </c>
      <c r="C250" t="n">
        <v>2</v>
      </c>
    </row>
    <row r="251">
      <c r="A251" t="inlineStr">
        <is>
          <t>nch</t>
        </is>
      </c>
      <c r="B251" t="inlineStr">
        <is>
          <t>min(nch_raw,8)</t>
        </is>
      </c>
      <c r="C251" t="n">
        <v>2</v>
      </c>
    </row>
    <row r="252">
      <c r="A252" t="inlineStr">
        <is>
          <t>a</t>
        </is>
      </c>
      <c r="B252" t="inlineStr">
        <is>
          <t>RTT (us)</t>
        </is>
      </c>
      <c r="C252" t="n">
        <v>24.92</v>
      </c>
    </row>
    <row r="253">
      <c r="A253" t="inlineStr">
        <is>
          <t>NIC_BW</t>
        </is>
      </c>
      <c r="B253" t="inlineStr">
        <is>
          <t>bytes/us</t>
        </is>
      </c>
      <c r="C253" t="n">
        <v>48750</v>
      </c>
    </row>
    <row r="254">
      <c r="A254" t="inlineStr">
        <is>
          <t>intra_node_latency</t>
        </is>
      </c>
      <c r="B254" t="inlineStr">
        <is>
          <t>us</t>
        </is>
      </c>
      <c r="C254" t="n">
        <v>8.4</v>
      </c>
    </row>
    <row r="255">
      <c r="A255" t="inlineStr">
        <is>
          <t>chunk_size</t>
        </is>
      </c>
      <c r="B255" t="inlineStr">
        <is>
          <t>bytes</t>
        </is>
      </c>
      <c r="C255" t="n">
        <v>32768</v>
      </c>
    </row>
    <row r="256">
      <c r="A256" t="inlineStr">
        <is>
          <t>G_agg</t>
        </is>
      </c>
      <c r="B256" t="inlineStr">
        <is>
          <t>nch*NIC_BW</t>
        </is>
      </c>
      <c r="C256">
        <f>C251*C253</f>
        <v/>
      </c>
    </row>
    <row r="257">
      <c r="A257" t="inlineStr">
        <is>
          <t>G</t>
        </is>
      </c>
      <c r="B257" t="inlineStr">
        <is>
          <t>2*2*(n_total-1)/(n_total*G_agg)</t>
        </is>
      </c>
      <c r="C257">
        <f>2*2*(C249-1)/(C249*C256)</f>
        <v/>
      </c>
    </row>
    <row r="258">
      <c r="A258" t="inlineStr">
        <is>
          <t>busbw_factor</t>
        </is>
      </c>
      <c r="B258" t="inlineStr">
        <is>
          <t>2*(n_total-1)/n_total</t>
        </is>
      </c>
      <c r="C258">
        <f>2*(C249-1)/C249</f>
        <v/>
      </c>
    </row>
    <row r="259">
      <c r="A259" t="inlineStr">
        <is>
          <t>fixed_per_step</t>
        </is>
      </c>
      <c r="B259" t="inlineStr">
        <is>
          <t>(2*N-1)*(a/2+intra)</t>
        </is>
      </c>
      <c r="C259">
        <f>(2*C247-1)*(C252/2+C254)</f>
        <v/>
      </c>
    </row>
    <row r="260"/>
    <row r="261">
      <c r="A261" t="inlineStr">
        <is>
          <t>size_KB</t>
        </is>
      </c>
      <c r="B261" t="inlineStr">
        <is>
          <t>Actual Time (us)</t>
        </is>
      </c>
      <c r="C261" t="inlineStr">
        <is>
          <t>Roofline Time (us)</t>
        </is>
      </c>
      <c r="D261" t="inlineStr">
        <is>
          <t>Actual/Roofline</t>
        </is>
      </c>
      <c r="E261" t="inlineStr">
        <is>
          <t>Actual busBW (GB/s)</t>
        </is>
      </c>
      <c r="F261" t="inlineStr">
        <is>
          <t>Roofline busBW (GB/s)</t>
        </is>
      </c>
      <c r="G261" t="inlineStr">
        <is>
          <t>Meas/Roof busBW</t>
        </is>
      </c>
    </row>
    <row r="262">
      <c r="A262" t="n">
        <v>1</v>
      </c>
      <c r="B262" t="n">
        <v>234.39</v>
      </c>
      <c r="C262">
        <f>C259*CEILING(A262*1024/(C250*C255*C249),1)+A262*1024*C257</f>
        <v/>
      </c>
      <c r="D262">
        <f>B262/C262</f>
        <v/>
      </c>
      <c r="E262" t="n">
        <v>0.01</v>
      </c>
      <c r="F262">
        <f>A262*1024/(C262*0.000001)/1000000000*C258</f>
        <v/>
      </c>
      <c r="G262">
        <f>E262/F262</f>
        <v/>
      </c>
    </row>
    <row r="263">
      <c r="A263" t="n">
        <v>2</v>
      </c>
      <c r="B263" t="n">
        <v>235.01</v>
      </c>
      <c r="C263">
        <f>C259*CEILING(A263*1024/(C250*C255*C249),1)+A263*1024*C257</f>
        <v/>
      </c>
      <c r="D263">
        <f>B263/C263</f>
        <v/>
      </c>
      <c r="E263" t="n">
        <v>0.02</v>
      </c>
      <c r="F263">
        <f>A263*1024/(C263*0.000001)/1000000000*C258</f>
        <v/>
      </c>
      <c r="G263">
        <f>E263/F263</f>
        <v/>
      </c>
    </row>
    <row r="264">
      <c r="A264" t="n">
        <v>4</v>
      </c>
      <c r="B264" t="n">
        <v>235.47</v>
      </c>
      <c r="C264">
        <f>C259*CEILING(A264*1024/(C250*C255*C249),1)+A264*1024*C257</f>
        <v/>
      </c>
      <c r="D264">
        <f>B264/C264</f>
        <v/>
      </c>
      <c r="E264" t="n">
        <v>0.03</v>
      </c>
      <c r="F264">
        <f>A264*1024/(C264*0.000001)/1000000000*C258</f>
        <v/>
      </c>
      <c r="G264">
        <f>E264/F264</f>
        <v/>
      </c>
    </row>
    <row r="265">
      <c r="A265" t="n">
        <v>8</v>
      </c>
      <c r="B265" t="n">
        <v>236.57</v>
      </c>
      <c r="C265">
        <f>C259*CEILING(A265*1024/(C250*C255*C249),1)+A265*1024*C257</f>
        <v/>
      </c>
      <c r="D265">
        <f>B265/C265</f>
        <v/>
      </c>
      <c r="E265" t="n">
        <v>0.07000000000000001</v>
      </c>
      <c r="F265">
        <f>A265*1024/(C265*0.000001)/1000000000*C258</f>
        <v/>
      </c>
      <c r="G265">
        <f>E265/F265</f>
        <v/>
      </c>
    </row>
    <row r="266">
      <c r="A266" t="n">
        <v>16</v>
      </c>
      <c r="B266" t="n">
        <v>237.64</v>
      </c>
      <c r="C266">
        <f>C259*CEILING(A266*1024/(C250*C255*C249),1)+A266*1024*C257</f>
        <v/>
      </c>
      <c r="D266">
        <f>B266/C266</f>
        <v/>
      </c>
      <c r="E266" t="n">
        <v>0.13</v>
      </c>
      <c r="F266">
        <f>A266*1024/(C266*0.000001)/1000000000*C258</f>
        <v/>
      </c>
      <c r="G266">
        <f>E266/F266</f>
        <v/>
      </c>
    </row>
    <row r="267">
      <c r="A267" t="n">
        <v>32</v>
      </c>
      <c r="B267" t="n">
        <v>239.85</v>
      </c>
      <c r="C267">
        <f>C259*CEILING(A267*1024/(C250*C255*C249),1)+A267*1024*C257</f>
        <v/>
      </c>
      <c r="D267">
        <f>B267/C267</f>
        <v/>
      </c>
      <c r="E267" t="n">
        <v>0.26</v>
      </c>
      <c r="F267">
        <f>A267*1024/(C267*0.000001)/1000000000*C258</f>
        <v/>
      </c>
      <c r="G267">
        <f>E267/F267</f>
        <v/>
      </c>
    </row>
    <row r="268">
      <c r="A268" t="n">
        <v>64</v>
      </c>
      <c r="B268" t="n">
        <v>247.63</v>
      </c>
      <c r="C268">
        <f>C259*CEILING(A268*1024/(C250*C255*C249),1)+A268*1024*C257</f>
        <v/>
      </c>
      <c r="D268">
        <f>B268/C268</f>
        <v/>
      </c>
      <c r="E268" t="n">
        <v>0.51</v>
      </c>
      <c r="F268">
        <f>A268*1024/(C268*0.000001)/1000000000*C258</f>
        <v/>
      </c>
      <c r="G268">
        <f>E268/F268</f>
        <v/>
      </c>
    </row>
    <row r="269">
      <c r="A269" t="n">
        <v>128</v>
      </c>
      <c r="B269" t="n">
        <v>266.52</v>
      </c>
      <c r="C269">
        <f>C259*CEILING(A269*1024/(C250*C255*C249),1)+A269*1024*C257</f>
        <v/>
      </c>
      <c r="D269">
        <f>B269/C269</f>
        <v/>
      </c>
      <c r="E269" t="n">
        <v>0.95</v>
      </c>
      <c r="F269">
        <f>A269*1024/(C269*0.000001)/1000000000*C258</f>
        <v/>
      </c>
      <c r="G269">
        <f>E269/F269</f>
        <v/>
      </c>
    </row>
    <row r="270">
      <c r="A270" t="n">
        <v>256</v>
      </c>
      <c r="B270" t="n">
        <v>280.32</v>
      </c>
      <c r="C270">
        <f>C259*CEILING(A270*1024/(C250*C255*C249),1)+A270*1024*C257</f>
        <v/>
      </c>
      <c r="D270">
        <f>B270/C270</f>
        <v/>
      </c>
      <c r="E270" t="n">
        <v>1.81</v>
      </c>
      <c r="F270">
        <f>A270*1024/(C270*0.000001)/1000000000*C258</f>
        <v/>
      </c>
      <c r="G270">
        <f>E270/F270</f>
        <v/>
      </c>
    </row>
    <row r="271">
      <c r="A271" t="n">
        <v>512</v>
      </c>
      <c r="B271" t="n">
        <v>332.74</v>
      </c>
      <c r="C271">
        <f>C259*CEILING(A271*1024/(C250*C255*C249),1)+A271*1024*C257</f>
        <v/>
      </c>
      <c r="D271">
        <f>B271/C271</f>
        <v/>
      </c>
      <c r="E271" t="n">
        <v>3.05</v>
      </c>
      <c r="F271">
        <f>A271*1024/(C271*0.000001)/1000000000*C258</f>
        <v/>
      </c>
      <c r="G271">
        <f>E271/F271</f>
        <v/>
      </c>
    </row>
    <row r="272">
      <c r="A272" t="n">
        <v>1024</v>
      </c>
      <c r="B272" t="n">
        <v>379.1</v>
      </c>
      <c r="C272">
        <f>C259*CEILING(A272*1024/(C250*C255*C249),1)+A272*1024*C257</f>
        <v/>
      </c>
      <c r="D272">
        <f>B272/C272</f>
        <v/>
      </c>
      <c r="E272" t="n">
        <v>5.36</v>
      </c>
      <c r="F272">
        <f>A272*1024/(C272*0.000001)/1000000000*C258</f>
        <v/>
      </c>
      <c r="G272">
        <f>E272/F272</f>
        <v/>
      </c>
    </row>
    <row r="273">
      <c r="A273" t="n">
        <v>2048</v>
      </c>
      <c r="B273" t="n">
        <v>489.3</v>
      </c>
      <c r="C273">
        <f>C259*CEILING(A273*1024/(C250*C255*C249),1)+A273*1024*C257</f>
        <v/>
      </c>
      <c r="D273">
        <f>B273/C273</f>
        <v/>
      </c>
      <c r="E273" t="n">
        <v>8.300000000000001</v>
      </c>
      <c r="F273">
        <f>A273*1024/(C273*0.000001)/1000000000*C258</f>
        <v/>
      </c>
      <c r="G273">
        <f>E273/F273</f>
        <v/>
      </c>
    </row>
    <row r="274">
      <c r="A274" t="n">
        <v>4096</v>
      </c>
      <c r="B274" t="n">
        <v>971.78</v>
      </c>
      <c r="C274">
        <f>C259*CEILING(A274*1024/(C250*C255*C249),1)+A274*1024*C257</f>
        <v/>
      </c>
      <c r="D274">
        <f>B274/C274</f>
        <v/>
      </c>
      <c r="E274" t="n">
        <v>8.359999999999999</v>
      </c>
      <c r="F274">
        <f>A274*1024/(C274*0.000001)/1000000000*C258</f>
        <v/>
      </c>
      <c r="G274">
        <f>E274/F274</f>
        <v/>
      </c>
    </row>
    <row r="275">
      <c r="A275" t="n">
        <v>8192</v>
      </c>
      <c r="B275" t="n">
        <v>1964.61</v>
      </c>
      <c r="C275">
        <f>C259*CEILING(A275*1024/(C250*C255*C249),1)+A275*1024*C257</f>
        <v/>
      </c>
      <c r="D275">
        <f>B275/C275</f>
        <v/>
      </c>
      <c r="E275" t="n">
        <v>8.27</v>
      </c>
      <c r="F275">
        <f>A275*1024/(C275*0.000001)/1000000000*C258</f>
        <v/>
      </c>
      <c r="G275">
        <f>E275/F275</f>
        <v/>
      </c>
    </row>
    <row r="276">
      <c r="A276" t="n">
        <v>16384</v>
      </c>
      <c r="B276" t="n">
        <v>3943.64</v>
      </c>
      <c r="C276">
        <f>C259*CEILING(A276*1024/(C250*C255*C249),1)+A276*1024*C257</f>
        <v/>
      </c>
      <c r="D276">
        <f>B276/C276</f>
        <v/>
      </c>
      <c r="E276" t="n">
        <v>8.24</v>
      </c>
      <c r="F276">
        <f>A276*1024/(C276*0.000001)/1000000000*C258</f>
        <v/>
      </c>
      <c r="G276">
        <f>E276/F276</f>
        <v/>
      </c>
    </row>
    <row r="277">
      <c r="A277" t="n">
        <v>32768</v>
      </c>
      <c r="B277" t="n">
        <v>7875.9</v>
      </c>
      <c r="C277">
        <f>C259*CEILING(A277*1024/(C250*C255*C249),1)+A277*1024*C257</f>
        <v/>
      </c>
      <c r="D277">
        <f>B277/C277</f>
        <v/>
      </c>
      <c r="E277" t="n">
        <v>8.25</v>
      </c>
      <c r="F277">
        <f>A277*1024/(C277*0.000001)/1000000000*C258</f>
        <v/>
      </c>
      <c r="G277">
        <f>E277/F277</f>
        <v/>
      </c>
    </row>
    <row r="278">
      <c r="A278" t="n">
        <v>65536</v>
      </c>
      <c r="B278" t="n">
        <v>15784.7</v>
      </c>
      <c r="C278">
        <f>C259*CEILING(A278*1024/(C250*C255*C249),1)+A278*1024*C257</f>
        <v/>
      </c>
      <c r="D278">
        <f>B278/C278</f>
        <v/>
      </c>
      <c r="E278" t="n">
        <v>8.24</v>
      </c>
      <c r="F278">
        <f>A278*1024/(C278*0.000001)/1000000000*C258</f>
        <v/>
      </c>
      <c r="G278">
        <f>E278/F278</f>
        <v/>
      </c>
    </row>
    <row r="279">
      <c r="A279" t="n">
        <v>131072</v>
      </c>
      <c r="B279" t="n">
        <v>31628.2</v>
      </c>
      <c r="C279">
        <f>C259*CEILING(A279*1024/(C250*C255*C249),1)+A279*1024*C257</f>
        <v/>
      </c>
      <c r="D279">
        <f>B279/C279</f>
        <v/>
      </c>
      <c r="E279" t="n">
        <v>8.220000000000001</v>
      </c>
      <c r="F279">
        <f>A279*1024/(C279*0.000001)/1000000000*C258</f>
        <v/>
      </c>
      <c r="G279">
        <f>E279/F279</f>
        <v/>
      </c>
    </row>
    <row r="280">
      <c r="A280" t="n">
        <v>262144</v>
      </c>
      <c r="B280" t="n">
        <v>63353.4</v>
      </c>
      <c r="C280">
        <f>C259*CEILING(A280*1024/(C250*C255*C249),1)+A280*1024*C257</f>
        <v/>
      </c>
      <c r="D280">
        <f>B280/C280</f>
        <v/>
      </c>
      <c r="E280" t="n">
        <v>8.210000000000001</v>
      </c>
      <c r="F280">
        <f>A280*1024/(C280*0.000001)/1000000000*C258</f>
        <v/>
      </c>
      <c r="G280">
        <f>E280/F280</f>
        <v/>
      </c>
    </row>
    <row r="281">
      <c r="A281" t="n">
        <v>524288</v>
      </c>
      <c r="B281" t="n">
        <v>127398</v>
      </c>
      <c r="C281">
        <f>C259*CEILING(A281*1024/(C250*C255*C249),1)+A281*1024*C257</f>
        <v/>
      </c>
      <c r="D281">
        <f>B281/C281</f>
        <v/>
      </c>
      <c r="E281" t="n">
        <v>8.16</v>
      </c>
      <c r="F281">
        <f>A281*1024/(C281*0.000001)/1000000000*C258</f>
        <v/>
      </c>
      <c r="G281">
        <f>E281/F281</f>
        <v/>
      </c>
    </row>
    <row r="282">
      <c r="A282" t="n">
        <v>1048576</v>
      </c>
      <c r="B282" t="n">
        <v>255633</v>
      </c>
      <c r="C282">
        <f>C259*CEILING(A282*1024/(C250*C255*C249),1)+A282*1024*C257</f>
        <v/>
      </c>
      <c r="D282">
        <f>B282/C282</f>
        <v/>
      </c>
      <c r="E282" t="n">
        <v>8.140000000000001</v>
      </c>
      <c r="F282">
        <f>A282*1024/(C282*0.000001)/1000000000*C258</f>
        <v/>
      </c>
      <c r="G282">
        <f>E282/F282</f>
        <v/>
      </c>
    </row>
    <row r="283"/>
    <row r="284">
      <c r="A284" t="inlineStr">
        <is>
          <t>Nodes: 4, Protocol: LL, Channels: 4</t>
        </is>
      </c>
    </row>
    <row r="285">
      <c r="A285" t="inlineStr">
        <is>
          <t>Parameter</t>
        </is>
      </c>
      <c r="B285" t="inlineStr">
        <is>
          <t>Formula</t>
        </is>
      </c>
      <c r="C285" t="inlineStr">
        <is>
          <t>Value</t>
        </is>
      </c>
    </row>
    <row r="286">
      <c r="A286" t="inlineStr">
        <is>
          <t>N</t>
        </is>
      </c>
      <c r="B286" t="inlineStr">
        <is>
          <t>nodes</t>
        </is>
      </c>
      <c r="C286" t="n">
        <v>4</v>
      </c>
    </row>
    <row r="287">
      <c r="A287" t="inlineStr">
        <is>
          <t>n</t>
        </is>
      </c>
      <c r="B287" t="inlineStr">
        <is>
          <t>GPUs/node</t>
        </is>
      </c>
      <c r="C287" t="n">
        <v>8</v>
      </c>
    </row>
    <row r="288">
      <c r="A288" t="inlineStr">
        <is>
          <t>n_total</t>
        </is>
      </c>
      <c r="B288" t="inlineStr">
        <is>
          <t>N*n</t>
        </is>
      </c>
      <c r="C288" t="n">
        <v>32</v>
      </c>
    </row>
    <row r="289">
      <c r="A289" t="inlineStr">
        <is>
          <t>nch_raw</t>
        </is>
      </c>
      <c r="B289" t="inlineStr">
        <is>
          <t>raw channels</t>
        </is>
      </c>
      <c r="C289" t="n">
        <v>4</v>
      </c>
    </row>
    <row r="290">
      <c r="A290" t="inlineStr">
        <is>
          <t>nch</t>
        </is>
      </c>
      <c r="B290" t="inlineStr">
        <is>
          <t>min(nch_raw,8)</t>
        </is>
      </c>
      <c r="C290" t="n">
        <v>4</v>
      </c>
    </row>
    <row r="291">
      <c r="A291" t="inlineStr">
        <is>
          <t>a</t>
        </is>
      </c>
      <c r="B291" t="inlineStr">
        <is>
          <t>RTT (us)</t>
        </is>
      </c>
      <c r="C291" t="n">
        <v>24.92</v>
      </c>
    </row>
    <row r="292">
      <c r="A292" t="inlineStr">
        <is>
          <t>NIC_BW</t>
        </is>
      </c>
      <c r="B292" t="inlineStr">
        <is>
          <t>bytes/us</t>
        </is>
      </c>
      <c r="C292" t="n">
        <v>48750</v>
      </c>
    </row>
    <row r="293">
      <c r="A293" t="inlineStr">
        <is>
          <t>intra_node_latency</t>
        </is>
      </c>
      <c r="B293" t="inlineStr">
        <is>
          <t>us</t>
        </is>
      </c>
      <c r="C293" t="n">
        <v>8.4</v>
      </c>
    </row>
    <row r="294">
      <c r="A294" t="inlineStr">
        <is>
          <t>chunk_size</t>
        </is>
      </c>
      <c r="B294" t="inlineStr">
        <is>
          <t>bytes</t>
        </is>
      </c>
      <c r="C294" t="n">
        <v>32768</v>
      </c>
    </row>
    <row r="295">
      <c r="A295" t="inlineStr">
        <is>
          <t>G_agg</t>
        </is>
      </c>
      <c r="B295" t="inlineStr">
        <is>
          <t>nch*NIC_BW</t>
        </is>
      </c>
      <c r="C295">
        <f>C290*C292</f>
        <v/>
      </c>
    </row>
    <row r="296">
      <c r="A296" t="inlineStr">
        <is>
          <t>G</t>
        </is>
      </c>
      <c r="B296" t="inlineStr">
        <is>
          <t>2*2*(n_total-1)/(n_total*G_agg)</t>
        </is>
      </c>
      <c r="C296">
        <f>2*2*(C288-1)/(C288*C295)</f>
        <v/>
      </c>
    </row>
    <row r="297">
      <c r="A297" t="inlineStr">
        <is>
          <t>busbw_factor</t>
        </is>
      </c>
      <c r="B297" t="inlineStr">
        <is>
          <t>2*(n_total-1)/n_total</t>
        </is>
      </c>
      <c r="C297">
        <f>2*(C288-1)/C288</f>
        <v/>
      </c>
    </row>
    <row r="298">
      <c r="A298" t="inlineStr">
        <is>
          <t>fixed_per_step</t>
        </is>
      </c>
      <c r="B298" t="inlineStr">
        <is>
          <t>(2*N-1)*(a/2+intra)</t>
        </is>
      </c>
      <c r="C298">
        <f>(2*C286-1)*(C291/2+C293)</f>
        <v/>
      </c>
    </row>
    <row r="299"/>
    <row r="300">
      <c r="A300" t="inlineStr">
        <is>
          <t>size_KB</t>
        </is>
      </c>
      <c r="B300" t="inlineStr">
        <is>
          <t>Actual Time (us)</t>
        </is>
      </c>
      <c r="C300" t="inlineStr">
        <is>
          <t>Roofline Time (us)</t>
        </is>
      </c>
      <c r="D300" t="inlineStr">
        <is>
          <t>Actual/Roofline</t>
        </is>
      </c>
      <c r="E300" t="inlineStr">
        <is>
          <t>Actual busBW (GB/s)</t>
        </is>
      </c>
      <c r="F300" t="inlineStr">
        <is>
          <t>Roofline busBW (GB/s)</t>
        </is>
      </c>
      <c r="G300" t="inlineStr">
        <is>
          <t>Meas/Roof busBW</t>
        </is>
      </c>
    </row>
    <row r="301">
      <c r="A301" t="n">
        <v>1</v>
      </c>
      <c r="B301" t="n">
        <v>235.11</v>
      </c>
      <c r="C301">
        <f>C298*CEILING(A301*1024/(C289*C294*C288),1)+A301*1024*C296</f>
        <v/>
      </c>
      <c r="D301">
        <f>B301/C301</f>
        <v/>
      </c>
      <c r="E301" t="n">
        <v>0.01</v>
      </c>
      <c r="F301">
        <f>A301*1024/(C301*0.000001)/1000000000*C297</f>
        <v/>
      </c>
      <c r="G301">
        <f>E301/F301</f>
        <v/>
      </c>
    </row>
    <row r="302">
      <c r="A302" t="n">
        <v>2</v>
      </c>
      <c r="B302" t="n">
        <v>236.21</v>
      </c>
      <c r="C302">
        <f>C298*CEILING(A302*1024/(C289*C294*C288),1)+A302*1024*C296</f>
        <v/>
      </c>
      <c r="D302">
        <f>B302/C302</f>
        <v/>
      </c>
      <c r="E302" t="n">
        <v>0.02</v>
      </c>
      <c r="F302">
        <f>A302*1024/(C302*0.000001)/1000000000*C297</f>
        <v/>
      </c>
      <c r="G302">
        <f>E302/F302</f>
        <v/>
      </c>
    </row>
    <row r="303">
      <c r="A303" t="n">
        <v>4</v>
      </c>
      <c r="B303" t="n">
        <v>235.48</v>
      </c>
      <c r="C303">
        <f>C298*CEILING(A303*1024/(C289*C294*C288),1)+A303*1024*C296</f>
        <v/>
      </c>
      <c r="D303">
        <f>B303/C303</f>
        <v/>
      </c>
      <c r="E303" t="n">
        <v>0.03</v>
      </c>
      <c r="F303">
        <f>A303*1024/(C303*0.000001)/1000000000*C297</f>
        <v/>
      </c>
      <c r="G303">
        <f>E303/F303</f>
        <v/>
      </c>
    </row>
    <row r="304">
      <c r="A304" t="n">
        <v>8</v>
      </c>
      <c r="B304" t="n">
        <v>235.91</v>
      </c>
      <c r="C304">
        <f>C298*CEILING(A304*1024/(C289*C294*C288),1)+A304*1024*C296</f>
        <v/>
      </c>
      <c r="D304">
        <f>B304/C304</f>
        <v/>
      </c>
      <c r="E304" t="n">
        <v>0.07000000000000001</v>
      </c>
      <c r="F304">
        <f>A304*1024/(C304*0.000001)/1000000000*C297</f>
        <v/>
      </c>
      <c r="G304">
        <f>E304/F304</f>
        <v/>
      </c>
    </row>
    <row r="305">
      <c r="A305" t="n">
        <v>16</v>
      </c>
      <c r="B305" t="n">
        <v>237.2</v>
      </c>
      <c r="C305">
        <f>C298*CEILING(A305*1024/(C289*C294*C288),1)+A305*1024*C296</f>
        <v/>
      </c>
      <c r="D305">
        <f>B305/C305</f>
        <v/>
      </c>
      <c r="E305" t="n">
        <v>0.13</v>
      </c>
      <c r="F305">
        <f>A305*1024/(C305*0.000001)/1000000000*C297</f>
        <v/>
      </c>
      <c r="G305">
        <f>E305/F305</f>
        <v/>
      </c>
    </row>
    <row r="306">
      <c r="A306" t="n">
        <v>32</v>
      </c>
      <c r="B306" t="n">
        <v>240.22</v>
      </c>
      <c r="C306">
        <f>C298*CEILING(A306*1024/(C289*C294*C288),1)+A306*1024*C296</f>
        <v/>
      </c>
      <c r="D306">
        <f>B306/C306</f>
        <v/>
      </c>
      <c r="E306" t="n">
        <v>0.26</v>
      </c>
      <c r="F306">
        <f>A306*1024/(C306*0.000001)/1000000000*C297</f>
        <v/>
      </c>
      <c r="G306">
        <f>E306/F306</f>
        <v/>
      </c>
    </row>
    <row r="307">
      <c r="A307" t="n">
        <v>64</v>
      </c>
      <c r="B307" t="n">
        <v>247.88</v>
      </c>
      <c r="C307">
        <f>C298*CEILING(A307*1024/(C289*C294*C288),1)+A307*1024*C296</f>
        <v/>
      </c>
      <c r="D307">
        <f>B307/C307</f>
        <v/>
      </c>
      <c r="E307" t="n">
        <v>0.51</v>
      </c>
      <c r="F307">
        <f>A307*1024/(C307*0.000001)/1000000000*C297</f>
        <v/>
      </c>
      <c r="G307">
        <f>E307/F307</f>
        <v/>
      </c>
    </row>
    <row r="308">
      <c r="A308" t="n">
        <v>128</v>
      </c>
      <c r="B308" t="n">
        <v>267.52</v>
      </c>
      <c r="C308">
        <f>C298*CEILING(A308*1024/(C289*C294*C288),1)+A308*1024*C296</f>
        <v/>
      </c>
      <c r="D308">
        <f>B308/C308</f>
        <v/>
      </c>
      <c r="E308" t="n">
        <v>0.95</v>
      </c>
      <c r="F308">
        <f>A308*1024/(C308*0.000001)/1000000000*C297</f>
        <v/>
      </c>
      <c r="G308">
        <f>E308/F308</f>
        <v/>
      </c>
    </row>
    <row r="309">
      <c r="A309" t="n">
        <v>256</v>
      </c>
      <c r="B309" t="n">
        <v>279.63</v>
      </c>
      <c r="C309">
        <f>C298*CEILING(A309*1024/(C289*C294*C288),1)+A309*1024*C296</f>
        <v/>
      </c>
      <c r="D309">
        <f>B309/C309</f>
        <v/>
      </c>
      <c r="E309" t="n">
        <v>1.82</v>
      </c>
      <c r="F309">
        <f>A309*1024/(C309*0.000001)/1000000000*C297</f>
        <v/>
      </c>
      <c r="G309">
        <f>E309/F309</f>
        <v/>
      </c>
    </row>
    <row r="310">
      <c r="A310" t="n">
        <v>512</v>
      </c>
      <c r="B310" t="n">
        <v>284.27</v>
      </c>
      <c r="C310">
        <f>C298*CEILING(A310*1024/(C289*C294*C288),1)+A310*1024*C296</f>
        <v/>
      </c>
      <c r="D310">
        <f>B310/C310</f>
        <v/>
      </c>
      <c r="E310" t="n">
        <v>3.57</v>
      </c>
      <c r="F310">
        <f>A310*1024/(C310*0.000001)/1000000000*C297</f>
        <v/>
      </c>
      <c r="G310">
        <f>E310/F310</f>
        <v/>
      </c>
    </row>
    <row r="311">
      <c r="A311" t="n">
        <v>1024</v>
      </c>
      <c r="B311" t="n">
        <v>339.89</v>
      </c>
      <c r="C311">
        <f>C298*CEILING(A311*1024/(C289*C294*C288),1)+A311*1024*C296</f>
        <v/>
      </c>
      <c r="D311">
        <f>B311/C311</f>
        <v/>
      </c>
      <c r="E311" t="n">
        <v>5.98</v>
      </c>
      <c r="F311">
        <f>A311*1024/(C311*0.000001)/1000000000*C297</f>
        <v/>
      </c>
      <c r="G311">
        <f>E311/F311</f>
        <v/>
      </c>
    </row>
    <row r="312">
      <c r="A312" t="n">
        <v>2048</v>
      </c>
      <c r="B312" t="n">
        <v>384.89</v>
      </c>
      <c r="C312">
        <f>C298*CEILING(A312*1024/(C289*C294*C288),1)+A312*1024*C296</f>
        <v/>
      </c>
      <c r="D312">
        <f>B312/C312</f>
        <v/>
      </c>
      <c r="E312" t="n">
        <v>10.56</v>
      </c>
      <c r="F312">
        <f>A312*1024/(C312*0.000001)/1000000000*C297</f>
        <v/>
      </c>
      <c r="G312">
        <f>E312/F312</f>
        <v/>
      </c>
    </row>
    <row r="313">
      <c r="A313" t="n">
        <v>4096</v>
      </c>
      <c r="B313" t="n">
        <v>516.88</v>
      </c>
      <c r="C313">
        <f>C298*CEILING(A313*1024/(C289*C294*C288),1)+A313*1024*C296</f>
        <v/>
      </c>
      <c r="D313">
        <f>B313/C313</f>
        <v/>
      </c>
      <c r="E313" t="n">
        <v>15.72</v>
      </c>
      <c r="F313">
        <f>A313*1024/(C313*0.000001)/1000000000*C297</f>
        <v/>
      </c>
      <c r="G313">
        <f>E313/F313</f>
        <v/>
      </c>
    </row>
    <row r="314">
      <c r="A314" t="n">
        <v>8192</v>
      </c>
      <c r="B314" t="n">
        <v>1023.89</v>
      </c>
      <c r="C314">
        <f>C298*CEILING(A314*1024/(C289*C294*C288),1)+A314*1024*C296</f>
        <v/>
      </c>
      <c r="D314">
        <f>B314/C314</f>
        <v/>
      </c>
      <c r="E314" t="n">
        <v>15.87</v>
      </c>
      <c r="F314">
        <f>A314*1024/(C314*0.000001)/1000000000*C297</f>
        <v/>
      </c>
      <c r="G314">
        <f>E314/F314</f>
        <v/>
      </c>
    </row>
    <row r="315">
      <c r="A315" t="n">
        <v>16384</v>
      </c>
      <c r="B315" t="n">
        <v>2023.38</v>
      </c>
      <c r="C315">
        <f>C298*CEILING(A315*1024/(C289*C294*C288),1)+A315*1024*C296</f>
        <v/>
      </c>
      <c r="D315">
        <f>B315/C315</f>
        <v/>
      </c>
      <c r="E315" t="n">
        <v>16.07</v>
      </c>
      <c r="F315">
        <f>A315*1024/(C315*0.000001)/1000000000*C297</f>
        <v/>
      </c>
      <c r="G315">
        <f>E315/F315</f>
        <v/>
      </c>
    </row>
    <row r="316">
      <c r="A316" t="n">
        <v>32768</v>
      </c>
      <c r="B316" t="n">
        <v>4034.31</v>
      </c>
      <c r="C316">
        <f>C298*CEILING(A316*1024/(C289*C294*C288),1)+A316*1024*C296</f>
        <v/>
      </c>
      <c r="D316">
        <f>B316/C316</f>
        <v/>
      </c>
      <c r="E316" t="n">
        <v>16.11</v>
      </c>
      <c r="F316">
        <f>A316*1024/(C316*0.000001)/1000000000*C297</f>
        <v/>
      </c>
      <c r="G316">
        <f>E316/F316</f>
        <v/>
      </c>
    </row>
    <row r="317">
      <c r="A317" t="n">
        <v>65536</v>
      </c>
      <c r="B317" t="n">
        <v>8057.31</v>
      </c>
      <c r="C317">
        <f>C298*CEILING(A317*1024/(C289*C294*C288),1)+A317*1024*C296</f>
        <v/>
      </c>
      <c r="D317">
        <f>B317/C317</f>
        <v/>
      </c>
      <c r="E317" t="n">
        <v>16.14</v>
      </c>
      <c r="F317">
        <f>A317*1024/(C317*0.000001)/1000000000*C297</f>
        <v/>
      </c>
      <c r="G317">
        <f>E317/F317</f>
        <v/>
      </c>
    </row>
    <row r="318">
      <c r="A318" t="n">
        <v>131072</v>
      </c>
      <c r="B318" t="n">
        <v>16025.5</v>
      </c>
      <c r="C318">
        <f>C298*CEILING(A318*1024/(C289*C294*C288),1)+A318*1024*C296</f>
        <v/>
      </c>
      <c r="D318">
        <f>B318/C318</f>
        <v/>
      </c>
      <c r="E318" t="n">
        <v>16.23</v>
      </c>
      <c r="F318">
        <f>A318*1024/(C318*0.000001)/1000000000*C297</f>
        <v/>
      </c>
      <c r="G318">
        <f>E318/F318</f>
        <v/>
      </c>
    </row>
    <row r="319">
      <c r="A319" t="n">
        <v>262144</v>
      </c>
      <c r="B319" t="n">
        <v>32041.3</v>
      </c>
      <c r="C319">
        <f>C298*CEILING(A319*1024/(C289*C294*C288),1)+A319*1024*C296</f>
        <v/>
      </c>
      <c r="D319">
        <f>B319/C319</f>
        <v/>
      </c>
      <c r="E319" t="n">
        <v>16.23</v>
      </c>
      <c r="F319">
        <f>A319*1024/(C319*0.000001)/1000000000*C297</f>
        <v/>
      </c>
      <c r="G319">
        <f>E319/F319</f>
        <v/>
      </c>
    </row>
    <row r="320">
      <c r="A320" t="n">
        <v>524288</v>
      </c>
      <c r="B320" t="n">
        <v>64170.7</v>
      </c>
      <c r="C320">
        <f>C298*CEILING(A320*1024/(C289*C294*C288),1)+A320*1024*C296</f>
        <v/>
      </c>
      <c r="D320">
        <f>B320/C320</f>
        <v/>
      </c>
      <c r="E320" t="n">
        <v>16.21</v>
      </c>
      <c r="F320">
        <f>A320*1024/(C320*0.000001)/1000000000*C297</f>
        <v/>
      </c>
      <c r="G320">
        <f>E320/F320</f>
        <v/>
      </c>
    </row>
    <row r="321">
      <c r="A321" t="n">
        <v>1048576</v>
      </c>
      <c r="B321" t="n">
        <v>129090</v>
      </c>
      <c r="C321">
        <f>C298*CEILING(A321*1024/(C289*C294*C288),1)+A321*1024*C296</f>
        <v/>
      </c>
      <c r="D321">
        <f>B321/C321</f>
        <v/>
      </c>
      <c r="E321" t="n">
        <v>16.12</v>
      </c>
      <c r="F321">
        <f>A321*1024/(C321*0.000001)/1000000000*C297</f>
        <v/>
      </c>
      <c r="G321">
        <f>E321/F321</f>
        <v/>
      </c>
    </row>
    <row r="322"/>
    <row r="323">
      <c r="A323" t="inlineStr">
        <is>
          <t>Nodes: 4, Protocol: LL, Channels: 8</t>
        </is>
      </c>
    </row>
    <row r="324">
      <c r="A324" t="inlineStr">
        <is>
          <t>Parameter</t>
        </is>
      </c>
      <c r="B324" t="inlineStr">
        <is>
          <t>Formula</t>
        </is>
      </c>
      <c r="C324" t="inlineStr">
        <is>
          <t>Value</t>
        </is>
      </c>
    </row>
    <row r="325">
      <c r="A325" t="inlineStr">
        <is>
          <t>N</t>
        </is>
      </c>
      <c r="B325" t="inlineStr">
        <is>
          <t>nodes</t>
        </is>
      </c>
      <c r="C325" t="n">
        <v>4</v>
      </c>
    </row>
    <row r="326">
      <c r="A326" t="inlineStr">
        <is>
          <t>n</t>
        </is>
      </c>
      <c r="B326" t="inlineStr">
        <is>
          <t>GPUs/node</t>
        </is>
      </c>
      <c r="C326" t="n">
        <v>8</v>
      </c>
    </row>
    <row r="327">
      <c r="A327" t="inlineStr">
        <is>
          <t>n_total</t>
        </is>
      </c>
      <c r="B327" t="inlineStr">
        <is>
          <t>N*n</t>
        </is>
      </c>
      <c r="C327" t="n">
        <v>32</v>
      </c>
    </row>
    <row r="328">
      <c r="A328" t="inlineStr">
        <is>
          <t>nch_raw</t>
        </is>
      </c>
      <c r="B328" t="inlineStr">
        <is>
          <t>raw channels</t>
        </is>
      </c>
      <c r="C328" t="n">
        <v>8</v>
      </c>
    </row>
    <row r="329">
      <c r="A329" t="inlineStr">
        <is>
          <t>nch</t>
        </is>
      </c>
      <c r="B329" t="inlineStr">
        <is>
          <t>min(nch_raw,8)</t>
        </is>
      </c>
      <c r="C329" t="n">
        <v>8</v>
      </c>
    </row>
    <row r="330">
      <c r="A330" t="inlineStr">
        <is>
          <t>a</t>
        </is>
      </c>
      <c r="B330" t="inlineStr">
        <is>
          <t>RTT (us)</t>
        </is>
      </c>
      <c r="C330" t="n">
        <v>24.92</v>
      </c>
    </row>
    <row r="331">
      <c r="A331" t="inlineStr">
        <is>
          <t>NIC_BW</t>
        </is>
      </c>
      <c r="B331" t="inlineStr">
        <is>
          <t>bytes/us</t>
        </is>
      </c>
      <c r="C331" t="n">
        <v>48750</v>
      </c>
    </row>
    <row r="332">
      <c r="A332" t="inlineStr">
        <is>
          <t>intra_node_latency</t>
        </is>
      </c>
      <c r="B332" t="inlineStr">
        <is>
          <t>us</t>
        </is>
      </c>
      <c r="C332" t="n">
        <v>8.4</v>
      </c>
    </row>
    <row r="333">
      <c r="A333" t="inlineStr">
        <is>
          <t>chunk_size</t>
        </is>
      </c>
      <c r="B333" t="inlineStr">
        <is>
          <t>bytes</t>
        </is>
      </c>
      <c r="C333" t="n">
        <v>32768</v>
      </c>
    </row>
    <row r="334">
      <c r="A334" t="inlineStr">
        <is>
          <t>G_agg</t>
        </is>
      </c>
      <c r="B334" t="inlineStr">
        <is>
          <t>nch*NIC_BW</t>
        </is>
      </c>
      <c r="C334">
        <f>C329*C331</f>
        <v/>
      </c>
    </row>
    <row r="335">
      <c r="A335" t="inlineStr">
        <is>
          <t>G</t>
        </is>
      </c>
      <c r="B335" t="inlineStr">
        <is>
          <t>2*2*(n_total-1)/(n_total*G_agg)</t>
        </is>
      </c>
      <c r="C335">
        <f>2*2*(C327-1)/(C327*C334)</f>
        <v/>
      </c>
    </row>
    <row r="336">
      <c r="A336" t="inlineStr">
        <is>
          <t>busbw_factor</t>
        </is>
      </c>
      <c r="B336" t="inlineStr">
        <is>
          <t>2*(n_total-1)/n_total</t>
        </is>
      </c>
      <c r="C336">
        <f>2*(C327-1)/C327</f>
        <v/>
      </c>
    </row>
    <row r="337">
      <c r="A337" t="inlineStr">
        <is>
          <t>fixed_per_step</t>
        </is>
      </c>
      <c r="B337" t="inlineStr">
        <is>
          <t>(2*N-1)*(a/2+intra)</t>
        </is>
      </c>
      <c r="C337">
        <f>(2*C325-1)*(C330/2+C332)</f>
        <v/>
      </c>
    </row>
    <row r="338"/>
    <row r="339">
      <c r="A339" t="inlineStr">
        <is>
          <t>size_KB</t>
        </is>
      </c>
      <c r="B339" t="inlineStr">
        <is>
          <t>Actual Time (us)</t>
        </is>
      </c>
      <c r="C339" t="inlineStr">
        <is>
          <t>Roofline Time (us)</t>
        </is>
      </c>
      <c r="D339" t="inlineStr">
        <is>
          <t>Actual/Roofline</t>
        </is>
      </c>
      <c r="E339" t="inlineStr">
        <is>
          <t>Actual busBW (GB/s)</t>
        </is>
      </c>
      <c r="F339" t="inlineStr">
        <is>
          <t>Roofline busBW (GB/s)</t>
        </is>
      </c>
      <c r="G339" t="inlineStr">
        <is>
          <t>Meas/Roof busBW</t>
        </is>
      </c>
    </row>
    <row r="340">
      <c r="A340" t="n">
        <v>1</v>
      </c>
      <c r="B340" t="n">
        <v>243.4</v>
      </c>
      <c r="C340">
        <f>C337*CEILING(A340*1024/(C328*C333*C327),1)+A340*1024*C335</f>
        <v/>
      </c>
      <c r="D340">
        <f>B340/C340</f>
        <v/>
      </c>
      <c r="E340" t="n">
        <v>0.01</v>
      </c>
      <c r="F340">
        <f>A340*1024/(C340*0.000001)/1000000000*C336</f>
        <v/>
      </c>
      <c r="G340">
        <f>E340/F340</f>
        <v/>
      </c>
    </row>
    <row r="341">
      <c r="A341" t="n">
        <v>2</v>
      </c>
      <c r="B341" t="n">
        <v>236.04</v>
      </c>
      <c r="C341">
        <f>C337*CEILING(A341*1024/(C328*C333*C327),1)+A341*1024*C335</f>
        <v/>
      </c>
      <c r="D341">
        <f>B341/C341</f>
        <v/>
      </c>
      <c r="E341" t="n">
        <v>0.02</v>
      </c>
      <c r="F341">
        <f>A341*1024/(C341*0.000001)/1000000000*C336</f>
        <v/>
      </c>
      <c r="G341">
        <f>E341/F341</f>
        <v/>
      </c>
    </row>
    <row r="342">
      <c r="A342" t="n">
        <v>4</v>
      </c>
      <c r="B342" t="n">
        <v>237.3</v>
      </c>
      <c r="C342">
        <f>C337*CEILING(A342*1024/(C328*C333*C327),1)+A342*1024*C335</f>
        <v/>
      </c>
      <c r="D342">
        <f>B342/C342</f>
        <v/>
      </c>
      <c r="E342" t="n">
        <v>0.03</v>
      </c>
      <c r="F342">
        <f>A342*1024/(C342*0.000001)/1000000000*C336</f>
        <v/>
      </c>
      <c r="G342">
        <f>E342/F342</f>
        <v/>
      </c>
    </row>
    <row r="343">
      <c r="A343" t="n">
        <v>8</v>
      </c>
      <c r="B343" t="n">
        <v>237.43</v>
      </c>
      <c r="C343">
        <f>C337*CEILING(A343*1024/(C328*C333*C327),1)+A343*1024*C335</f>
        <v/>
      </c>
      <c r="D343">
        <f>B343/C343</f>
        <v/>
      </c>
      <c r="E343" t="n">
        <v>0.07000000000000001</v>
      </c>
      <c r="F343">
        <f>A343*1024/(C343*0.000001)/1000000000*C336</f>
        <v/>
      </c>
      <c r="G343">
        <f>E343/F343</f>
        <v/>
      </c>
    </row>
    <row r="344">
      <c r="A344" t="n">
        <v>16</v>
      </c>
      <c r="B344" t="n">
        <v>238.13</v>
      </c>
      <c r="C344">
        <f>C337*CEILING(A344*1024/(C328*C333*C327),1)+A344*1024*C335</f>
        <v/>
      </c>
      <c r="D344">
        <f>B344/C344</f>
        <v/>
      </c>
      <c r="E344" t="n">
        <v>0.13</v>
      </c>
      <c r="F344">
        <f>A344*1024/(C344*0.000001)/1000000000*C336</f>
        <v/>
      </c>
      <c r="G344">
        <f>E344/F344</f>
        <v/>
      </c>
    </row>
    <row r="345">
      <c r="A345" t="n">
        <v>32</v>
      </c>
      <c r="B345" t="n">
        <v>240.47</v>
      </c>
      <c r="C345">
        <f>C337*CEILING(A345*1024/(C328*C333*C327),1)+A345*1024*C335</f>
        <v/>
      </c>
      <c r="D345">
        <f>B345/C345</f>
        <v/>
      </c>
      <c r="E345" t="n">
        <v>0.26</v>
      </c>
      <c r="F345">
        <f>A345*1024/(C345*0.000001)/1000000000*C336</f>
        <v/>
      </c>
      <c r="G345">
        <f>E345/F345</f>
        <v/>
      </c>
    </row>
    <row r="346">
      <c r="A346" t="n">
        <v>64</v>
      </c>
      <c r="B346" t="n">
        <v>248.62</v>
      </c>
      <c r="C346">
        <f>C337*CEILING(A346*1024/(C328*C333*C327),1)+A346*1024*C335</f>
        <v/>
      </c>
      <c r="D346">
        <f>B346/C346</f>
        <v/>
      </c>
      <c r="E346" t="n">
        <v>0.51</v>
      </c>
      <c r="F346">
        <f>A346*1024/(C346*0.000001)/1000000000*C336</f>
        <v/>
      </c>
      <c r="G346">
        <f>E346/F346</f>
        <v/>
      </c>
    </row>
    <row r="347">
      <c r="A347" t="n">
        <v>128</v>
      </c>
      <c r="B347" t="n">
        <v>268.26</v>
      </c>
      <c r="C347">
        <f>C337*CEILING(A347*1024/(C328*C333*C327),1)+A347*1024*C335</f>
        <v/>
      </c>
      <c r="D347">
        <f>B347/C347</f>
        <v/>
      </c>
      <c r="E347" t="n">
        <v>0.95</v>
      </c>
      <c r="F347">
        <f>A347*1024/(C347*0.000001)/1000000000*C336</f>
        <v/>
      </c>
      <c r="G347">
        <f>E347/F347</f>
        <v/>
      </c>
    </row>
    <row r="348">
      <c r="A348" t="n">
        <v>256</v>
      </c>
      <c r="B348" t="n">
        <v>281.85</v>
      </c>
      <c r="C348">
        <f>C337*CEILING(A348*1024/(C328*C333*C327),1)+A348*1024*C335</f>
        <v/>
      </c>
      <c r="D348">
        <f>B348/C348</f>
        <v/>
      </c>
      <c r="E348" t="n">
        <v>1.8</v>
      </c>
      <c r="F348">
        <f>A348*1024/(C348*0.000001)/1000000000*C336</f>
        <v/>
      </c>
      <c r="G348">
        <f>E348/F348</f>
        <v/>
      </c>
    </row>
    <row r="349">
      <c r="A349" t="n">
        <v>512</v>
      </c>
      <c r="B349" t="n">
        <v>284.66</v>
      </c>
      <c r="C349">
        <f>C337*CEILING(A349*1024/(C328*C333*C327),1)+A349*1024*C335</f>
        <v/>
      </c>
      <c r="D349">
        <f>B349/C349</f>
        <v/>
      </c>
      <c r="E349" t="n">
        <v>3.57</v>
      </c>
      <c r="F349">
        <f>A349*1024/(C349*0.000001)/1000000000*C336</f>
        <v/>
      </c>
      <c r="G349">
        <f>E349/F349</f>
        <v/>
      </c>
    </row>
    <row r="350">
      <c r="A350" t="n">
        <v>1024</v>
      </c>
      <c r="B350" t="n">
        <v>286.27</v>
      </c>
      <c r="C350">
        <f>C337*CEILING(A350*1024/(C328*C333*C327),1)+A350*1024*C335</f>
        <v/>
      </c>
      <c r="D350">
        <f>B350/C350</f>
        <v/>
      </c>
      <c r="E350" t="n">
        <v>7.1</v>
      </c>
      <c r="F350">
        <f>A350*1024/(C350*0.000001)/1000000000*C336</f>
        <v/>
      </c>
      <c r="G350">
        <f>E350/F350</f>
        <v/>
      </c>
    </row>
    <row r="351">
      <c r="A351" t="n">
        <v>2048</v>
      </c>
      <c r="B351" t="n">
        <v>356.99</v>
      </c>
      <c r="C351">
        <f>C337*CEILING(A351*1024/(C328*C333*C327),1)+A351*1024*C335</f>
        <v/>
      </c>
      <c r="D351">
        <f>B351/C351</f>
        <v/>
      </c>
      <c r="E351" t="n">
        <v>11.38</v>
      </c>
      <c r="F351">
        <f>A351*1024/(C351*0.000001)/1000000000*C336</f>
        <v/>
      </c>
      <c r="G351">
        <f>E351/F351</f>
        <v/>
      </c>
    </row>
    <row r="352">
      <c r="A352" t="n">
        <v>4096</v>
      </c>
      <c r="B352" t="n">
        <v>410.81</v>
      </c>
      <c r="C352">
        <f>C337*CEILING(A352*1024/(C328*C333*C327),1)+A352*1024*C335</f>
        <v/>
      </c>
      <c r="D352">
        <f>B352/C352</f>
        <v/>
      </c>
      <c r="E352" t="n">
        <v>19.78</v>
      </c>
      <c r="F352">
        <f>A352*1024/(C352*0.000001)/1000000000*C336</f>
        <v/>
      </c>
      <c r="G352">
        <f>E352/F352</f>
        <v/>
      </c>
    </row>
    <row r="353">
      <c r="A353" t="n">
        <v>8192</v>
      </c>
      <c r="B353" t="n">
        <v>532.4400000000001</v>
      </c>
      <c r="C353">
        <f>C337*CEILING(A353*1024/(C328*C333*C327),1)+A353*1024*C335</f>
        <v/>
      </c>
      <c r="D353">
        <f>B353/C353</f>
        <v/>
      </c>
      <c r="E353" t="n">
        <v>30.53</v>
      </c>
      <c r="F353">
        <f>A353*1024/(C353*0.000001)/1000000000*C336</f>
        <v/>
      </c>
      <c r="G353">
        <f>E353/F353</f>
        <v/>
      </c>
    </row>
    <row r="354">
      <c r="A354" t="n">
        <v>16384</v>
      </c>
      <c r="B354" t="n">
        <v>1065.78</v>
      </c>
      <c r="C354">
        <f>C337*CEILING(A354*1024/(C328*C333*C327),1)+A354*1024*C335</f>
        <v/>
      </c>
      <c r="D354">
        <f>B354/C354</f>
        <v/>
      </c>
      <c r="E354" t="n">
        <v>30.5</v>
      </c>
      <c r="F354">
        <f>A354*1024/(C354*0.000001)/1000000000*C336</f>
        <v/>
      </c>
      <c r="G354">
        <f>E354/F354</f>
        <v/>
      </c>
    </row>
    <row r="355">
      <c r="A355" t="n">
        <v>32768</v>
      </c>
      <c r="B355" t="n">
        <v>2091.54</v>
      </c>
      <c r="C355">
        <f>C337*CEILING(A355*1024/(C328*C333*C327),1)+A355*1024*C335</f>
        <v/>
      </c>
      <c r="D355">
        <f>B355/C355</f>
        <v/>
      </c>
      <c r="E355" t="n">
        <v>31.08</v>
      </c>
      <c r="F355">
        <f>A355*1024/(C355*0.000001)/1000000000*C336</f>
        <v/>
      </c>
      <c r="G355">
        <f>E355/F355</f>
        <v/>
      </c>
    </row>
    <row r="356">
      <c r="A356" t="n">
        <v>65536</v>
      </c>
      <c r="B356" t="n">
        <v>4175.16</v>
      </c>
      <c r="C356">
        <f>C337*CEILING(A356*1024/(C328*C333*C327),1)+A356*1024*C335</f>
        <v/>
      </c>
      <c r="D356">
        <f>B356/C356</f>
        <v/>
      </c>
      <c r="E356" t="n">
        <v>31.14</v>
      </c>
      <c r="F356">
        <f>A356*1024/(C356*0.000001)/1000000000*C336</f>
        <v/>
      </c>
      <c r="G356">
        <f>E356/F356</f>
        <v/>
      </c>
    </row>
    <row r="357">
      <c r="A357" t="n">
        <v>131072</v>
      </c>
      <c r="B357" t="n">
        <v>8192.9</v>
      </c>
      <c r="C357">
        <f>C337*CEILING(A357*1024/(C328*C333*C327),1)+A357*1024*C335</f>
        <v/>
      </c>
      <c r="D357">
        <f>B357/C357</f>
        <v/>
      </c>
      <c r="E357" t="n">
        <v>31.74</v>
      </c>
      <c r="F357">
        <f>A357*1024/(C357*0.000001)/1000000000*C336</f>
        <v/>
      </c>
      <c r="G357">
        <f>E357/F357</f>
        <v/>
      </c>
    </row>
    <row r="358">
      <c r="A358" t="n">
        <v>262144</v>
      </c>
      <c r="B358" t="n">
        <v>16277.2</v>
      </c>
      <c r="C358">
        <f>C337*CEILING(A358*1024/(C328*C333*C327),1)+A358*1024*C335</f>
        <v/>
      </c>
      <c r="D358">
        <f>B358/C358</f>
        <v/>
      </c>
      <c r="E358" t="n">
        <v>31.95</v>
      </c>
      <c r="F358">
        <f>A358*1024/(C358*0.000001)/1000000000*C336</f>
        <v/>
      </c>
      <c r="G358">
        <f>E358/F358</f>
        <v/>
      </c>
    </row>
    <row r="359">
      <c r="A359" t="n">
        <v>524288</v>
      </c>
      <c r="B359" t="n">
        <v>32437.7</v>
      </c>
      <c r="C359">
        <f>C337*CEILING(A359*1024/(C328*C333*C327),1)+A359*1024*C335</f>
        <v/>
      </c>
      <c r="D359">
        <f>B359/C359</f>
        <v/>
      </c>
      <c r="E359" t="n">
        <v>32.07</v>
      </c>
      <c r="F359">
        <f>A359*1024/(C359*0.000001)/1000000000*C336</f>
        <v/>
      </c>
      <c r="G359">
        <f>E359/F359</f>
        <v/>
      </c>
    </row>
    <row r="360">
      <c r="A360" t="n">
        <v>1048576</v>
      </c>
      <c r="B360" t="n">
        <v>65061.2</v>
      </c>
      <c r="C360">
        <f>C337*CEILING(A360*1024/(C328*C333*C327),1)+A360*1024*C335</f>
        <v/>
      </c>
      <c r="D360">
        <f>B360/C360</f>
        <v/>
      </c>
      <c r="E360" t="n">
        <v>31.98</v>
      </c>
      <c r="F360">
        <f>A360*1024/(C360*0.000001)/1000000000*C336</f>
        <v/>
      </c>
      <c r="G360">
        <f>E360/F360</f>
        <v/>
      </c>
    </row>
    <row r="361"/>
    <row r="362">
      <c r="A362" t="inlineStr">
        <is>
          <t>Nodes: 4, Protocol: LL, Channels: 16</t>
        </is>
      </c>
    </row>
    <row r="363">
      <c r="A363" t="inlineStr">
        <is>
          <t>Parameter</t>
        </is>
      </c>
      <c r="B363" t="inlineStr">
        <is>
          <t>Formula</t>
        </is>
      </c>
      <c r="C363" t="inlineStr">
        <is>
          <t>Value</t>
        </is>
      </c>
    </row>
    <row r="364">
      <c r="A364" t="inlineStr">
        <is>
          <t>N</t>
        </is>
      </c>
      <c r="B364" t="inlineStr">
        <is>
          <t>nodes</t>
        </is>
      </c>
      <c r="C364" t="n">
        <v>4</v>
      </c>
    </row>
    <row r="365">
      <c r="A365" t="inlineStr">
        <is>
          <t>n</t>
        </is>
      </c>
      <c r="B365" t="inlineStr">
        <is>
          <t>GPUs/node</t>
        </is>
      </c>
      <c r="C365" t="n">
        <v>8</v>
      </c>
    </row>
    <row r="366">
      <c r="A366" t="inlineStr">
        <is>
          <t>n_total</t>
        </is>
      </c>
      <c r="B366" t="inlineStr">
        <is>
          <t>N*n</t>
        </is>
      </c>
      <c r="C366" t="n">
        <v>32</v>
      </c>
    </row>
    <row r="367">
      <c r="A367" t="inlineStr">
        <is>
          <t>nch_raw</t>
        </is>
      </c>
      <c r="B367" t="inlineStr">
        <is>
          <t>raw channels</t>
        </is>
      </c>
      <c r="C367" t="n">
        <v>16</v>
      </c>
    </row>
    <row r="368">
      <c r="A368" t="inlineStr">
        <is>
          <t>nch</t>
        </is>
      </c>
      <c r="B368" t="inlineStr">
        <is>
          <t>min(nch_raw,8)</t>
        </is>
      </c>
      <c r="C368" t="n">
        <v>8</v>
      </c>
    </row>
    <row r="369">
      <c r="A369" t="inlineStr">
        <is>
          <t>a</t>
        </is>
      </c>
      <c r="B369" t="inlineStr">
        <is>
          <t>RTT (us)</t>
        </is>
      </c>
      <c r="C369" t="n">
        <v>24.92</v>
      </c>
    </row>
    <row r="370">
      <c r="A370" t="inlineStr">
        <is>
          <t>NIC_BW</t>
        </is>
      </c>
      <c r="B370" t="inlineStr">
        <is>
          <t>bytes/us</t>
        </is>
      </c>
      <c r="C370" t="n">
        <v>48750</v>
      </c>
    </row>
    <row r="371">
      <c r="A371" t="inlineStr">
        <is>
          <t>intra_node_latency</t>
        </is>
      </c>
      <c r="B371" t="inlineStr">
        <is>
          <t>us</t>
        </is>
      </c>
      <c r="C371" t="n">
        <v>8.4</v>
      </c>
    </row>
    <row r="372">
      <c r="A372" t="inlineStr">
        <is>
          <t>chunk_size</t>
        </is>
      </c>
      <c r="B372" t="inlineStr">
        <is>
          <t>bytes</t>
        </is>
      </c>
      <c r="C372" t="n">
        <v>32768</v>
      </c>
    </row>
    <row r="373">
      <c r="A373" t="inlineStr">
        <is>
          <t>G_agg</t>
        </is>
      </c>
      <c r="B373" t="inlineStr">
        <is>
          <t>nch*NIC_BW</t>
        </is>
      </c>
      <c r="C373">
        <f>C368*C370</f>
        <v/>
      </c>
    </row>
    <row r="374">
      <c r="A374" t="inlineStr">
        <is>
          <t>G</t>
        </is>
      </c>
      <c r="B374" t="inlineStr">
        <is>
          <t>2*2*(n_total-1)/(n_total*G_agg)</t>
        </is>
      </c>
      <c r="C374">
        <f>2*2*(C366-1)/(C366*C373)</f>
        <v/>
      </c>
    </row>
    <row r="375">
      <c r="A375" t="inlineStr">
        <is>
          <t>busbw_factor</t>
        </is>
      </c>
      <c r="B375" t="inlineStr">
        <is>
          <t>2*(n_total-1)/n_total</t>
        </is>
      </c>
      <c r="C375">
        <f>2*(C366-1)/C366</f>
        <v/>
      </c>
    </row>
    <row r="376">
      <c r="A376" t="inlineStr">
        <is>
          <t>fixed_per_step</t>
        </is>
      </c>
      <c r="B376" t="inlineStr">
        <is>
          <t>(2*N-1)*(a/2+intra)</t>
        </is>
      </c>
      <c r="C376">
        <f>(2*C364-1)*(C369/2+C371)</f>
        <v/>
      </c>
    </row>
    <row r="377"/>
    <row r="378">
      <c r="A378" t="inlineStr">
        <is>
          <t>size_KB</t>
        </is>
      </c>
      <c r="B378" t="inlineStr">
        <is>
          <t>Actual Time (us)</t>
        </is>
      </c>
      <c r="C378" t="inlineStr">
        <is>
          <t>Roofline Time (us)</t>
        </is>
      </c>
      <c r="D378" t="inlineStr">
        <is>
          <t>Actual/Roofline</t>
        </is>
      </c>
      <c r="E378" t="inlineStr">
        <is>
          <t>Actual busBW (GB/s)</t>
        </is>
      </c>
      <c r="F378" t="inlineStr">
        <is>
          <t>Roofline busBW (GB/s)</t>
        </is>
      </c>
      <c r="G378" t="inlineStr">
        <is>
          <t>Meas/Roof busBW</t>
        </is>
      </c>
    </row>
    <row r="379">
      <c r="A379" t="n">
        <v>1</v>
      </c>
      <c r="B379" t="n">
        <v>235.94</v>
      </c>
      <c r="C379">
        <f>C376*CEILING(A379*1024/(C367*C372*C366),1)+A379*1024*C374</f>
        <v/>
      </c>
      <c r="D379">
        <f>B379/C379</f>
        <v/>
      </c>
      <c r="E379" t="n">
        <v>0.01</v>
      </c>
      <c r="F379">
        <f>A379*1024/(C379*0.000001)/1000000000*C375</f>
        <v/>
      </c>
      <c r="G379">
        <f>E379/F379</f>
        <v/>
      </c>
    </row>
    <row r="380">
      <c r="A380" t="n">
        <v>2</v>
      </c>
      <c r="B380" t="n">
        <v>236.38</v>
      </c>
      <c r="C380">
        <f>C376*CEILING(A380*1024/(C367*C372*C366),1)+A380*1024*C374</f>
        <v/>
      </c>
      <c r="D380">
        <f>B380/C380</f>
        <v/>
      </c>
      <c r="E380" t="n">
        <v>0.02</v>
      </c>
      <c r="F380">
        <f>A380*1024/(C380*0.000001)/1000000000*C375</f>
        <v/>
      </c>
      <c r="G380">
        <f>E380/F380</f>
        <v/>
      </c>
    </row>
    <row r="381">
      <c r="A381" t="n">
        <v>4</v>
      </c>
      <c r="B381" t="n">
        <v>237.7</v>
      </c>
      <c r="C381">
        <f>C376*CEILING(A381*1024/(C367*C372*C366),1)+A381*1024*C374</f>
        <v/>
      </c>
      <c r="D381">
        <f>B381/C381</f>
        <v/>
      </c>
      <c r="E381" t="n">
        <v>0.03</v>
      </c>
      <c r="F381">
        <f>A381*1024/(C381*0.000001)/1000000000*C375</f>
        <v/>
      </c>
      <c r="G381">
        <f>E381/F381</f>
        <v/>
      </c>
    </row>
    <row r="382">
      <c r="A382" t="n">
        <v>8</v>
      </c>
      <c r="B382" t="n">
        <v>237.9</v>
      </c>
      <c r="C382">
        <f>C376*CEILING(A382*1024/(C367*C372*C366),1)+A382*1024*C374</f>
        <v/>
      </c>
      <c r="D382">
        <f>B382/C382</f>
        <v/>
      </c>
      <c r="E382" t="n">
        <v>0.07000000000000001</v>
      </c>
      <c r="F382">
        <f>A382*1024/(C382*0.000001)/1000000000*C375</f>
        <v/>
      </c>
      <c r="G382">
        <f>E382/F382</f>
        <v/>
      </c>
    </row>
    <row r="383">
      <c r="A383" t="n">
        <v>16</v>
      </c>
      <c r="B383" t="n">
        <v>239.07</v>
      </c>
      <c r="C383">
        <f>C376*CEILING(A383*1024/(C367*C372*C366),1)+A383*1024*C374</f>
        <v/>
      </c>
      <c r="D383">
        <f>B383/C383</f>
        <v/>
      </c>
      <c r="E383" t="n">
        <v>0.13</v>
      </c>
      <c r="F383">
        <f>A383*1024/(C383*0.000001)/1000000000*C375</f>
        <v/>
      </c>
      <c r="G383">
        <f>E383/F383</f>
        <v/>
      </c>
    </row>
    <row r="384">
      <c r="A384" t="n">
        <v>32</v>
      </c>
      <c r="B384" t="n">
        <v>241.41</v>
      </c>
      <c r="C384">
        <f>C376*CEILING(A384*1024/(C367*C372*C366),1)+A384*1024*C374</f>
        <v/>
      </c>
      <c r="D384">
        <f>B384/C384</f>
        <v/>
      </c>
      <c r="E384" t="n">
        <v>0.26</v>
      </c>
      <c r="F384">
        <f>A384*1024/(C384*0.000001)/1000000000*C375</f>
        <v/>
      </c>
      <c r="G384">
        <f>E384/F384</f>
        <v/>
      </c>
    </row>
    <row r="385">
      <c r="A385" t="n">
        <v>64</v>
      </c>
      <c r="B385" t="n">
        <v>249.8</v>
      </c>
      <c r="C385">
        <f>C376*CEILING(A385*1024/(C367*C372*C366),1)+A385*1024*C374</f>
        <v/>
      </c>
      <c r="D385">
        <f>B385/C385</f>
        <v/>
      </c>
      <c r="E385" t="n">
        <v>0.51</v>
      </c>
      <c r="F385">
        <f>A385*1024/(C385*0.000001)/1000000000*C375</f>
        <v/>
      </c>
      <c r="G385">
        <f>E385/F385</f>
        <v/>
      </c>
    </row>
    <row r="386">
      <c r="A386" t="n">
        <v>128</v>
      </c>
      <c r="B386" t="n">
        <v>267.43</v>
      </c>
      <c r="C386">
        <f>C376*CEILING(A386*1024/(C367*C372*C366),1)+A386*1024*C374</f>
        <v/>
      </c>
      <c r="D386">
        <f>B386/C386</f>
        <v/>
      </c>
      <c r="E386" t="n">
        <v>0.95</v>
      </c>
      <c r="F386">
        <f>A386*1024/(C386*0.000001)/1000000000*C375</f>
        <v/>
      </c>
      <c r="G386">
        <f>E386/F386</f>
        <v/>
      </c>
    </row>
    <row r="387">
      <c r="A387" t="n">
        <v>256</v>
      </c>
      <c r="B387" t="n">
        <v>282.74</v>
      </c>
      <c r="C387">
        <f>C376*CEILING(A387*1024/(C367*C372*C366),1)+A387*1024*C374</f>
        <v/>
      </c>
      <c r="D387">
        <f>B387/C387</f>
        <v/>
      </c>
      <c r="E387" t="n">
        <v>1.8</v>
      </c>
      <c r="F387">
        <f>A387*1024/(C387*0.000001)/1000000000*C375</f>
        <v/>
      </c>
      <c r="G387">
        <f>E387/F387</f>
        <v/>
      </c>
    </row>
    <row r="388">
      <c r="A388" t="n">
        <v>512</v>
      </c>
      <c r="B388" t="n">
        <v>283.22</v>
      </c>
      <c r="C388">
        <f>C376*CEILING(A388*1024/(C367*C372*C366),1)+A388*1024*C374</f>
        <v/>
      </c>
      <c r="D388">
        <f>B388/C388</f>
        <v/>
      </c>
      <c r="E388" t="n">
        <v>3.59</v>
      </c>
      <c r="F388">
        <f>A388*1024/(C388*0.000001)/1000000000*C375</f>
        <v/>
      </c>
      <c r="G388">
        <f>E388/F388</f>
        <v/>
      </c>
    </row>
    <row r="389">
      <c r="A389" t="n">
        <v>1024</v>
      </c>
      <c r="B389" t="n">
        <v>284.92</v>
      </c>
      <c r="C389">
        <f>C376*CEILING(A389*1024/(C367*C372*C366),1)+A389*1024*C374</f>
        <v/>
      </c>
      <c r="D389">
        <f>B389/C389</f>
        <v/>
      </c>
      <c r="E389" t="n">
        <v>7.13</v>
      </c>
      <c r="F389">
        <f>A389*1024/(C389*0.000001)/1000000000*C375</f>
        <v/>
      </c>
      <c r="G389">
        <f>E389/F389</f>
        <v/>
      </c>
    </row>
    <row r="390">
      <c r="A390" t="n">
        <v>2048</v>
      </c>
      <c r="B390" t="n">
        <v>386.99</v>
      </c>
      <c r="C390">
        <f>C376*CEILING(A390*1024/(C367*C372*C366),1)+A390*1024*C374</f>
        <v/>
      </c>
      <c r="D390">
        <f>B390/C390</f>
        <v/>
      </c>
      <c r="E390" t="n">
        <v>10.5</v>
      </c>
      <c r="F390">
        <f>A390*1024/(C390*0.000001)/1000000000*C375</f>
        <v/>
      </c>
      <c r="G390">
        <f>E390/F390</f>
        <v/>
      </c>
    </row>
    <row r="391">
      <c r="A391" t="n">
        <v>4096</v>
      </c>
      <c r="B391" t="n">
        <v>494.12</v>
      </c>
      <c r="C391">
        <f>C376*CEILING(A391*1024/(C367*C372*C366),1)+A391*1024*C374</f>
        <v/>
      </c>
      <c r="D391">
        <f>B391/C391</f>
        <v/>
      </c>
      <c r="E391" t="n">
        <v>16.45</v>
      </c>
      <c r="F391">
        <f>A391*1024/(C391*0.000001)/1000000000*C375</f>
        <v/>
      </c>
      <c r="G391">
        <f>E391/F391</f>
        <v/>
      </c>
    </row>
    <row r="392">
      <c r="A392" t="n">
        <v>8192</v>
      </c>
      <c r="B392" t="n">
        <v>658.87</v>
      </c>
      <c r="C392">
        <f>C376*CEILING(A392*1024/(C367*C372*C366),1)+A392*1024*C374</f>
        <v/>
      </c>
      <c r="D392">
        <f>B392/C392</f>
        <v/>
      </c>
      <c r="E392" t="n">
        <v>24.67</v>
      </c>
      <c r="F392">
        <f>A392*1024/(C392*0.000001)/1000000000*C375</f>
        <v/>
      </c>
      <c r="G392">
        <f>E392/F392</f>
        <v/>
      </c>
    </row>
    <row r="393">
      <c r="A393" t="n">
        <v>16384</v>
      </c>
      <c r="B393" t="n">
        <v>1010.85</v>
      </c>
      <c r="C393">
        <f>C376*CEILING(A393*1024/(C367*C372*C366),1)+A393*1024*C374</f>
        <v/>
      </c>
      <c r="D393">
        <f>B393/C393</f>
        <v/>
      </c>
      <c r="E393" t="n">
        <v>32.16</v>
      </c>
      <c r="F393">
        <f>A393*1024/(C393*0.000001)/1000000000*C375</f>
        <v/>
      </c>
      <c r="G393">
        <f>E393/F393</f>
        <v/>
      </c>
    </row>
    <row r="394">
      <c r="A394" t="n">
        <v>32768</v>
      </c>
      <c r="B394" t="n">
        <v>2008.03</v>
      </c>
      <c r="C394">
        <f>C376*CEILING(A394*1024/(C367*C372*C366),1)+A394*1024*C374</f>
        <v/>
      </c>
      <c r="D394">
        <f>B394/C394</f>
        <v/>
      </c>
      <c r="E394" t="n">
        <v>32.38</v>
      </c>
      <c r="F394">
        <f>A394*1024/(C394*0.000001)/1000000000*C375</f>
        <v/>
      </c>
      <c r="G394">
        <f>E394/F394</f>
        <v/>
      </c>
    </row>
    <row r="395">
      <c r="A395" t="n">
        <v>65536</v>
      </c>
      <c r="B395" t="n">
        <v>4029.69</v>
      </c>
      <c r="C395">
        <f>C376*CEILING(A395*1024/(C367*C372*C366),1)+A395*1024*C374</f>
        <v/>
      </c>
      <c r="D395">
        <f>B395/C395</f>
        <v/>
      </c>
      <c r="E395" t="n">
        <v>32.27</v>
      </c>
      <c r="F395">
        <f>A395*1024/(C395*0.000001)/1000000000*C375</f>
        <v/>
      </c>
      <c r="G395">
        <f>E395/F395</f>
        <v/>
      </c>
    </row>
    <row r="396">
      <c r="A396" t="n">
        <v>131072</v>
      </c>
      <c r="B396" t="n">
        <v>7972.16</v>
      </c>
      <c r="C396">
        <f>C376*CEILING(A396*1024/(C367*C372*C366),1)+A396*1024*C374</f>
        <v/>
      </c>
      <c r="D396">
        <f>B396/C396</f>
        <v/>
      </c>
      <c r="E396" t="n">
        <v>32.62</v>
      </c>
      <c r="F396">
        <f>A396*1024/(C396*0.000001)/1000000000*C375</f>
        <v/>
      </c>
      <c r="G396">
        <f>E396/F396</f>
        <v/>
      </c>
    </row>
    <row r="397">
      <c r="A397" t="n">
        <v>262144</v>
      </c>
      <c r="B397" t="n">
        <v>15873.6</v>
      </c>
      <c r="C397">
        <f>C376*CEILING(A397*1024/(C367*C372*C366),1)+A397*1024*C374</f>
        <v/>
      </c>
      <c r="D397">
        <f>B397/C397</f>
        <v/>
      </c>
      <c r="E397" t="n">
        <v>32.76</v>
      </c>
      <c r="F397">
        <f>A397*1024/(C397*0.000001)/1000000000*C375</f>
        <v/>
      </c>
      <c r="G397">
        <f>E397/F397</f>
        <v/>
      </c>
    </row>
    <row r="398">
      <c r="A398" t="n">
        <v>524288</v>
      </c>
      <c r="B398" t="n">
        <v>31489.5</v>
      </c>
      <c r="C398">
        <f>C376*CEILING(A398*1024/(C367*C372*C366),1)+A398*1024*C374</f>
        <v/>
      </c>
      <c r="D398">
        <f>B398/C398</f>
        <v/>
      </c>
      <c r="E398" t="n">
        <v>33.03</v>
      </c>
      <c r="F398">
        <f>A398*1024/(C398*0.000001)/1000000000*C375</f>
        <v/>
      </c>
      <c r="G398">
        <f>E398/F398</f>
        <v/>
      </c>
    </row>
    <row r="399">
      <c r="A399" t="n">
        <v>1048576</v>
      </c>
      <c r="B399" t="n">
        <v>62860.2</v>
      </c>
      <c r="C399">
        <f>C376*CEILING(A399*1024/(C367*C372*C366),1)+A399*1024*C374</f>
        <v/>
      </c>
      <c r="D399">
        <f>B399/C399</f>
        <v/>
      </c>
      <c r="E399" t="n">
        <v>33.1</v>
      </c>
      <c r="F399">
        <f>A399*1024/(C399*0.000001)/1000000000*C375</f>
        <v/>
      </c>
      <c r="G399">
        <f>E399/F399</f>
        <v/>
      </c>
    </row>
    <row r="400"/>
    <row r="401">
      <c r="A401" t="inlineStr">
        <is>
          <t>Nodes: 4, Protocol: LL128, Channels: 1</t>
        </is>
      </c>
    </row>
    <row r="402">
      <c r="A402" t="inlineStr">
        <is>
          <t>Parameter</t>
        </is>
      </c>
      <c r="B402" t="inlineStr">
        <is>
          <t>Formula</t>
        </is>
      </c>
      <c r="C402" t="inlineStr">
        <is>
          <t>Value</t>
        </is>
      </c>
    </row>
    <row r="403">
      <c r="A403" t="inlineStr">
        <is>
          <t>N</t>
        </is>
      </c>
      <c r="B403" t="inlineStr">
        <is>
          <t>nodes</t>
        </is>
      </c>
      <c r="C403" t="n">
        <v>4</v>
      </c>
    </row>
    <row r="404">
      <c r="A404" t="inlineStr">
        <is>
          <t>n</t>
        </is>
      </c>
      <c r="B404" t="inlineStr">
        <is>
          <t>GPUs/node</t>
        </is>
      </c>
      <c r="C404" t="n">
        <v>8</v>
      </c>
    </row>
    <row r="405">
      <c r="A405" t="inlineStr">
        <is>
          <t>n_total</t>
        </is>
      </c>
      <c r="B405" t="inlineStr">
        <is>
          <t>N*n</t>
        </is>
      </c>
      <c r="C405" t="n">
        <v>32</v>
      </c>
    </row>
    <row r="406">
      <c r="A406" t="inlineStr">
        <is>
          <t>nch_raw</t>
        </is>
      </c>
      <c r="B406" t="inlineStr">
        <is>
          <t>raw channels</t>
        </is>
      </c>
      <c r="C406" t="n">
        <v>1</v>
      </c>
    </row>
    <row r="407">
      <c r="A407" t="inlineStr">
        <is>
          <t>nch</t>
        </is>
      </c>
      <c r="B407" t="inlineStr">
        <is>
          <t>min(nch_raw,8)</t>
        </is>
      </c>
      <c r="C407" t="n">
        <v>1</v>
      </c>
    </row>
    <row r="408">
      <c r="A408" t="inlineStr">
        <is>
          <t>a</t>
        </is>
      </c>
      <c r="B408" t="inlineStr">
        <is>
          <t>RTT (us)</t>
        </is>
      </c>
      <c r="C408" t="n">
        <v>24.92</v>
      </c>
    </row>
    <row r="409">
      <c r="A409" t="inlineStr">
        <is>
          <t>NIC_BW</t>
        </is>
      </c>
      <c r="B409" t="inlineStr">
        <is>
          <t>bytes/us</t>
        </is>
      </c>
      <c r="C409" t="n">
        <v>48750</v>
      </c>
    </row>
    <row r="410">
      <c r="A410" t="inlineStr">
        <is>
          <t>intra_node_latency</t>
        </is>
      </c>
      <c r="B410" t="inlineStr">
        <is>
          <t>us</t>
        </is>
      </c>
      <c r="C410" t="n">
        <v>8.4</v>
      </c>
    </row>
    <row r="411">
      <c r="A411" t="inlineStr">
        <is>
          <t>chunk_size</t>
        </is>
      </c>
      <c r="B411" t="inlineStr">
        <is>
          <t>bytes</t>
        </is>
      </c>
      <c r="C411" t="n">
        <v>576000</v>
      </c>
    </row>
    <row r="412">
      <c r="A412" t="inlineStr">
        <is>
          <t>G_agg</t>
        </is>
      </c>
      <c r="B412" t="inlineStr">
        <is>
          <t>nch*NIC_BW</t>
        </is>
      </c>
      <c r="C412">
        <f>C407*C409</f>
        <v/>
      </c>
    </row>
    <row r="413">
      <c r="A413" t="inlineStr">
        <is>
          <t>G</t>
        </is>
      </c>
      <c r="B413" t="inlineStr">
        <is>
          <t>(16/15)*2*(n_total-1)/(n_total*G_agg)</t>
        </is>
      </c>
      <c r="C413">
        <f>(16/15)*2*(C405-1)/(C405*C412)</f>
        <v/>
      </c>
    </row>
    <row r="414">
      <c r="A414" t="inlineStr">
        <is>
          <t>busbw_factor</t>
        </is>
      </c>
      <c r="B414" t="inlineStr">
        <is>
          <t>2*(n_total-1)/n_total</t>
        </is>
      </c>
      <c r="C414">
        <f>2*(C405-1)/C405</f>
        <v/>
      </c>
    </row>
    <row r="415">
      <c r="A415" t="inlineStr">
        <is>
          <t>fixed_per_step</t>
        </is>
      </c>
      <c r="B415" t="inlineStr">
        <is>
          <t>(2*N-1)*(a/2+intra)</t>
        </is>
      </c>
      <c r="C415">
        <f>(2*C403-1)*(C408/2+C410)</f>
        <v/>
      </c>
    </row>
    <row r="416"/>
    <row r="417">
      <c r="A417" t="inlineStr">
        <is>
          <t>size_KB</t>
        </is>
      </c>
      <c r="B417" t="inlineStr">
        <is>
          <t>Actual Time (us)</t>
        </is>
      </c>
      <c r="C417" t="inlineStr">
        <is>
          <t>Roofline Time (us)</t>
        </is>
      </c>
      <c r="D417" t="inlineStr">
        <is>
          <t>Actual/Roofline</t>
        </is>
      </c>
      <c r="E417" t="inlineStr">
        <is>
          <t>Actual busBW (GB/s)</t>
        </is>
      </c>
      <c r="F417" t="inlineStr">
        <is>
          <t>Roofline busBW (GB/s)</t>
        </is>
      </c>
      <c r="G417" t="inlineStr">
        <is>
          <t>Meas/Roof busBW</t>
        </is>
      </c>
    </row>
    <row r="418">
      <c r="A418" t="n">
        <v>1</v>
      </c>
      <c r="B418" t="n">
        <v>263.3</v>
      </c>
      <c r="C418">
        <f>C415*CEILING(A418*1024/(C406*C411*C405),1)+A418*1024*C413</f>
        <v/>
      </c>
      <c r="D418">
        <f>B418/C418</f>
        <v/>
      </c>
      <c r="E418" t="n">
        <v>0.01</v>
      </c>
      <c r="F418">
        <f>A418*1024/(C418*0.000001)/1000000000*C414</f>
        <v/>
      </c>
      <c r="G418">
        <f>E418/F418</f>
        <v/>
      </c>
    </row>
    <row r="419">
      <c r="A419" t="n">
        <v>2</v>
      </c>
      <c r="B419" t="n">
        <v>263.44</v>
      </c>
      <c r="C419">
        <f>C415*CEILING(A419*1024/(C406*C411*C405),1)+A419*1024*C413</f>
        <v/>
      </c>
      <c r="D419">
        <f>B419/C419</f>
        <v/>
      </c>
      <c r="E419" t="n">
        <v>0.02</v>
      </c>
      <c r="F419">
        <f>A419*1024/(C419*0.000001)/1000000000*C414</f>
        <v/>
      </c>
      <c r="G419">
        <f>E419/F419</f>
        <v/>
      </c>
    </row>
    <row r="420">
      <c r="A420" t="n">
        <v>4</v>
      </c>
      <c r="B420" t="n">
        <v>263.13</v>
      </c>
      <c r="C420">
        <f>C415*CEILING(A420*1024/(C406*C411*C405),1)+A420*1024*C413</f>
        <v/>
      </c>
      <c r="D420">
        <f>B420/C420</f>
        <v/>
      </c>
      <c r="E420" t="n">
        <v>0.03</v>
      </c>
      <c r="F420">
        <f>A420*1024/(C420*0.000001)/1000000000*C414</f>
        <v/>
      </c>
      <c r="G420">
        <f>E420/F420</f>
        <v/>
      </c>
    </row>
    <row r="421">
      <c r="A421" t="n">
        <v>8</v>
      </c>
      <c r="B421" t="n">
        <v>263.71</v>
      </c>
      <c r="C421">
        <f>C415*CEILING(A421*1024/(C406*C411*C405),1)+A421*1024*C413</f>
        <v/>
      </c>
      <c r="D421">
        <f>B421/C421</f>
        <v/>
      </c>
      <c r="E421" t="n">
        <v>0.06</v>
      </c>
      <c r="F421">
        <f>A421*1024/(C421*0.000001)/1000000000*C414</f>
        <v/>
      </c>
      <c r="G421">
        <f>E421/F421</f>
        <v/>
      </c>
    </row>
    <row r="422">
      <c r="A422" t="n">
        <v>16</v>
      </c>
      <c r="B422" t="n">
        <v>263.89</v>
      </c>
      <c r="C422">
        <f>C415*CEILING(A422*1024/(C406*C411*C405),1)+A422*1024*C413</f>
        <v/>
      </c>
      <c r="D422">
        <f>B422/C422</f>
        <v/>
      </c>
      <c r="E422" t="n">
        <v>0.12</v>
      </c>
      <c r="F422">
        <f>A422*1024/(C422*0.000001)/1000000000*C414</f>
        <v/>
      </c>
      <c r="G422">
        <f>E422/F422</f>
        <v/>
      </c>
    </row>
    <row r="423">
      <c r="A423" t="n">
        <v>32</v>
      </c>
      <c r="B423" t="n">
        <v>265.8</v>
      </c>
      <c r="C423">
        <f>C415*CEILING(A423*1024/(C406*C411*C405),1)+A423*1024*C413</f>
        <v/>
      </c>
      <c r="D423">
        <f>B423/C423</f>
        <v/>
      </c>
      <c r="E423" t="n">
        <v>0.24</v>
      </c>
      <c r="F423">
        <f>A423*1024/(C423*0.000001)/1000000000*C414</f>
        <v/>
      </c>
      <c r="G423">
        <f>E423/F423</f>
        <v/>
      </c>
    </row>
    <row r="424">
      <c r="A424" t="n">
        <v>64</v>
      </c>
      <c r="B424" t="n">
        <v>269.46</v>
      </c>
      <c r="C424">
        <f>C415*CEILING(A424*1024/(C406*C411*C405),1)+A424*1024*C413</f>
        <v/>
      </c>
      <c r="D424">
        <f>B424/C424</f>
        <v/>
      </c>
      <c r="E424" t="n">
        <v>0.47</v>
      </c>
      <c r="F424">
        <f>A424*1024/(C424*0.000001)/1000000000*C414</f>
        <v/>
      </c>
      <c r="G424">
        <f>E424/F424</f>
        <v/>
      </c>
    </row>
    <row r="425">
      <c r="A425" t="n">
        <v>128</v>
      </c>
      <c r="B425" t="n">
        <v>277.28</v>
      </c>
      <c r="C425">
        <f>C415*CEILING(A425*1024/(C406*C411*C405),1)+A425*1024*C413</f>
        <v/>
      </c>
      <c r="D425">
        <f>B425/C425</f>
        <v/>
      </c>
      <c r="E425" t="n">
        <v>0.92</v>
      </c>
      <c r="F425">
        <f>A425*1024/(C425*0.000001)/1000000000*C414</f>
        <v/>
      </c>
      <c r="G425">
        <f>E425/F425</f>
        <v/>
      </c>
    </row>
    <row r="426">
      <c r="A426" t="n">
        <v>256</v>
      </c>
      <c r="B426" t="n">
        <v>297.2</v>
      </c>
      <c r="C426">
        <f>C415*CEILING(A426*1024/(C406*C411*C405),1)+A426*1024*C413</f>
        <v/>
      </c>
      <c r="D426">
        <f>B426/C426</f>
        <v/>
      </c>
      <c r="E426" t="n">
        <v>1.71</v>
      </c>
      <c r="F426">
        <f>A426*1024/(C426*0.000001)/1000000000*C414</f>
        <v/>
      </c>
      <c r="G426">
        <f>E426/F426</f>
        <v/>
      </c>
    </row>
    <row r="427">
      <c r="A427" t="n">
        <v>512</v>
      </c>
      <c r="B427" t="n">
        <v>315.34</v>
      </c>
      <c r="C427">
        <f>C415*CEILING(A427*1024/(C406*C411*C405),1)+A427*1024*C413</f>
        <v/>
      </c>
      <c r="D427">
        <f>B427/C427</f>
        <v/>
      </c>
      <c r="E427" t="n">
        <v>3.22</v>
      </c>
      <c r="F427">
        <f>A427*1024/(C427*0.000001)/1000000000*C414</f>
        <v/>
      </c>
      <c r="G427">
        <f>E427/F427</f>
        <v/>
      </c>
    </row>
    <row r="428">
      <c r="A428" t="n">
        <v>1024</v>
      </c>
      <c r="B428" t="n">
        <v>357.58</v>
      </c>
      <c r="C428">
        <f>C415*CEILING(A428*1024/(C406*C411*C405),1)+A428*1024*C413</f>
        <v/>
      </c>
      <c r="D428">
        <f>B428/C428</f>
        <v/>
      </c>
      <c r="E428" t="n">
        <v>5.68</v>
      </c>
      <c r="F428">
        <f>A428*1024/(C428*0.000001)/1000000000*C414</f>
        <v/>
      </c>
      <c r="G428">
        <f>E428/F428</f>
        <v/>
      </c>
    </row>
    <row r="429">
      <c r="A429" t="n">
        <v>2048</v>
      </c>
      <c r="B429" t="n">
        <v>409.32</v>
      </c>
      <c r="C429">
        <f>C415*CEILING(A429*1024/(C406*C411*C405),1)+A429*1024*C413</f>
        <v/>
      </c>
      <c r="D429">
        <f>B429/C429</f>
        <v/>
      </c>
      <c r="E429" t="n">
        <v>9.93</v>
      </c>
      <c r="F429">
        <f>A429*1024/(C429*0.000001)/1000000000*C414</f>
        <v/>
      </c>
      <c r="G429">
        <f>E429/F429</f>
        <v/>
      </c>
    </row>
    <row r="430">
      <c r="A430" t="n">
        <v>4096</v>
      </c>
      <c r="B430" t="n">
        <v>581.64</v>
      </c>
      <c r="C430">
        <f>C415*CEILING(A430*1024/(C406*C411*C405),1)+A430*1024*C413</f>
        <v/>
      </c>
      <c r="D430">
        <f>B430/C430</f>
        <v/>
      </c>
      <c r="E430" t="n">
        <v>13.97</v>
      </c>
      <c r="F430">
        <f>A430*1024/(C430*0.000001)/1000000000*C414</f>
        <v/>
      </c>
      <c r="G430">
        <f>E430/F430</f>
        <v/>
      </c>
    </row>
    <row r="431">
      <c r="A431" t="n">
        <v>8192</v>
      </c>
      <c r="B431" t="n">
        <v>913.52</v>
      </c>
      <c r="C431">
        <f>C415*CEILING(A431*1024/(C406*C411*C405),1)+A431*1024*C413</f>
        <v/>
      </c>
      <c r="D431">
        <f>B431/C431</f>
        <v/>
      </c>
      <c r="E431" t="n">
        <v>17.79</v>
      </c>
      <c r="F431">
        <f>A431*1024/(C431*0.000001)/1000000000*C414</f>
        <v/>
      </c>
      <c r="G431">
        <f>E431/F431</f>
        <v/>
      </c>
    </row>
    <row r="432">
      <c r="A432" t="n">
        <v>16384</v>
      </c>
      <c r="B432" t="n">
        <v>1608.7</v>
      </c>
      <c r="C432">
        <f>C415*CEILING(A432*1024/(C406*C411*C405),1)+A432*1024*C413</f>
        <v/>
      </c>
      <c r="D432">
        <f>B432/C432</f>
        <v/>
      </c>
      <c r="E432" t="n">
        <v>20.21</v>
      </c>
      <c r="F432">
        <f>A432*1024/(C432*0.000001)/1000000000*C414</f>
        <v/>
      </c>
      <c r="G432">
        <f>E432/F432</f>
        <v/>
      </c>
    </row>
    <row r="433">
      <c r="A433" t="n">
        <v>32768</v>
      </c>
      <c r="B433" t="n">
        <v>3195.68</v>
      </c>
      <c r="C433">
        <f>C415*CEILING(A433*1024/(C406*C411*C405),1)+A433*1024*C413</f>
        <v/>
      </c>
      <c r="D433">
        <f>B433/C433</f>
        <v/>
      </c>
      <c r="E433" t="n">
        <v>20.34</v>
      </c>
      <c r="F433">
        <f>A433*1024/(C433*0.000001)/1000000000*C414</f>
        <v/>
      </c>
      <c r="G433">
        <f>E433/F433</f>
        <v/>
      </c>
    </row>
    <row r="434">
      <c r="A434" t="n">
        <v>65536</v>
      </c>
      <c r="B434" t="n">
        <v>6355.65</v>
      </c>
      <c r="C434">
        <f>C415*CEILING(A434*1024/(C406*C411*C405),1)+A434*1024*C413</f>
        <v/>
      </c>
      <c r="D434">
        <f>B434/C434</f>
        <v/>
      </c>
      <c r="E434" t="n">
        <v>20.46</v>
      </c>
      <c r="F434">
        <f>A434*1024/(C434*0.000001)/1000000000*C414</f>
        <v/>
      </c>
      <c r="G434">
        <f>E434/F434</f>
        <v/>
      </c>
    </row>
    <row r="435">
      <c r="A435" t="n">
        <v>131072</v>
      </c>
      <c r="B435" t="n">
        <v>12682.7</v>
      </c>
      <c r="C435">
        <f>C415*CEILING(A435*1024/(C406*C411*C405),1)+A435*1024*C413</f>
        <v/>
      </c>
      <c r="D435">
        <f>B435/C435</f>
        <v/>
      </c>
      <c r="E435" t="n">
        <v>20.5</v>
      </c>
      <c r="F435">
        <f>A435*1024/(C435*0.000001)/1000000000*C414</f>
        <v/>
      </c>
      <c r="G435">
        <f>E435/F435</f>
        <v/>
      </c>
    </row>
    <row r="436">
      <c r="A436" t="n">
        <v>262144</v>
      </c>
      <c r="B436" t="n">
        <v>25280.4</v>
      </c>
      <c r="C436">
        <f>C415*CEILING(A436*1024/(C406*C411*C405),1)+A436*1024*C413</f>
        <v/>
      </c>
      <c r="D436">
        <f>B436/C436</f>
        <v/>
      </c>
      <c r="E436" t="n">
        <v>20.57</v>
      </c>
      <c r="F436">
        <f>A436*1024/(C436*0.000001)/1000000000*C414</f>
        <v/>
      </c>
      <c r="G436">
        <f>E436/F436</f>
        <v/>
      </c>
    </row>
    <row r="437">
      <c r="A437" t="n">
        <v>524288</v>
      </c>
      <c r="B437" t="n">
        <v>50213.4</v>
      </c>
      <c r="C437">
        <f>C415*CEILING(A437*1024/(C406*C411*C405),1)+A437*1024*C413</f>
        <v/>
      </c>
      <c r="D437">
        <f>B437/C437</f>
        <v/>
      </c>
      <c r="E437" t="n">
        <v>20.72</v>
      </c>
      <c r="F437">
        <f>A437*1024/(C437*0.000001)/1000000000*C414</f>
        <v/>
      </c>
      <c r="G437">
        <f>E437/F437</f>
        <v/>
      </c>
    </row>
    <row r="438">
      <c r="A438" t="n">
        <v>1048576</v>
      </c>
      <c r="B438" t="n">
        <v>100237</v>
      </c>
      <c r="C438">
        <f>C415*CEILING(A438*1024/(C406*C411*C405),1)+A438*1024*C413</f>
        <v/>
      </c>
      <c r="D438">
        <f>B438/C438</f>
        <v/>
      </c>
      <c r="E438" t="n">
        <v>20.75</v>
      </c>
      <c r="F438">
        <f>A438*1024/(C438*0.000001)/1000000000*C414</f>
        <v/>
      </c>
      <c r="G438">
        <f>E438/F438</f>
        <v/>
      </c>
    </row>
    <row r="439"/>
    <row r="440">
      <c r="A440" t="inlineStr">
        <is>
          <t>Nodes: 4, Protocol: LL128, Channels: 2</t>
        </is>
      </c>
    </row>
    <row r="441">
      <c r="A441" t="inlineStr">
        <is>
          <t>Parameter</t>
        </is>
      </c>
      <c r="B441" t="inlineStr">
        <is>
          <t>Formula</t>
        </is>
      </c>
      <c r="C441" t="inlineStr">
        <is>
          <t>Value</t>
        </is>
      </c>
    </row>
    <row r="442">
      <c r="A442" t="inlineStr">
        <is>
          <t>N</t>
        </is>
      </c>
      <c r="B442" t="inlineStr">
        <is>
          <t>nodes</t>
        </is>
      </c>
      <c r="C442" t="n">
        <v>4</v>
      </c>
    </row>
    <row r="443">
      <c r="A443" t="inlineStr">
        <is>
          <t>n</t>
        </is>
      </c>
      <c r="B443" t="inlineStr">
        <is>
          <t>GPUs/node</t>
        </is>
      </c>
      <c r="C443" t="n">
        <v>8</v>
      </c>
    </row>
    <row r="444">
      <c r="A444" t="inlineStr">
        <is>
          <t>n_total</t>
        </is>
      </c>
      <c r="B444" t="inlineStr">
        <is>
          <t>N*n</t>
        </is>
      </c>
      <c r="C444" t="n">
        <v>32</v>
      </c>
    </row>
    <row r="445">
      <c r="A445" t="inlineStr">
        <is>
          <t>nch_raw</t>
        </is>
      </c>
      <c r="B445" t="inlineStr">
        <is>
          <t>raw channels</t>
        </is>
      </c>
      <c r="C445" t="n">
        <v>2</v>
      </c>
    </row>
    <row r="446">
      <c r="A446" t="inlineStr">
        <is>
          <t>nch</t>
        </is>
      </c>
      <c r="B446" t="inlineStr">
        <is>
          <t>min(nch_raw,8)</t>
        </is>
      </c>
      <c r="C446" t="n">
        <v>2</v>
      </c>
    </row>
    <row r="447">
      <c r="A447" t="inlineStr">
        <is>
          <t>a</t>
        </is>
      </c>
      <c r="B447" t="inlineStr">
        <is>
          <t>RTT (us)</t>
        </is>
      </c>
      <c r="C447" t="n">
        <v>24.92</v>
      </c>
    </row>
    <row r="448">
      <c r="A448" t="inlineStr">
        <is>
          <t>NIC_BW</t>
        </is>
      </c>
      <c r="B448" t="inlineStr">
        <is>
          <t>bytes/us</t>
        </is>
      </c>
      <c r="C448" t="n">
        <v>48750</v>
      </c>
    </row>
    <row r="449">
      <c r="A449" t="inlineStr">
        <is>
          <t>intra_node_latency</t>
        </is>
      </c>
      <c r="B449" t="inlineStr">
        <is>
          <t>us</t>
        </is>
      </c>
      <c r="C449" t="n">
        <v>8.4</v>
      </c>
    </row>
    <row r="450">
      <c r="A450" t="inlineStr">
        <is>
          <t>chunk_size</t>
        </is>
      </c>
      <c r="B450" t="inlineStr">
        <is>
          <t>bytes</t>
        </is>
      </c>
      <c r="C450" t="n">
        <v>576000</v>
      </c>
    </row>
    <row r="451">
      <c r="A451" t="inlineStr">
        <is>
          <t>G_agg</t>
        </is>
      </c>
      <c r="B451" t="inlineStr">
        <is>
          <t>nch*NIC_BW</t>
        </is>
      </c>
      <c r="C451">
        <f>C446*C448</f>
        <v/>
      </c>
    </row>
    <row r="452">
      <c r="A452" t="inlineStr">
        <is>
          <t>G</t>
        </is>
      </c>
      <c r="B452" t="inlineStr">
        <is>
          <t>(16/15)*2*(n_total-1)/(n_total*G_agg)</t>
        </is>
      </c>
      <c r="C452">
        <f>(16/15)*2*(C444-1)/(C444*C451)</f>
        <v/>
      </c>
    </row>
    <row r="453">
      <c r="A453" t="inlineStr">
        <is>
          <t>busbw_factor</t>
        </is>
      </c>
      <c r="B453" t="inlineStr">
        <is>
          <t>2*(n_total-1)/n_total</t>
        </is>
      </c>
      <c r="C453">
        <f>2*(C444-1)/C444</f>
        <v/>
      </c>
    </row>
    <row r="454">
      <c r="A454" t="inlineStr">
        <is>
          <t>fixed_per_step</t>
        </is>
      </c>
      <c r="B454" t="inlineStr">
        <is>
          <t>(2*N-1)*(a/2+intra)</t>
        </is>
      </c>
      <c r="C454">
        <f>(2*C442-1)*(C447/2+C449)</f>
        <v/>
      </c>
    </row>
    <row r="455"/>
    <row r="456">
      <c r="A456" t="inlineStr">
        <is>
          <t>size_KB</t>
        </is>
      </c>
      <c r="B456" t="inlineStr">
        <is>
          <t>Actual Time (us)</t>
        </is>
      </c>
      <c r="C456" t="inlineStr">
        <is>
          <t>Roofline Time (us)</t>
        </is>
      </c>
      <c r="D456" t="inlineStr">
        <is>
          <t>Actual/Roofline</t>
        </is>
      </c>
      <c r="E456" t="inlineStr">
        <is>
          <t>Actual busBW (GB/s)</t>
        </is>
      </c>
      <c r="F456" t="inlineStr">
        <is>
          <t>Roofline busBW (GB/s)</t>
        </is>
      </c>
      <c r="G456" t="inlineStr">
        <is>
          <t>Meas/Roof busBW</t>
        </is>
      </c>
    </row>
    <row r="457">
      <c r="A457" t="n">
        <v>1</v>
      </c>
      <c r="B457" t="n">
        <v>262.93</v>
      </c>
      <c r="C457">
        <f>C454*CEILING(A457*1024/(C445*C450*C444),1)+A457*1024*C452</f>
        <v/>
      </c>
      <c r="D457">
        <f>B457/C457</f>
        <v/>
      </c>
      <c r="E457" t="n">
        <v>0.01</v>
      </c>
      <c r="F457">
        <f>A457*1024/(C457*0.000001)/1000000000*C453</f>
        <v/>
      </c>
      <c r="G457">
        <f>E457/F457</f>
        <v/>
      </c>
    </row>
    <row r="458">
      <c r="A458" t="n">
        <v>2</v>
      </c>
      <c r="B458" t="n">
        <v>263.17</v>
      </c>
      <c r="C458">
        <f>C454*CEILING(A458*1024/(C445*C450*C444),1)+A458*1024*C452</f>
        <v/>
      </c>
      <c r="D458">
        <f>B458/C458</f>
        <v/>
      </c>
      <c r="E458" t="n">
        <v>0.02</v>
      </c>
      <c r="F458">
        <f>A458*1024/(C458*0.000001)/1000000000*C453</f>
        <v/>
      </c>
      <c r="G458">
        <f>E458/F458</f>
        <v/>
      </c>
    </row>
    <row r="459">
      <c r="A459" t="n">
        <v>4</v>
      </c>
      <c r="B459" t="n">
        <v>262.25</v>
      </c>
      <c r="C459">
        <f>C454*CEILING(A459*1024/(C445*C450*C444),1)+A459*1024*C452</f>
        <v/>
      </c>
      <c r="D459">
        <f>B459/C459</f>
        <v/>
      </c>
      <c r="E459" t="n">
        <v>0.03</v>
      </c>
      <c r="F459">
        <f>A459*1024/(C459*0.000001)/1000000000*C453</f>
        <v/>
      </c>
      <c r="G459">
        <f>E459/F459</f>
        <v/>
      </c>
    </row>
    <row r="460">
      <c r="A460" t="n">
        <v>8</v>
      </c>
      <c r="B460" t="n">
        <v>263.74</v>
      </c>
      <c r="C460">
        <f>C454*CEILING(A460*1024/(C445*C450*C444),1)+A460*1024*C452</f>
        <v/>
      </c>
      <c r="D460">
        <f>B460/C460</f>
        <v/>
      </c>
      <c r="E460" t="n">
        <v>0.06</v>
      </c>
      <c r="F460">
        <f>A460*1024/(C460*0.000001)/1000000000*C453</f>
        <v/>
      </c>
      <c r="G460">
        <f>E460/F460</f>
        <v/>
      </c>
    </row>
    <row r="461">
      <c r="A461" t="n">
        <v>16</v>
      </c>
      <c r="B461" t="n">
        <v>265.56</v>
      </c>
      <c r="C461">
        <f>C454*CEILING(A461*1024/(C445*C450*C444),1)+A461*1024*C452</f>
        <v/>
      </c>
      <c r="D461">
        <f>B461/C461</f>
        <v/>
      </c>
      <c r="E461" t="n">
        <v>0.12</v>
      </c>
      <c r="F461">
        <f>A461*1024/(C461*0.000001)/1000000000*C453</f>
        <v/>
      </c>
      <c r="G461">
        <f>E461/F461</f>
        <v/>
      </c>
    </row>
    <row r="462">
      <c r="A462" t="n">
        <v>32</v>
      </c>
      <c r="B462" t="n">
        <v>269.86</v>
      </c>
      <c r="C462">
        <f>C454*CEILING(A462*1024/(C445*C450*C444),1)+A462*1024*C452</f>
        <v/>
      </c>
      <c r="D462">
        <f>B462/C462</f>
        <v/>
      </c>
      <c r="E462" t="n">
        <v>0.24</v>
      </c>
      <c r="F462">
        <f>A462*1024/(C462*0.000001)/1000000000*C453</f>
        <v/>
      </c>
      <c r="G462">
        <f>E462/F462</f>
        <v/>
      </c>
    </row>
    <row r="463">
      <c r="A463" t="n">
        <v>64</v>
      </c>
      <c r="B463" t="n">
        <v>269.66</v>
      </c>
      <c r="C463">
        <f>C454*CEILING(A463*1024/(C445*C450*C444),1)+A463*1024*C452</f>
        <v/>
      </c>
      <c r="D463">
        <f>B463/C463</f>
        <v/>
      </c>
      <c r="E463" t="n">
        <v>0.47</v>
      </c>
      <c r="F463">
        <f>A463*1024/(C463*0.000001)/1000000000*C453</f>
        <v/>
      </c>
      <c r="G463">
        <f>E463/F463</f>
        <v/>
      </c>
    </row>
    <row r="464">
      <c r="A464" t="n">
        <v>128</v>
      </c>
      <c r="B464" t="n">
        <v>276.86</v>
      </c>
      <c r="C464">
        <f>C454*CEILING(A464*1024/(C445*C450*C444),1)+A464*1024*C452</f>
        <v/>
      </c>
      <c r="D464">
        <f>B464/C464</f>
        <v/>
      </c>
      <c r="E464" t="n">
        <v>0.92</v>
      </c>
      <c r="F464">
        <f>A464*1024/(C464*0.000001)/1000000000*C453</f>
        <v/>
      </c>
      <c r="G464">
        <f>E464/F464</f>
        <v/>
      </c>
    </row>
    <row r="465">
      <c r="A465" t="n">
        <v>256</v>
      </c>
      <c r="B465" t="n">
        <v>283.72</v>
      </c>
      <c r="C465">
        <f>C454*CEILING(A465*1024/(C445*C450*C444),1)+A465*1024*C452</f>
        <v/>
      </c>
      <c r="D465">
        <f>B465/C465</f>
        <v/>
      </c>
      <c r="E465" t="n">
        <v>1.79</v>
      </c>
      <c r="F465">
        <f>A465*1024/(C465*0.000001)/1000000000*C453</f>
        <v/>
      </c>
      <c r="G465">
        <f>E465/F465</f>
        <v/>
      </c>
    </row>
    <row r="466">
      <c r="A466" t="n">
        <v>512</v>
      </c>
      <c r="B466" t="n">
        <v>304.67</v>
      </c>
      <c r="C466">
        <f>C454*CEILING(A466*1024/(C445*C450*C444),1)+A466*1024*C452</f>
        <v/>
      </c>
      <c r="D466">
        <f>B466/C466</f>
        <v/>
      </c>
      <c r="E466" t="n">
        <v>3.33</v>
      </c>
      <c r="F466">
        <f>A466*1024/(C466*0.000001)/1000000000*C453</f>
        <v/>
      </c>
      <c r="G466">
        <f>E466/F466</f>
        <v/>
      </c>
    </row>
    <row r="467">
      <c r="A467" t="n">
        <v>1024</v>
      </c>
      <c r="B467" t="n">
        <v>322.05</v>
      </c>
      <c r="C467">
        <f>C454*CEILING(A467*1024/(C445*C450*C444),1)+A467*1024*C452</f>
        <v/>
      </c>
      <c r="D467">
        <f>B467/C467</f>
        <v/>
      </c>
      <c r="E467" t="n">
        <v>6.31</v>
      </c>
      <c r="F467">
        <f>A467*1024/(C467*0.000001)/1000000000*C453</f>
        <v/>
      </c>
      <c r="G467">
        <f>E467/F467</f>
        <v/>
      </c>
    </row>
    <row r="468">
      <c r="A468" t="n">
        <v>2048</v>
      </c>
      <c r="B468" t="n">
        <v>365.48</v>
      </c>
      <c r="C468">
        <f>C454*CEILING(A468*1024/(C445*C450*C444),1)+A468*1024*C452</f>
        <v/>
      </c>
      <c r="D468">
        <f>B468/C468</f>
        <v/>
      </c>
      <c r="E468" t="n">
        <v>11.12</v>
      </c>
      <c r="F468">
        <f>A468*1024/(C468*0.000001)/1000000000*C453</f>
        <v/>
      </c>
      <c r="G468">
        <f>E468/F468</f>
        <v/>
      </c>
    </row>
    <row r="469">
      <c r="A469" t="n">
        <v>4096</v>
      </c>
      <c r="B469" t="n">
        <v>421.49</v>
      </c>
      <c r="C469">
        <f>C454*CEILING(A469*1024/(C445*C450*C444),1)+A469*1024*C452</f>
        <v/>
      </c>
      <c r="D469">
        <f>B469/C469</f>
        <v/>
      </c>
      <c r="E469" t="n">
        <v>19.28</v>
      </c>
      <c r="F469">
        <f>A469*1024/(C469*0.000001)/1000000000*C453</f>
        <v/>
      </c>
      <c r="G469">
        <f>E469/F469</f>
        <v/>
      </c>
    </row>
    <row r="470">
      <c r="A470" t="n">
        <v>8192</v>
      </c>
      <c r="B470" t="n">
        <v>605.04</v>
      </c>
      <c r="C470">
        <f>C454*CEILING(A470*1024/(C445*C450*C444),1)+A470*1024*C452</f>
        <v/>
      </c>
      <c r="D470">
        <f>B470/C470</f>
        <v/>
      </c>
      <c r="E470" t="n">
        <v>26.86</v>
      </c>
      <c r="F470">
        <f>A470*1024/(C470*0.000001)/1000000000*C453</f>
        <v/>
      </c>
      <c r="G470">
        <f>E470/F470</f>
        <v/>
      </c>
    </row>
    <row r="471">
      <c r="A471" t="n">
        <v>16384</v>
      </c>
      <c r="B471" t="n">
        <v>951.03</v>
      </c>
      <c r="C471">
        <f>C454*CEILING(A471*1024/(C445*C450*C444),1)+A471*1024*C452</f>
        <v/>
      </c>
      <c r="D471">
        <f>B471/C471</f>
        <v/>
      </c>
      <c r="E471" t="n">
        <v>34.18</v>
      </c>
      <c r="F471">
        <f>A471*1024/(C471*0.000001)/1000000000*C453</f>
        <v/>
      </c>
      <c r="G471">
        <f>E471/F471</f>
        <v/>
      </c>
    </row>
    <row r="472">
      <c r="A472" t="n">
        <v>32768</v>
      </c>
      <c r="B472" t="n">
        <v>1645.4</v>
      </c>
      <c r="C472">
        <f>C454*CEILING(A472*1024/(C445*C450*C444),1)+A472*1024*C452</f>
        <v/>
      </c>
      <c r="D472">
        <f>B472/C472</f>
        <v/>
      </c>
      <c r="E472" t="n">
        <v>39.51</v>
      </c>
      <c r="F472">
        <f>A472*1024/(C472*0.000001)/1000000000*C453</f>
        <v/>
      </c>
      <c r="G472">
        <f>E472/F472</f>
        <v/>
      </c>
    </row>
    <row r="473">
      <c r="A473" t="n">
        <v>65536</v>
      </c>
      <c r="B473" t="n">
        <v>3247.71</v>
      </c>
      <c r="C473">
        <f>C454*CEILING(A473*1024/(C445*C450*C444),1)+A473*1024*C452</f>
        <v/>
      </c>
      <c r="D473">
        <f>B473/C473</f>
        <v/>
      </c>
      <c r="E473" t="n">
        <v>40.04</v>
      </c>
      <c r="F473">
        <f>A473*1024/(C473*0.000001)/1000000000*C453</f>
        <v/>
      </c>
      <c r="G473">
        <f>E473/F473</f>
        <v/>
      </c>
    </row>
    <row r="474">
      <c r="A474" t="n">
        <v>131072</v>
      </c>
      <c r="B474" t="n">
        <v>6416.63</v>
      </c>
      <c r="C474">
        <f>C454*CEILING(A474*1024/(C445*C450*C444),1)+A474*1024*C452</f>
        <v/>
      </c>
      <c r="D474">
        <f>B474/C474</f>
        <v/>
      </c>
      <c r="E474" t="n">
        <v>40.53</v>
      </c>
      <c r="F474">
        <f>A474*1024/(C474*0.000001)/1000000000*C453</f>
        <v/>
      </c>
      <c r="G474">
        <f>E474/F474</f>
        <v/>
      </c>
    </row>
    <row r="475">
      <c r="A475" t="n">
        <v>262144</v>
      </c>
      <c r="B475" t="n">
        <v>12909.5</v>
      </c>
      <c r="C475">
        <f>C454*CEILING(A475*1024/(C445*C450*C444),1)+A475*1024*C452</f>
        <v/>
      </c>
      <c r="D475">
        <f>B475/C475</f>
        <v/>
      </c>
      <c r="E475" t="n">
        <v>40.29</v>
      </c>
      <c r="F475">
        <f>A475*1024/(C475*0.000001)/1000000000*C453</f>
        <v/>
      </c>
      <c r="G475">
        <f>E475/F475</f>
        <v/>
      </c>
    </row>
    <row r="476">
      <c r="A476" t="n">
        <v>524288</v>
      </c>
      <c r="B476" t="n">
        <v>25540.6</v>
      </c>
      <c r="C476">
        <f>C454*CEILING(A476*1024/(C445*C450*C444),1)+A476*1024*C452</f>
        <v/>
      </c>
      <c r="D476">
        <f>B476/C476</f>
        <v/>
      </c>
      <c r="E476" t="n">
        <v>40.73</v>
      </c>
      <c r="F476">
        <f>A476*1024/(C476*0.000001)/1000000000*C453</f>
        <v/>
      </c>
      <c r="G476">
        <f>E476/F476</f>
        <v/>
      </c>
    </row>
    <row r="477">
      <c r="A477" t="n">
        <v>1048576</v>
      </c>
      <c r="B477" t="n">
        <v>50711.3</v>
      </c>
      <c r="C477">
        <f>C454*CEILING(A477*1024/(C445*C450*C444),1)+A477*1024*C452</f>
        <v/>
      </c>
      <c r="D477">
        <f>B477/C477</f>
        <v/>
      </c>
      <c r="E477" t="n">
        <v>41.02</v>
      </c>
      <c r="F477">
        <f>A477*1024/(C477*0.000001)/1000000000*C453</f>
        <v/>
      </c>
      <c r="G477">
        <f>E477/F477</f>
        <v/>
      </c>
    </row>
    <row r="478"/>
    <row r="479">
      <c r="A479" t="inlineStr">
        <is>
          <t>Nodes: 4, Protocol: LL128, Channels: 4</t>
        </is>
      </c>
    </row>
    <row r="480">
      <c r="A480" t="inlineStr">
        <is>
          <t>Parameter</t>
        </is>
      </c>
      <c r="B480" t="inlineStr">
        <is>
          <t>Formula</t>
        </is>
      </c>
      <c r="C480" t="inlineStr">
        <is>
          <t>Value</t>
        </is>
      </c>
    </row>
    <row r="481">
      <c r="A481" t="inlineStr">
        <is>
          <t>N</t>
        </is>
      </c>
      <c r="B481" t="inlineStr">
        <is>
          <t>nodes</t>
        </is>
      </c>
      <c r="C481" t="n">
        <v>4</v>
      </c>
    </row>
    <row r="482">
      <c r="A482" t="inlineStr">
        <is>
          <t>n</t>
        </is>
      </c>
      <c r="B482" t="inlineStr">
        <is>
          <t>GPUs/node</t>
        </is>
      </c>
      <c r="C482" t="n">
        <v>8</v>
      </c>
    </row>
    <row r="483">
      <c r="A483" t="inlineStr">
        <is>
          <t>n_total</t>
        </is>
      </c>
      <c r="B483" t="inlineStr">
        <is>
          <t>N*n</t>
        </is>
      </c>
      <c r="C483" t="n">
        <v>32</v>
      </c>
    </row>
    <row r="484">
      <c r="A484" t="inlineStr">
        <is>
          <t>nch_raw</t>
        </is>
      </c>
      <c r="B484" t="inlineStr">
        <is>
          <t>raw channels</t>
        </is>
      </c>
      <c r="C484" t="n">
        <v>4</v>
      </c>
    </row>
    <row r="485">
      <c r="A485" t="inlineStr">
        <is>
          <t>nch</t>
        </is>
      </c>
      <c r="B485" t="inlineStr">
        <is>
          <t>min(nch_raw,8)</t>
        </is>
      </c>
      <c r="C485" t="n">
        <v>4</v>
      </c>
    </row>
    <row r="486">
      <c r="A486" t="inlineStr">
        <is>
          <t>a</t>
        </is>
      </c>
      <c r="B486" t="inlineStr">
        <is>
          <t>RTT (us)</t>
        </is>
      </c>
      <c r="C486" t="n">
        <v>24.92</v>
      </c>
    </row>
    <row r="487">
      <c r="A487" t="inlineStr">
        <is>
          <t>NIC_BW</t>
        </is>
      </c>
      <c r="B487" t="inlineStr">
        <is>
          <t>bytes/us</t>
        </is>
      </c>
      <c r="C487" t="n">
        <v>48750</v>
      </c>
    </row>
    <row r="488">
      <c r="A488" t="inlineStr">
        <is>
          <t>intra_node_latency</t>
        </is>
      </c>
      <c r="B488" t="inlineStr">
        <is>
          <t>us</t>
        </is>
      </c>
      <c r="C488" t="n">
        <v>8.4</v>
      </c>
    </row>
    <row r="489">
      <c r="A489" t="inlineStr">
        <is>
          <t>chunk_size</t>
        </is>
      </c>
      <c r="B489" t="inlineStr">
        <is>
          <t>bytes</t>
        </is>
      </c>
      <c r="C489" t="n">
        <v>576000</v>
      </c>
    </row>
    <row r="490">
      <c r="A490" t="inlineStr">
        <is>
          <t>G_agg</t>
        </is>
      </c>
      <c r="B490" t="inlineStr">
        <is>
          <t>nch*NIC_BW</t>
        </is>
      </c>
      <c r="C490">
        <f>C485*C487</f>
        <v/>
      </c>
    </row>
    <row r="491">
      <c r="A491" t="inlineStr">
        <is>
          <t>G</t>
        </is>
      </c>
      <c r="B491" t="inlineStr">
        <is>
          <t>(16/15)*2*(n_total-1)/(n_total*G_agg)</t>
        </is>
      </c>
      <c r="C491">
        <f>(16/15)*2*(C483-1)/(C483*C490)</f>
        <v/>
      </c>
    </row>
    <row r="492">
      <c r="A492" t="inlineStr">
        <is>
          <t>busbw_factor</t>
        </is>
      </c>
      <c r="B492" t="inlineStr">
        <is>
          <t>2*(n_total-1)/n_total</t>
        </is>
      </c>
      <c r="C492">
        <f>2*(C483-1)/C483</f>
        <v/>
      </c>
    </row>
    <row r="493">
      <c r="A493" t="inlineStr">
        <is>
          <t>fixed_per_step</t>
        </is>
      </c>
      <c r="B493" t="inlineStr">
        <is>
          <t>(2*N-1)*(a/2+intra)</t>
        </is>
      </c>
      <c r="C493">
        <f>(2*C481-1)*(C486/2+C488)</f>
        <v/>
      </c>
    </row>
    <row r="494"/>
    <row r="495">
      <c r="A495" t="inlineStr">
        <is>
          <t>size_KB</t>
        </is>
      </c>
      <c r="B495" t="inlineStr">
        <is>
          <t>Actual Time (us)</t>
        </is>
      </c>
      <c r="C495" t="inlineStr">
        <is>
          <t>Roofline Time (us)</t>
        </is>
      </c>
      <c r="D495" t="inlineStr">
        <is>
          <t>Actual/Roofline</t>
        </is>
      </c>
      <c r="E495" t="inlineStr">
        <is>
          <t>Actual busBW (GB/s)</t>
        </is>
      </c>
      <c r="F495" t="inlineStr">
        <is>
          <t>Roofline busBW (GB/s)</t>
        </is>
      </c>
      <c r="G495" t="inlineStr">
        <is>
          <t>Meas/Roof busBW</t>
        </is>
      </c>
    </row>
    <row r="496">
      <c r="A496" t="n">
        <v>1</v>
      </c>
      <c r="B496" t="n">
        <v>263.21</v>
      </c>
      <c r="C496">
        <f>C493*CEILING(A496*1024/(C484*C489*C483),1)+A496*1024*C491</f>
        <v/>
      </c>
      <c r="D496">
        <f>B496/C496</f>
        <v/>
      </c>
      <c r="E496" t="n">
        <v>0.01</v>
      </c>
      <c r="F496">
        <f>A496*1024/(C496*0.000001)/1000000000*C492</f>
        <v/>
      </c>
      <c r="G496">
        <f>E496/F496</f>
        <v/>
      </c>
    </row>
    <row r="497">
      <c r="A497" t="n">
        <v>2</v>
      </c>
      <c r="B497" t="n">
        <v>263.27</v>
      </c>
      <c r="C497">
        <f>C493*CEILING(A497*1024/(C484*C489*C483),1)+A497*1024*C491</f>
        <v/>
      </c>
      <c r="D497">
        <f>B497/C497</f>
        <v/>
      </c>
      <c r="E497" t="n">
        <v>0.02</v>
      </c>
      <c r="F497">
        <f>A497*1024/(C497*0.000001)/1000000000*C492</f>
        <v/>
      </c>
      <c r="G497">
        <f>E497/F497</f>
        <v/>
      </c>
    </row>
    <row r="498">
      <c r="A498" t="n">
        <v>4</v>
      </c>
      <c r="B498" t="n">
        <v>265.51</v>
      </c>
      <c r="C498">
        <f>C493*CEILING(A498*1024/(C484*C489*C483),1)+A498*1024*C491</f>
        <v/>
      </c>
      <c r="D498">
        <f>B498/C498</f>
        <v/>
      </c>
      <c r="E498" t="n">
        <v>0.03</v>
      </c>
      <c r="F498">
        <f>A498*1024/(C498*0.000001)/1000000000*C492</f>
        <v/>
      </c>
      <c r="G498">
        <f>E498/F498</f>
        <v/>
      </c>
    </row>
    <row r="499">
      <c r="A499" t="n">
        <v>8</v>
      </c>
      <c r="B499" t="n">
        <v>262.64</v>
      </c>
      <c r="C499">
        <f>C493*CEILING(A499*1024/(C484*C489*C483),1)+A499*1024*C491</f>
        <v/>
      </c>
      <c r="D499">
        <f>B499/C499</f>
        <v/>
      </c>
      <c r="E499" t="n">
        <v>0.06</v>
      </c>
      <c r="F499">
        <f>A499*1024/(C499*0.000001)/1000000000*C492</f>
        <v/>
      </c>
      <c r="G499">
        <f>E499/F499</f>
        <v/>
      </c>
    </row>
    <row r="500">
      <c r="A500" t="n">
        <v>16</v>
      </c>
      <c r="B500" t="n">
        <v>302.42</v>
      </c>
      <c r="C500">
        <f>C493*CEILING(A500*1024/(C484*C489*C483),1)+A500*1024*C491</f>
        <v/>
      </c>
      <c r="D500">
        <f>B500/C500</f>
        <v/>
      </c>
      <c r="E500" t="n">
        <v>0.1</v>
      </c>
      <c r="F500">
        <f>A500*1024/(C500*0.000001)/1000000000*C492</f>
        <v/>
      </c>
      <c r="G500">
        <f>E500/F500</f>
        <v/>
      </c>
    </row>
    <row r="501">
      <c r="A501" t="n">
        <v>32</v>
      </c>
      <c r="B501" t="n">
        <v>270.93</v>
      </c>
      <c r="C501">
        <f>C493*CEILING(A501*1024/(C484*C489*C483),1)+A501*1024*C491</f>
        <v/>
      </c>
      <c r="D501">
        <f>B501/C501</f>
        <v/>
      </c>
      <c r="E501" t="n">
        <v>0.23</v>
      </c>
      <c r="F501">
        <f>A501*1024/(C501*0.000001)/1000000000*C492</f>
        <v/>
      </c>
      <c r="G501">
        <f>E501/F501</f>
        <v/>
      </c>
    </row>
    <row r="502">
      <c r="A502" t="n">
        <v>64</v>
      </c>
      <c r="B502" t="n">
        <v>277.06</v>
      </c>
      <c r="C502">
        <f>C493*CEILING(A502*1024/(C484*C489*C483),1)+A502*1024*C491</f>
        <v/>
      </c>
      <c r="D502">
        <f>B502/C502</f>
        <v/>
      </c>
      <c r="E502" t="n">
        <v>0.46</v>
      </c>
      <c r="F502">
        <f>A502*1024/(C502*0.000001)/1000000000*C492</f>
        <v/>
      </c>
      <c r="G502">
        <f>E502/F502</f>
        <v/>
      </c>
    </row>
    <row r="503">
      <c r="A503" t="n">
        <v>128</v>
      </c>
      <c r="B503" t="n">
        <v>272.83</v>
      </c>
      <c r="C503">
        <f>C493*CEILING(A503*1024/(C484*C489*C483),1)+A503*1024*C491</f>
        <v/>
      </c>
      <c r="D503">
        <f>B503/C503</f>
        <v/>
      </c>
      <c r="E503" t="n">
        <v>0.93</v>
      </c>
      <c r="F503">
        <f>A503*1024/(C503*0.000001)/1000000000*C492</f>
        <v/>
      </c>
      <c r="G503">
        <f>E503/F503</f>
        <v/>
      </c>
    </row>
    <row r="504">
      <c r="A504" t="n">
        <v>256</v>
      </c>
      <c r="B504" t="n">
        <v>277.68</v>
      </c>
      <c r="C504">
        <f>C493*CEILING(A504*1024/(C484*C489*C483),1)+A504*1024*C491</f>
        <v/>
      </c>
      <c r="D504">
        <f>B504/C504</f>
        <v/>
      </c>
      <c r="E504" t="n">
        <v>1.83</v>
      </c>
      <c r="F504">
        <f>A504*1024/(C504*0.000001)/1000000000*C492</f>
        <v/>
      </c>
      <c r="G504">
        <f>E504/F504</f>
        <v/>
      </c>
    </row>
    <row r="505">
      <c r="A505" t="n">
        <v>512</v>
      </c>
      <c r="B505" t="n">
        <v>285.64</v>
      </c>
      <c r="C505">
        <f>C493*CEILING(A505*1024/(C484*C489*C483),1)+A505*1024*C491</f>
        <v/>
      </c>
      <c r="D505">
        <f>B505/C505</f>
        <v/>
      </c>
      <c r="E505" t="n">
        <v>3.56</v>
      </c>
      <c r="F505">
        <f>A505*1024/(C505*0.000001)/1000000000*C492</f>
        <v/>
      </c>
      <c r="G505">
        <f>E505/F505</f>
        <v/>
      </c>
    </row>
    <row r="506">
      <c r="A506" t="n">
        <v>1024</v>
      </c>
      <c r="B506" t="n">
        <v>305.26</v>
      </c>
      <c r="C506">
        <f>C493*CEILING(A506*1024/(C484*C489*C483),1)+A506*1024*C491</f>
        <v/>
      </c>
      <c r="D506">
        <f>B506/C506</f>
        <v/>
      </c>
      <c r="E506" t="n">
        <v>6.66</v>
      </c>
      <c r="F506">
        <f>A506*1024/(C506*0.000001)/1000000000*C492</f>
        <v/>
      </c>
      <c r="G506">
        <f>E506/F506</f>
        <v/>
      </c>
    </row>
    <row r="507">
      <c r="A507" t="n">
        <v>2048</v>
      </c>
      <c r="B507" t="n">
        <v>323.6</v>
      </c>
      <c r="C507">
        <f>C493*CEILING(A507*1024/(C484*C489*C483),1)+A507*1024*C491</f>
        <v/>
      </c>
      <c r="D507">
        <f>B507/C507</f>
        <v/>
      </c>
      <c r="E507" t="n">
        <v>12.56</v>
      </c>
      <c r="F507">
        <f>A507*1024/(C507*0.000001)/1000000000*C492</f>
        <v/>
      </c>
      <c r="G507">
        <f>E507/F507</f>
        <v/>
      </c>
    </row>
    <row r="508">
      <c r="A508" t="n">
        <v>4096</v>
      </c>
      <c r="B508" t="n">
        <v>367.96</v>
      </c>
      <c r="C508">
        <f>C493*CEILING(A508*1024/(C484*C489*C483),1)+A508*1024*C491</f>
        <v/>
      </c>
      <c r="D508">
        <f>B508/C508</f>
        <v/>
      </c>
      <c r="E508" t="n">
        <v>22.09</v>
      </c>
      <c r="F508">
        <f>A508*1024/(C508*0.000001)/1000000000*C492</f>
        <v/>
      </c>
      <c r="G508">
        <f>E508/F508</f>
        <v/>
      </c>
    </row>
    <row r="509">
      <c r="A509" t="n">
        <v>8192</v>
      </c>
      <c r="B509" t="n">
        <v>427.29</v>
      </c>
      <c r="C509">
        <f>C493*CEILING(A509*1024/(C484*C489*C483),1)+A509*1024*C491</f>
        <v/>
      </c>
      <c r="D509">
        <f>B509/C509</f>
        <v/>
      </c>
      <c r="E509" t="n">
        <v>38.04</v>
      </c>
      <c r="F509">
        <f>A509*1024/(C509*0.000001)/1000000000*C492</f>
        <v/>
      </c>
      <c r="G509">
        <f>E509/F509</f>
        <v/>
      </c>
    </row>
    <row r="510">
      <c r="A510" t="n">
        <v>16384</v>
      </c>
      <c r="B510" t="n">
        <v>607.62</v>
      </c>
      <c r="C510">
        <f>C493*CEILING(A510*1024/(C484*C489*C483),1)+A510*1024*C491</f>
        <v/>
      </c>
      <c r="D510">
        <f>B510/C510</f>
        <v/>
      </c>
      <c r="E510" t="n">
        <v>53.5</v>
      </c>
      <c r="F510">
        <f>A510*1024/(C510*0.000001)/1000000000*C492</f>
        <v/>
      </c>
      <c r="G510">
        <f>E510/F510</f>
        <v/>
      </c>
    </row>
    <row r="511">
      <c r="A511" t="n">
        <v>32768</v>
      </c>
      <c r="B511" t="n">
        <v>948.92</v>
      </c>
      <c r="C511">
        <f>C493*CEILING(A511*1024/(C484*C489*C483),1)+A511*1024*C491</f>
        <v/>
      </c>
      <c r="D511">
        <f>B511/C511</f>
        <v/>
      </c>
      <c r="E511" t="n">
        <v>68.51000000000001</v>
      </c>
      <c r="F511">
        <f>A511*1024/(C511*0.000001)/1000000000*C492</f>
        <v/>
      </c>
      <c r="G511">
        <f>E511/F511</f>
        <v/>
      </c>
    </row>
    <row r="512">
      <c r="A512" t="n">
        <v>65536</v>
      </c>
      <c r="B512" t="n">
        <v>1657.77</v>
      </c>
      <c r="C512">
        <f>C493*CEILING(A512*1024/(C484*C489*C483),1)+A512*1024*C491</f>
        <v/>
      </c>
      <c r="D512">
        <f>B512/C512</f>
        <v/>
      </c>
      <c r="E512" t="n">
        <v>78.43000000000001</v>
      </c>
      <c r="F512">
        <f>A512*1024/(C512*0.000001)/1000000000*C492</f>
        <v/>
      </c>
      <c r="G512">
        <f>E512/F512</f>
        <v/>
      </c>
    </row>
    <row r="513">
      <c r="A513" t="n">
        <v>131072</v>
      </c>
      <c r="B513" t="n">
        <v>3327.09</v>
      </c>
      <c r="C513">
        <f>C493*CEILING(A513*1024/(C484*C489*C483),1)+A513*1024*C491</f>
        <v/>
      </c>
      <c r="D513">
        <f>B513/C513</f>
        <v/>
      </c>
      <c r="E513" t="n">
        <v>78.16</v>
      </c>
      <c r="F513">
        <f>A513*1024/(C513*0.000001)/1000000000*C492</f>
        <v/>
      </c>
      <c r="G513">
        <f>E513/F513</f>
        <v/>
      </c>
    </row>
    <row r="514">
      <c r="A514" t="n">
        <v>262144</v>
      </c>
      <c r="B514" t="n">
        <v>6623.77</v>
      </c>
      <c r="C514">
        <f>C493*CEILING(A514*1024/(C484*C489*C483),1)+A514*1024*C491</f>
        <v/>
      </c>
      <c r="D514">
        <f>B514/C514</f>
        <v/>
      </c>
      <c r="E514" t="n">
        <v>78.52</v>
      </c>
      <c r="F514">
        <f>A514*1024/(C514*0.000001)/1000000000*C492</f>
        <v/>
      </c>
      <c r="G514">
        <f>E514/F514</f>
        <v/>
      </c>
    </row>
    <row r="515">
      <c r="A515" t="n">
        <v>524288</v>
      </c>
      <c r="B515" t="n">
        <v>13145.5</v>
      </c>
      <c r="C515">
        <f>C493*CEILING(A515*1024/(C484*C489*C483),1)+A515*1024*C491</f>
        <v/>
      </c>
      <c r="D515">
        <f>B515/C515</f>
        <v/>
      </c>
      <c r="E515" t="n">
        <v>79.13</v>
      </c>
      <c r="F515">
        <f>A515*1024/(C515*0.000001)/1000000000*C492</f>
        <v/>
      </c>
      <c r="G515">
        <f>E515/F515</f>
        <v/>
      </c>
    </row>
    <row r="516">
      <c r="A516" t="n">
        <v>1048576</v>
      </c>
      <c r="B516" t="n">
        <v>26322.4</v>
      </c>
      <c r="C516">
        <f>C493*CEILING(A516*1024/(C484*C489*C483),1)+A516*1024*C491</f>
        <v/>
      </c>
      <c r="D516">
        <f>B516/C516</f>
        <v/>
      </c>
      <c r="E516" t="n">
        <v>79.03</v>
      </c>
      <c r="F516">
        <f>A516*1024/(C516*0.000001)/1000000000*C492</f>
        <v/>
      </c>
      <c r="G516">
        <f>E516/F516</f>
        <v/>
      </c>
    </row>
    <row r="517"/>
    <row r="518">
      <c r="A518" t="inlineStr">
        <is>
          <t>Nodes: 4, Protocol: LL128, Channels: 8</t>
        </is>
      </c>
    </row>
    <row r="519">
      <c r="A519" t="inlineStr">
        <is>
          <t>Parameter</t>
        </is>
      </c>
      <c r="B519" t="inlineStr">
        <is>
          <t>Formula</t>
        </is>
      </c>
      <c r="C519" t="inlineStr">
        <is>
          <t>Value</t>
        </is>
      </c>
    </row>
    <row r="520">
      <c r="A520" t="inlineStr">
        <is>
          <t>N</t>
        </is>
      </c>
      <c r="B520" t="inlineStr">
        <is>
          <t>nodes</t>
        </is>
      </c>
      <c r="C520" t="n">
        <v>4</v>
      </c>
    </row>
    <row r="521">
      <c r="A521" t="inlineStr">
        <is>
          <t>n</t>
        </is>
      </c>
      <c r="B521" t="inlineStr">
        <is>
          <t>GPUs/node</t>
        </is>
      </c>
      <c r="C521" t="n">
        <v>8</v>
      </c>
    </row>
    <row r="522">
      <c r="A522" t="inlineStr">
        <is>
          <t>n_total</t>
        </is>
      </c>
      <c r="B522" t="inlineStr">
        <is>
          <t>N*n</t>
        </is>
      </c>
      <c r="C522" t="n">
        <v>32</v>
      </c>
    </row>
    <row r="523">
      <c r="A523" t="inlineStr">
        <is>
          <t>nch_raw</t>
        </is>
      </c>
      <c r="B523" t="inlineStr">
        <is>
          <t>raw channels</t>
        </is>
      </c>
      <c r="C523" t="n">
        <v>8</v>
      </c>
    </row>
    <row r="524">
      <c r="A524" t="inlineStr">
        <is>
          <t>nch</t>
        </is>
      </c>
      <c r="B524" t="inlineStr">
        <is>
          <t>min(nch_raw,8)</t>
        </is>
      </c>
      <c r="C524" t="n">
        <v>8</v>
      </c>
    </row>
    <row r="525">
      <c r="A525" t="inlineStr">
        <is>
          <t>a</t>
        </is>
      </c>
      <c r="B525" t="inlineStr">
        <is>
          <t>RTT (us)</t>
        </is>
      </c>
      <c r="C525" t="n">
        <v>24.92</v>
      </c>
    </row>
    <row r="526">
      <c r="A526" t="inlineStr">
        <is>
          <t>NIC_BW</t>
        </is>
      </c>
      <c r="B526" t="inlineStr">
        <is>
          <t>bytes/us</t>
        </is>
      </c>
      <c r="C526" t="n">
        <v>48750</v>
      </c>
    </row>
    <row r="527">
      <c r="A527" t="inlineStr">
        <is>
          <t>intra_node_latency</t>
        </is>
      </c>
      <c r="B527" t="inlineStr">
        <is>
          <t>us</t>
        </is>
      </c>
      <c r="C527" t="n">
        <v>8.4</v>
      </c>
    </row>
    <row r="528">
      <c r="A528" t="inlineStr">
        <is>
          <t>chunk_size</t>
        </is>
      </c>
      <c r="B528" t="inlineStr">
        <is>
          <t>bytes</t>
        </is>
      </c>
      <c r="C528" t="n">
        <v>576000</v>
      </c>
    </row>
    <row r="529">
      <c r="A529" t="inlineStr">
        <is>
          <t>G_agg</t>
        </is>
      </c>
      <c r="B529" t="inlineStr">
        <is>
          <t>nch*NIC_BW</t>
        </is>
      </c>
      <c r="C529">
        <f>C524*C526</f>
        <v/>
      </c>
    </row>
    <row r="530">
      <c r="A530" t="inlineStr">
        <is>
          <t>G</t>
        </is>
      </c>
      <c r="B530" t="inlineStr">
        <is>
          <t>(16/15)*2*(n_total-1)/(n_total*G_agg)</t>
        </is>
      </c>
      <c r="C530">
        <f>(16/15)*2*(C522-1)/(C522*C529)</f>
        <v/>
      </c>
    </row>
    <row r="531">
      <c r="A531" t="inlineStr">
        <is>
          <t>busbw_factor</t>
        </is>
      </c>
      <c r="B531" t="inlineStr">
        <is>
          <t>2*(n_total-1)/n_total</t>
        </is>
      </c>
      <c r="C531">
        <f>2*(C522-1)/C522</f>
        <v/>
      </c>
    </row>
    <row r="532">
      <c r="A532" t="inlineStr">
        <is>
          <t>fixed_per_step</t>
        </is>
      </c>
      <c r="B532" t="inlineStr">
        <is>
          <t>(2*N-1)*(a/2+intra)</t>
        </is>
      </c>
      <c r="C532">
        <f>(2*C520-1)*(C525/2+C527)</f>
        <v/>
      </c>
    </row>
    <row r="533"/>
    <row r="534">
      <c r="A534" t="inlineStr">
        <is>
          <t>size_KB</t>
        </is>
      </c>
      <c r="B534" t="inlineStr">
        <is>
          <t>Actual Time (us)</t>
        </is>
      </c>
      <c r="C534" t="inlineStr">
        <is>
          <t>Roofline Time (us)</t>
        </is>
      </c>
      <c r="D534" t="inlineStr">
        <is>
          <t>Actual/Roofline</t>
        </is>
      </c>
      <c r="E534" t="inlineStr">
        <is>
          <t>Actual busBW (GB/s)</t>
        </is>
      </c>
      <c r="F534" t="inlineStr">
        <is>
          <t>Roofline busBW (GB/s)</t>
        </is>
      </c>
      <c r="G534" t="inlineStr">
        <is>
          <t>Meas/Roof busBW</t>
        </is>
      </c>
    </row>
    <row r="535">
      <c r="A535" t="n">
        <v>1</v>
      </c>
      <c r="B535" t="n">
        <v>262.44</v>
      </c>
      <c r="C535">
        <f>C532*CEILING(A535*1024/(C523*C528*C522),1)+A535*1024*C530</f>
        <v/>
      </c>
      <c r="D535">
        <f>B535/C535</f>
        <v/>
      </c>
      <c r="E535" t="n">
        <v>0.01</v>
      </c>
      <c r="F535">
        <f>A535*1024/(C535*0.000001)/1000000000*C531</f>
        <v/>
      </c>
      <c r="G535">
        <f>E535/F535</f>
        <v/>
      </c>
    </row>
    <row r="536">
      <c r="A536" t="n">
        <v>2</v>
      </c>
      <c r="B536" t="n">
        <v>261.37</v>
      </c>
      <c r="C536">
        <f>C532*CEILING(A536*1024/(C523*C528*C522),1)+A536*1024*C530</f>
        <v/>
      </c>
      <c r="D536">
        <f>B536/C536</f>
        <v/>
      </c>
      <c r="E536" t="n">
        <v>0.02</v>
      </c>
      <c r="F536">
        <f>A536*1024/(C536*0.000001)/1000000000*C531</f>
        <v/>
      </c>
      <c r="G536">
        <f>E536/F536</f>
        <v/>
      </c>
    </row>
    <row r="537">
      <c r="A537" t="n">
        <v>4</v>
      </c>
      <c r="B537" t="n">
        <v>261.82</v>
      </c>
      <c r="C537">
        <f>C532*CEILING(A537*1024/(C523*C528*C522),1)+A537*1024*C530</f>
        <v/>
      </c>
      <c r="D537">
        <f>B537/C537</f>
        <v/>
      </c>
      <c r="E537" t="n">
        <v>0.03</v>
      </c>
      <c r="F537">
        <f>A537*1024/(C537*0.000001)/1000000000*C531</f>
        <v/>
      </c>
      <c r="G537">
        <f>E537/F537</f>
        <v/>
      </c>
    </row>
    <row r="538">
      <c r="A538" t="n">
        <v>8</v>
      </c>
      <c r="B538" t="n">
        <v>263.18</v>
      </c>
      <c r="C538">
        <f>C532*CEILING(A538*1024/(C523*C528*C522),1)+A538*1024*C530</f>
        <v/>
      </c>
      <c r="D538">
        <f>B538/C538</f>
        <v/>
      </c>
      <c r="E538" t="n">
        <v>0.06</v>
      </c>
      <c r="F538">
        <f>A538*1024/(C538*0.000001)/1000000000*C531</f>
        <v/>
      </c>
      <c r="G538">
        <f>E538/F538</f>
        <v/>
      </c>
    </row>
    <row r="539">
      <c r="A539" t="n">
        <v>16</v>
      </c>
      <c r="B539" t="n">
        <v>264.57</v>
      </c>
      <c r="C539">
        <f>C532*CEILING(A539*1024/(C523*C528*C522),1)+A539*1024*C530</f>
        <v/>
      </c>
      <c r="D539">
        <f>B539/C539</f>
        <v/>
      </c>
      <c r="E539" t="n">
        <v>0.12</v>
      </c>
      <c r="F539">
        <f>A539*1024/(C539*0.000001)/1000000000*C531</f>
        <v/>
      </c>
      <c r="G539">
        <f>E539/F539</f>
        <v/>
      </c>
    </row>
    <row r="540">
      <c r="A540" t="n">
        <v>32</v>
      </c>
      <c r="B540" t="n">
        <v>270.44</v>
      </c>
      <c r="C540">
        <f>C532*CEILING(A540*1024/(C523*C528*C522),1)+A540*1024*C530</f>
        <v/>
      </c>
      <c r="D540">
        <f>B540/C540</f>
        <v/>
      </c>
      <c r="E540" t="n">
        <v>0.23</v>
      </c>
      <c r="F540">
        <f>A540*1024/(C540*0.000001)/1000000000*C531</f>
        <v/>
      </c>
      <c r="G540">
        <f>E540/F540</f>
        <v/>
      </c>
    </row>
    <row r="541">
      <c r="A541" t="n">
        <v>64</v>
      </c>
      <c r="B541" t="n">
        <v>271.37</v>
      </c>
      <c r="C541">
        <f>C532*CEILING(A541*1024/(C523*C528*C522),1)+A541*1024*C530</f>
        <v/>
      </c>
      <c r="D541">
        <f>B541/C541</f>
        <v/>
      </c>
      <c r="E541" t="n">
        <v>0.47</v>
      </c>
      <c r="F541">
        <f>A541*1024/(C541*0.000001)/1000000000*C531</f>
        <v/>
      </c>
      <c r="G541">
        <f>E541/F541</f>
        <v/>
      </c>
    </row>
    <row r="542">
      <c r="A542" t="n">
        <v>128</v>
      </c>
      <c r="B542" t="n">
        <v>271.98</v>
      </c>
      <c r="C542">
        <f>C532*CEILING(A542*1024/(C523*C528*C522),1)+A542*1024*C530</f>
        <v/>
      </c>
      <c r="D542">
        <f>B542/C542</f>
        <v/>
      </c>
      <c r="E542" t="n">
        <v>0.93</v>
      </c>
      <c r="F542">
        <f>A542*1024/(C542*0.000001)/1000000000*C531</f>
        <v/>
      </c>
      <c r="G542">
        <f>E542/F542</f>
        <v/>
      </c>
    </row>
    <row r="543">
      <c r="A543" t="n">
        <v>256</v>
      </c>
      <c r="B543" t="n">
        <v>271.99</v>
      </c>
      <c r="C543">
        <f>C532*CEILING(A543*1024/(C523*C528*C522),1)+A543*1024*C530</f>
        <v/>
      </c>
      <c r="D543">
        <f>B543/C543</f>
        <v/>
      </c>
      <c r="E543" t="n">
        <v>1.87</v>
      </c>
      <c r="F543">
        <f>A543*1024/(C543*0.000001)/1000000000*C531</f>
        <v/>
      </c>
      <c r="G543">
        <f>E543/F543</f>
        <v/>
      </c>
    </row>
    <row r="544">
      <c r="A544" t="n">
        <v>512</v>
      </c>
      <c r="B544" t="n">
        <v>281.57</v>
      </c>
      <c r="C544">
        <f>C532*CEILING(A544*1024/(C523*C528*C522),1)+A544*1024*C530</f>
        <v/>
      </c>
      <c r="D544">
        <f>B544/C544</f>
        <v/>
      </c>
      <c r="E544" t="n">
        <v>3.61</v>
      </c>
      <c r="F544">
        <f>A544*1024/(C544*0.000001)/1000000000*C531</f>
        <v/>
      </c>
      <c r="G544">
        <f>E544/F544</f>
        <v/>
      </c>
    </row>
    <row r="545">
      <c r="A545" t="n">
        <v>1024</v>
      </c>
      <c r="B545" t="n">
        <v>290.22</v>
      </c>
      <c r="C545">
        <f>C532*CEILING(A545*1024/(C523*C528*C522),1)+A545*1024*C530</f>
        <v/>
      </c>
      <c r="D545">
        <f>B545/C545</f>
        <v/>
      </c>
      <c r="E545" t="n">
        <v>7</v>
      </c>
      <c r="F545">
        <f>A545*1024/(C545*0.000001)/1000000000*C531</f>
        <v/>
      </c>
      <c r="G545">
        <f>E545/F545</f>
        <v/>
      </c>
    </row>
    <row r="546">
      <c r="A546" t="n">
        <v>2048</v>
      </c>
      <c r="B546" t="n">
        <v>307.71</v>
      </c>
      <c r="C546">
        <f>C532*CEILING(A546*1024/(C523*C528*C522),1)+A546*1024*C530</f>
        <v/>
      </c>
      <c r="D546">
        <f>B546/C546</f>
        <v/>
      </c>
      <c r="E546" t="n">
        <v>13.2</v>
      </c>
      <c r="F546">
        <f>A546*1024/(C546*0.000001)/1000000000*C531</f>
        <v/>
      </c>
      <c r="G546">
        <f>E546/F546</f>
        <v/>
      </c>
    </row>
    <row r="547">
      <c r="A547" t="n">
        <v>4096</v>
      </c>
      <c r="B547" t="n">
        <v>325.99</v>
      </c>
      <c r="C547">
        <f>C532*CEILING(A547*1024/(C523*C528*C522),1)+A547*1024*C530</f>
        <v/>
      </c>
      <c r="D547">
        <f>B547/C547</f>
        <v/>
      </c>
      <c r="E547" t="n">
        <v>24.93</v>
      </c>
      <c r="F547">
        <f>A547*1024/(C547*0.000001)/1000000000*C531</f>
        <v/>
      </c>
      <c r="G547">
        <f>E547/F547</f>
        <v/>
      </c>
    </row>
    <row r="548">
      <c r="A548" t="n">
        <v>8192</v>
      </c>
      <c r="B548" t="n">
        <v>370.6</v>
      </c>
      <c r="C548">
        <f>C532*CEILING(A548*1024/(C523*C528*C522),1)+A548*1024*C530</f>
        <v/>
      </c>
      <c r="D548">
        <f>B548/C548</f>
        <v/>
      </c>
      <c r="E548" t="n">
        <v>43.86</v>
      </c>
      <c r="F548">
        <f>A548*1024/(C548*0.000001)/1000000000*C531</f>
        <v/>
      </c>
      <c r="G548">
        <f>E548/F548</f>
        <v/>
      </c>
    </row>
    <row r="549">
      <c r="A549" t="n">
        <v>16384</v>
      </c>
      <c r="B549" t="n">
        <v>430.93</v>
      </c>
      <c r="C549">
        <f>C532*CEILING(A549*1024/(C523*C528*C522),1)+A549*1024*C530</f>
        <v/>
      </c>
      <c r="D549">
        <f>B549/C549</f>
        <v/>
      </c>
      <c r="E549" t="n">
        <v>75.43000000000001</v>
      </c>
      <c r="F549">
        <f>A549*1024/(C549*0.000001)/1000000000*C531</f>
        <v/>
      </c>
      <c r="G549">
        <f>E549/F549</f>
        <v/>
      </c>
    </row>
    <row r="550">
      <c r="A550" t="n">
        <v>32768</v>
      </c>
      <c r="B550" t="n">
        <v>621.89</v>
      </c>
      <c r="C550">
        <f>C532*CEILING(A550*1024/(C523*C528*C522),1)+A550*1024*C530</f>
        <v/>
      </c>
      <c r="D550">
        <f>B550/C550</f>
        <v/>
      </c>
      <c r="E550" t="n">
        <v>104.54</v>
      </c>
      <c r="F550">
        <f>A550*1024/(C550*0.000001)/1000000000*C531</f>
        <v/>
      </c>
      <c r="G550">
        <f>E550/F550</f>
        <v/>
      </c>
    </row>
    <row r="551">
      <c r="A551" t="n">
        <v>65536</v>
      </c>
      <c r="B551" t="n">
        <v>953.92</v>
      </c>
      <c r="C551">
        <f>C532*CEILING(A551*1024/(C523*C528*C522),1)+A551*1024*C530</f>
        <v/>
      </c>
      <c r="D551">
        <f>B551/C551</f>
        <v/>
      </c>
      <c r="E551" t="n">
        <v>136.3</v>
      </c>
      <c r="F551">
        <f>A551*1024/(C551*0.000001)/1000000000*C531</f>
        <v/>
      </c>
      <c r="G551">
        <f>E551/F551</f>
        <v/>
      </c>
    </row>
    <row r="552">
      <c r="A552" t="n">
        <v>131072</v>
      </c>
      <c r="B552" t="n">
        <v>1730.87</v>
      </c>
      <c r="C552">
        <f>C532*CEILING(A552*1024/(C523*C528*C522),1)+A552*1024*C530</f>
        <v/>
      </c>
      <c r="D552">
        <f>B552/C552</f>
        <v/>
      </c>
      <c r="E552" t="n">
        <v>150.24</v>
      </c>
      <c r="F552">
        <f>A552*1024/(C552*0.000001)/1000000000*C531</f>
        <v/>
      </c>
      <c r="G552">
        <f>E552/F552</f>
        <v/>
      </c>
    </row>
    <row r="553">
      <c r="A553" t="n">
        <v>262144</v>
      </c>
      <c r="B553" t="n">
        <v>3474.08</v>
      </c>
      <c r="C553">
        <f>C532*CEILING(A553*1024/(C523*C528*C522),1)+A553*1024*C530</f>
        <v/>
      </c>
      <c r="D553">
        <f>B553/C553</f>
        <v/>
      </c>
      <c r="E553" t="n">
        <v>149.71</v>
      </c>
      <c r="F553">
        <f>A553*1024/(C553*0.000001)/1000000000*C531</f>
        <v/>
      </c>
      <c r="G553">
        <f>E553/F553</f>
        <v/>
      </c>
    </row>
    <row r="554">
      <c r="A554" t="n">
        <v>524288</v>
      </c>
      <c r="B554" t="n">
        <v>6872.15</v>
      </c>
      <c r="C554">
        <f>C532*CEILING(A554*1024/(C523*C528*C522),1)+A554*1024*C530</f>
        <v/>
      </c>
      <c r="D554">
        <f>B554/C554</f>
        <v/>
      </c>
      <c r="E554" t="n">
        <v>151.36</v>
      </c>
      <c r="F554">
        <f>A554*1024/(C554*0.000001)/1000000000*C531</f>
        <v/>
      </c>
      <c r="G554">
        <f>E554/F554</f>
        <v/>
      </c>
    </row>
    <row r="555">
      <c r="A555" t="n">
        <v>1048576</v>
      </c>
      <c r="B555" t="n">
        <v>13666.4</v>
      </c>
      <c r="C555">
        <f>C532*CEILING(A555*1024/(C523*C528*C522),1)+A555*1024*C530</f>
        <v/>
      </c>
      <c r="D555">
        <f>B555/C555</f>
        <v/>
      </c>
      <c r="E555" t="n">
        <v>152.23</v>
      </c>
      <c r="F555">
        <f>A555*1024/(C555*0.000001)/1000000000*C531</f>
        <v/>
      </c>
      <c r="G555">
        <f>E555/F555</f>
        <v/>
      </c>
    </row>
    <row r="556"/>
    <row r="557">
      <c r="A557" t="inlineStr">
        <is>
          <t>Nodes: 4, Protocol: LL128, Channels: 16</t>
        </is>
      </c>
    </row>
    <row r="558">
      <c r="A558" t="inlineStr">
        <is>
          <t>Parameter</t>
        </is>
      </c>
      <c r="B558" t="inlineStr">
        <is>
          <t>Formula</t>
        </is>
      </c>
      <c r="C558" t="inlineStr">
        <is>
          <t>Value</t>
        </is>
      </c>
    </row>
    <row r="559">
      <c r="A559" t="inlineStr">
        <is>
          <t>N</t>
        </is>
      </c>
      <c r="B559" t="inlineStr">
        <is>
          <t>nodes</t>
        </is>
      </c>
      <c r="C559" t="n">
        <v>4</v>
      </c>
    </row>
    <row r="560">
      <c r="A560" t="inlineStr">
        <is>
          <t>n</t>
        </is>
      </c>
      <c r="B560" t="inlineStr">
        <is>
          <t>GPUs/node</t>
        </is>
      </c>
      <c r="C560" t="n">
        <v>8</v>
      </c>
    </row>
    <row r="561">
      <c r="A561" t="inlineStr">
        <is>
          <t>n_total</t>
        </is>
      </c>
      <c r="B561" t="inlineStr">
        <is>
          <t>N*n</t>
        </is>
      </c>
      <c r="C561" t="n">
        <v>32</v>
      </c>
    </row>
    <row r="562">
      <c r="A562" t="inlineStr">
        <is>
          <t>nch_raw</t>
        </is>
      </c>
      <c r="B562" t="inlineStr">
        <is>
          <t>raw channels</t>
        </is>
      </c>
      <c r="C562" t="n">
        <v>16</v>
      </c>
    </row>
    <row r="563">
      <c r="A563" t="inlineStr">
        <is>
          <t>nch</t>
        </is>
      </c>
      <c r="B563" t="inlineStr">
        <is>
          <t>min(nch_raw,8)</t>
        </is>
      </c>
      <c r="C563" t="n">
        <v>8</v>
      </c>
    </row>
    <row r="564">
      <c r="A564" t="inlineStr">
        <is>
          <t>a</t>
        </is>
      </c>
      <c r="B564" t="inlineStr">
        <is>
          <t>RTT (us)</t>
        </is>
      </c>
      <c r="C564" t="n">
        <v>24.92</v>
      </c>
    </row>
    <row r="565">
      <c r="A565" t="inlineStr">
        <is>
          <t>NIC_BW</t>
        </is>
      </c>
      <c r="B565" t="inlineStr">
        <is>
          <t>bytes/us</t>
        </is>
      </c>
      <c r="C565" t="n">
        <v>48750</v>
      </c>
    </row>
    <row r="566">
      <c r="A566" t="inlineStr">
        <is>
          <t>intra_node_latency</t>
        </is>
      </c>
      <c r="B566" t="inlineStr">
        <is>
          <t>us</t>
        </is>
      </c>
      <c r="C566" t="n">
        <v>8.4</v>
      </c>
    </row>
    <row r="567">
      <c r="A567" t="inlineStr">
        <is>
          <t>chunk_size</t>
        </is>
      </c>
      <c r="B567" t="inlineStr">
        <is>
          <t>bytes</t>
        </is>
      </c>
      <c r="C567" t="n">
        <v>576000</v>
      </c>
    </row>
    <row r="568">
      <c r="A568" t="inlineStr">
        <is>
          <t>G_agg</t>
        </is>
      </c>
      <c r="B568" t="inlineStr">
        <is>
          <t>nch*NIC_BW</t>
        </is>
      </c>
      <c r="C568">
        <f>C563*C565</f>
        <v/>
      </c>
    </row>
    <row r="569">
      <c r="A569" t="inlineStr">
        <is>
          <t>G</t>
        </is>
      </c>
      <c r="B569" t="inlineStr">
        <is>
          <t>(16/15)*2*(n_total-1)/(n_total*G_agg)</t>
        </is>
      </c>
      <c r="C569">
        <f>(16/15)*2*(C561-1)/(C561*C568)</f>
        <v/>
      </c>
    </row>
    <row r="570">
      <c r="A570" t="inlineStr">
        <is>
          <t>busbw_factor</t>
        </is>
      </c>
      <c r="B570" t="inlineStr">
        <is>
          <t>2*(n_total-1)/n_total</t>
        </is>
      </c>
      <c r="C570">
        <f>2*(C561-1)/C561</f>
        <v/>
      </c>
    </row>
    <row r="571">
      <c r="A571" t="inlineStr">
        <is>
          <t>fixed_per_step</t>
        </is>
      </c>
      <c r="B571" t="inlineStr">
        <is>
          <t>(2*N-1)*(a/2+intra)</t>
        </is>
      </c>
      <c r="C571">
        <f>(2*C559-1)*(C564/2+C566)</f>
        <v/>
      </c>
    </row>
    <row r="572"/>
    <row r="573">
      <c r="A573" t="inlineStr">
        <is>
          <t>size_KB</t>
        </is>
      </c>
      <c r="B573" t="inlineStr">
        <is>
          <t>Actual Time (us)</t>
        </is>
      </c>
      <c r="C573" t="inlineStr">
        <is>
          <t>Roofline Time (us)</t>
        </is>
      </c>
      <c r="D573" t="inlineStr">
        <is>
          <t>Actual/Roofline</t>
        </is>
      </c>
      <c r="E573" t="inlineStr">
        <is>
          <t>Actual busBW (GB/s)</t>
        </is>
      </c>
      <c r="F573" t="inlineStr">
        <is>
          <t>Roofline busBW (GB/s)</t>
        </is>
      </c>
      <c r="G573" t="inlineStr">
        <is>
          <t>Meas/Roof busBW</t>
        </is>
      </c>
    </row>
    <row r="574">
      <c r="A574" t="n">
        <v>1</v>
      </c>
      <c r="B574" t="n">
        <v>261.75</v>
      </c>
      <c r="C574">
        <f>C571*CEILING(A574*1024/(C562*C567*C561),1)+A574*1024*C569</f>
        <v/>
      </c>
      <c r="D574">
        <f>B574/C574</f>
        <v/>
      </c>
      <c r="E574" t="n">
        <v>0.01</v>
      </c>
      <c r="F574">
        <f>A574*1024/(C574*0.000001)/1000000000*C570</f>
        <v/>
      </c>
      <c r="G574">
        <f>E574/F574</f>
        <v/>
      </c>
    </row>
    <row r="575">
      <c r="A575" t="n">
        <v>2</v>
      </c>
      <c r="B575" t="n">
        <v>261.72</v>
      </c>
      <c r="C575">
        <f>C571*CEILING(A575*1024/(C562*C567*C561),1)+A575*1024*C569</f>
        <v/>
      </c>
      <c r="D575">
        <f>B575/C575</f>
        <v/>
      </c>
      <c r="E575" t="n">
        <v>0.02</v>
      </c>
      <c r="F575">
        <f>A575*1024/(C575*0.000001)/1000000000*C570</f>
        <v/>
      </c>
      <c r="G575">
        <f>E575/F575</f>
        <v/>
      </c>
    </row>
    <row r="576">
      <c r="A576" t="n">
        <v>4</v>
      </c>
      <c r="B576" t="n">
        <v>261.47</v>
      </c>
      <c r="C576">
        <f>C571*CEILING(A576*1024/(C562*C567*C561),1)+A576*1024*C569</f>
        <v/>
      </c>
      <c r="D576">
        <f>B576/C576</f>
        <v/>
      </c>
      <c r="E576" t="n">
        <v>0.03</v>
      </c>
      <c r="F576">
        <f>A576*1024/(C576*0.000001)/1000000000*C570</f>
        <v/>
      </c>
      <c r="G576">
        <f>E576/F576</f>
        <v/>
      </c>
    </row>
    <row r="577">
      <c r="A577" t="n">
        <v>8</v>
      </c>
      <c r="B577" t="n">
        <v>261.24</v>
      </c>
      <c r="C577">
        <f>C571*CEILING(A577*1024/(C562*C567*C561),1)+A577*1024*C569</f>
        <v/>
      </c>
      <c r="D577">
        <f>B577/C577</f>
        <v/>
      </c>
      <c r="E577" t="n">
        <v>0.06</v>
      </c>
      <c r="F577">
        <f>A577*1024/(C577*0.000001)/1000000000*C570</f>
        <v/>
      </c>
      <c r="G577">
        <f>E577/F577</f>
        <v/>
      </c>
    </row>
    <row r="578">
      <c r="A578" t="n">
        <v>16</v>
      </c>
      <c r="B578" t="n">
        <v>261.84</v>
      </c>
      <c r="C578">
        <f>C571*CEILING(A578*1024/(C562*C567*C561),1)+A578*1024*C569</f>
        <v/>
      </c>
      <c r="D578">
        <f>B578/C578</f>
        <v/>
      </c>
      <c r="E578" t="n">
        <v>0.12</v>
      </c>
      <c r="F578">
        <f>A578*1024/(C578*0.000001)/1000000000*C570</f>
        <v/>
      </c>
      <c r="G578">
        <f>E578/F578</f>
        <v/>
      </c>
    </row>
    <row r="579">
      <c r="A579" t="n">
        <v>32</v>
      </c>
      <c r="B579" t="n">
        <v>267.49</v>
      </c>
      <c r="C579">
        <f>C571*CEILING(A579*1024/(C562*C567*C561),1)+A579*1024*C569</f>
        <v/>
      </c>
      <c r="D579">
        <f>B579/C579</f>
        <v/>
      </c>
      <c r="E579" t="n">
        <v>0.24</v>
      </c>
      <c r="F579">
        <f>A579*1024/(C579*0.000001)/1000000000*C570</f>
        <v/>
      </c>
      <c r="G579">
        <f>E579/F579</f>
        <v/>
      </c>
    </row>
    <row r="580">
      <c r="A580" t="n">
        <v>64</v>
      </c>
      <c r="B580" t="n">
        <v>274.3</v>
      </c>
      <c r="C580">
        <f>C571*CEILING(A580*1024/(C562*C567*C561),1)+A580*1024*C569</f>
        <v/>
      </c>
      <c r="D580">
        <f>B580/C580</f>
        <v/>
      </c>
      <c r="E580" t="n">
        <v>0.46</v>
      </c>
      <c r="F580">
        <f>A580*1024/(C580*0.000001)/1000000000*C570</f>
        <v/>
      </c>
      <c r="G580">
        <f>E580/F580</f>
        <v/>
      </c>
    </row>
    <row r="581">
      <c r="A581" t="n">
        <v>128</v>
      </c>
      <c r="B581" t="n">
        <v>274.41</v>
      </c>
      <c r="C581">
        <f>C571*CEILING(A581*1024/(C562*C567*C561),1)+A581*1024*C569</f>
        <v/>
      </c>
      <c r="D581">
        <f>B581/C581</f>
        <v/>
      </c>
      <c r="E581" t="n">
        <v>0.93</v>
      </c>
      <c r="F581">
        <f>A581*1024/(C581*0.000001)/1000000000*C570</f>
        <v/>
      </c>
      <c r="G581">
        <f>E581/F581</f>
        <v/>
      </c>
    </row>
    <row r="582">
      <c r="A582" t="n">
        <v>256</v>
      </c>
      <c r="B582" t="n">
        <v>384.54</v>
      </c>
      <c r="C582">
        <f>C571*CEILING(A582*1024/(C562*C567*C561),1)+A582*1024*C569</f>
        <v/>
      </c>
      <c r="D582">
        <f>B582/C582</f>
        <v/>
      </c>
      <c r="E582" t="n">
        <v>1.32</v>
      </c>
      <c r="F582">
        <f>A582*1024/(C582*0.000001)/1000000000*C570</f>
        <v/>
      </c>
      <c r="G582">
        <f>E582/F582</f>
        <v/>
      </c>
    </row>
    <row r="583">
      <c r="A583" t="n">
        <v>512</v>
      </c>
      <c r="B583" t="n">
        <v>323.62</v>
      </c>
      <c r="C583">
        <f>C571*CEILING(A583*1024/(C562*C567*C561),1)+A583*1024*C569</f>
        <v/>
      </c>
      <c r="D583">
        <f>B583/C583</f>
        <v/>
      </c>
      <c r="E583" t="n">
        <v>3.14</v>
      </c>
      <c r="F583">
        <f>A583*1024/(C583*0.000001)/1000000000*C570</f>
        <v/>
      </c>
      <c r="G583">
        <f>E583/F583</f>
        <v/>
      </c>
    </row>
    <row r="584">
      <c r="A584" t="n">
        <v>1024</v>
      </c>
      <c r="B584" t="n">
        <v>325.16</v>
      </c>
      <c r="C584">
        <f>C571*CEILING(A584*1024/(C562*C567*C561),1)+A584*1024*C569</f>
        <v/>
      </c>
      <c r="D584">
        <f>B584/C584</f>
        <v/>
      </c>
      <c r="E584" t="n">
        <v>6.25</v>
      </c>
      <c r="F584">
        <f>A584*1024/(C584*0.000001)/1000000000*C570</f>
        <v/>
      </c>
      <c r="G584">
        <f>E584/F584</f>
        <v/>
      </c>
    </row>
    <row r="585">
      <c r="A585" t="n">
        <v>2048</v>
      </c>
      <c r="B585" t="n">
        <v>324.8</v>
      </c>
      <c r="C585">
        <f>C571*CEILING(A585*1024/(C562*C567*C561),1)+A585*1024*C569</f>
        <v/>
      </c>
      <c r="D585">
        <f>B585/C585</f>
        <v/>
      </c>
      <c r="E585" t="n">
        <v>12.51</v>
      </c>
      <c r="F585">
        <f>A585*1024/(C585*0.000001)/1000000000*C570</f>
        <v/>
      </c>
      <c r="G585">
        <f>E585/F585</f>
        <v/>
      </c>
    </row>
    <row r="586">
      <c r="A586" t="n">
        <v>4096</v>
      </c>
      <c r="B586" t="n">
        <v>352.71</v>
      </c>
      <c r="C586">
        <f>C571*CEILING(A586*1024/(C562*C567*C561),1)+A586*1024*C569</f>
        <v/>
      </c>
      <c r="D586">
        <f>B586/C586</f>
        <v/>
      </c>
      <c r="E586" t="n">
        <v>23.04</v>
      </c>
      <c r="F586">
        <f>A586*1024/(C586*0.000001)/1000000000*C570</f>
        <v/>
      </c>
      <c r="G586">
        <f>E586/F586</f>
        <v/>
      </c>
    </row>
    <row r="587">
      <c r="A587" t="n">
        <v>8192</v>
      </c>
      <c r="B587" t="n">
        <v>365.55</v>
      </c>
      <c r="C587">
        <f>C571*CEILING(A587*1024/(C562*C567*C561),1)+A587*1024*C569</f>
        <v/>
      </c>
      <c r="D587">
        <f>B587/C587</f>
        <v/>
      </c>
      <c r="E587" t="n">
        <v>44.46</v>
      </c>
      <c r="F587">
        <f>A587*1024/(C587*0.000001)/1000000000*C570</f>
        <v/>
      </c>
      <c r="G587">
        <f>E587/F587</f>
        <v/>
      </c>
    </row>
    <row r="588">
      <c r="A588" t="n">
        <v>16384</v>
      </c>
      <c r="B588" t="n">
        <v>440</v>
      </c>
      <c r="C588">
        <f>C571*CEILING(A588*1024/(C562*C567*C561),1)+A588*1024*C569</f>
        <v/>
      </c>
      <c r="D588">
        <f>B588/C588</f>
        <v/>
      </c>
      <c r="E588" t="n">
        <v>73.88</v>
      </c>
      <c r="F588">
        <f>A588*1024/(C588*0.000001)/1000000000*C570</f>
        <v/>
      </c>
      <c r="G588">
        <f>E588/F588</f>
        <v/>
      </c>
    </row>
    <row r="589">
      <c r="A589" t="n">
        <v>32768</v>
      </c>
      <c r="B589" t="n">
        <v>474.13</v>
      </c>
      <c r="C589">
        <f>C571*CEILING(A589*1024/(C562*C567*C561),1)+A589*1024*C569</f>
        <v/>
      </c>
      <c r="D589">
        <f>B589/C589</f>
        <v/>
      </c>
      <c r="E589" t="n">
        <v>137.12</v>
      </c>
      <c r="F589">
        <f>A589*1024/(C589*0.000001)/1000000000*C570</f>
        <v/>
      </c>
      <c r="G589">
        <f>E589/F589</f>
        <v/>
      </c>
    </row>
    <row r="590">
      <c r="A590" t="n">
        <v>65536</v>
      </c>
      <c r="B590" t="n">
        <v>642.25</v>
      </c>
      <c r="C590">
        <f>C571*CEILING(A590*1024/(C562*C567*C561),1)+A590*1024*C569</f>
        <v/>
      </c>
      <c r="D590">
        <f>B590/C590</f>
        <v/>
      </c>
      <c r="E590" t="n">
        <v>202.45</v>
      </c>
      <c r="F590">
        <f>A590*1024/(C590*0.000001)/1000000000*C570</f>
        <v/>
      </c>
      <c r="G590">
        <f>E590/F590</f>
        <v/>
      </c>
    </row>
    <row r="591">
      <c r="A591" t="n">
        <v>131072</v>
      </c>
      <c r="B591" t="n">
        <v>1023.22</v>
      </c>
      <c r="C591">
        <f>C571*CEILING(A591*1024/(C562*C567*C561),1)+A591*1024*C569</f>
        <v/>
      </c>
      <c r="D591">
        <f>B591/C591</f>
        <v/>
      </c>
      <c r="E591" t="n">
        <v>254.15</v>
      </c>
      <c r="F591">
        <f>A591*1024/(C591*0.000001)/1000000000*C570</f>
        <v/>
      </c>
      <c r="G591">
        <f>E591/F591</f>
        <v/>
      </c>
    </row>
    <row r="592">
      <c r="A592" t="n">
        <v>262144</v>
      </c>
      <c r="B592" t="n">
        <v>1836.65</v>
      </c>
      <c r="C592">
        <f>C571*CEILING(A592*1024/(C562*C567*C561),1)+A592*1024*C569</f>
        <v/>
      </c>
      <c r="D592">
        <f>B592/C592</f>
        <v/>
      </c>
      <c r="E592" t="n">
        <v>283.18</v>
      </c>
      <c r="F592">
        <f>A592*1024/(C592*0.000001)/1000000000*C570</f>
        <v/>
      </c>
      <c r="G592">
        <f>E592/F592</f>
        <v/>
      </c>
    </row>
    <row r="593">
      <c r="A593" t="n">
        <v>524288</v>
      </c>
      <c r="B593" t="n">
        <v>3664.91</v>
      </c>
      <c r="C593">
        <f>C571*CEILING(A593*1024/(C562*C567*C561),1)+A593*1024*C569</f>
        <v/>
      </c>
      <c r="D593">
        <f>B593/C593</f>
        <v/>
      </c>
      <c r="E593" t="n">
        <v>283.82</v>
      </c>
      <c r="F593">
        <f>A593*1024/(C593*0.000001)/1000000000*C570</f>
        <v/>
      </c>
      <c r="G593">
        <f>E593/F593</f>
        <v/>
      </c>
    </row>
    <row r="594">
      <c r="A594" t="n">
        <v>1048576</v>
      </c>
      <c r="B594" t="n">
        <v>7254.9</v>
      </c>
      <c r="C594">
        <f>C571*CEILING(A594*1024/(C562*C567*C561),1)+A594*1024*C569</f>
        <v/>
      </c>
      <c r="D594">
        <f>B594/C594</f>
        <v/>
      </c>
      <c r="E594" t="n">
        <v>286.75</v>
      </c>
      <c r="F594">
        <f>A594*1024/(C594*0.000001)/1000000000*C570</f>
        <v/>
      </c>
      <c r="G594">
        <f>E594/F594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N35" sqref="N35"/>
    </sheetView>
  </sheetViews>
  <sheetFormatPr baseColWidth="10" defaultColWidth="8.83203125" defaultRowHeight="15"/>
  <sheetData>
    <row r="1">
      <c r="A1" t="inlineStr">
        <is>
          <t>Nodes: 4, Protocol: Simple, Channels: 1</t>
        </is>
      </c>
    </row>
    <row r="2">
      <c r="A2" t="inlineStr">
        <is>
          <t>Parameter</t>
        </is>
      </c>
      <c r="B2" t="inlineStr">
        <is>
          <t>Formula</t>
        </is>
      </c>
      <c r="C2" t="inlineStr">
        <is>
          <t>Value</t>
        </is>
      </c>
    </row>
    <row r="3">
      <c r="A3" t="inlineStr">
        <is>
          <t>N</t>
        </is>
      </c>
      <c r="B3" t="inlineStr">
        <is>
          <t>nodes</t>
        </is>
      </c>
      <c r="C3" t="n">
        <v>4</v>
      </c>
    </row>
    <row r="4">
      <c r="A4" t="inlineStr">
        <is>
          <t>n</t>
        </is>
      </c>
      <c r="B4" t="inlineStr">
        <is>
          <t>GPUs/node</t>
        </is>
      </c>
      <c r="C4" t="n">
        <v>8</v>
      </c>
    </row>
    <row r="5">
      <c r="A5" t="inlineStr">
        <is>
          <t>n_total</t>
        </is>
      </c>
      <c r="B5" t="inlineStr">
        <is>
          <t>N*n</t>
        </is>
      </c>
      <c r="C5" t="n">
        <v>32</v>
      </c>
    </row>
    <row r="6">
      <c r="A6" t="inlineStr">
        <is>
          <t>nch_raw</t>
        </is>
      </c>
      <c r="B6" t="inlineStr">
        <is>
          <t>raw channels</t>
        </is>
      </c>
      <c r="C6" t="n">
        <v>1</v>
      </c>
    </row>
    <row r="7">
      <c r="A7" t="inlineStr">
        <is>
          <t>nch_eff</t>
        </is>
      </c>
      <c r="B7" t="inlineStr">
        <is>
          <t>min(nch_raw,8)</t>
        </is>
      </c>
      <c r="C7" t="n">
        <v>1</v>
      </c>
    </row>
    <row r="8">
      <c r="A8" t="inlineStr">
        <is>
          <t>a</t>
        </is>
      </c>
      <c r="B8" t="inlineStr">
        <is>
          <t>RTT (us)</t>
        </is>
      </c>
      <c r="C8" t="n">
        <v>24.92</v>
      </c>
    </row>
    <row r="9">
      <c r="A9" t="inlineStr">
        <is>
          <t>NIC_BW</t>
        </is>
      </c>
      <c r="B9" t="inlineStr">
        <is>
          <t>bytes/us</t>
        </is>
      </c>
      <c r="C9" t="n">
        <v>48750</v>
      </c>
    </row>
    <row r="10">
      <c r="A10" t="inlineStr">
        <is>
          <t>intra_node_tree_latency</t>
        </is>
      </c>
      <c r="B10" t="inlineStr">
        <is>
          <t>us</t>
        </is>
      </c>
      <c r="C10" t="n">
        <v>8.4</v>
      </c>
    </row>
    <row r="11">
      <c r="A11" t="inlineStr">
        <is>
          <t>NIC_BW_REAL</t>
        </is>
      </c>
      <c r="B11" t="inlineStr">
        <is>
          <t>nch_eff*NIC_BW/3</t>
        </is>
      </c>
      <c r="C11">
        <f>C7*C9/3</f>
        <v/>
      </c>
    </row>
    <row r="12">
      <c r="A12" t="inlineStr">
        <is>
          <t>G</t>
        </is>
      </c>
      <c r="B12" t="inlineStr">
        <is>
          <t>1/NIC_BW_REAL</t>
        </is>
      </c>
      <c r="C12">
        <f>1/C11</f>
        <v/>
      </c>
    </row>
    <row r="13">
      <c r="A13" t="inlineStr">
        <is>
          <t>busbw_factor</t>
        </is>
      </c>
      <c r="B13" t="inlineStr">
        <is>
          <t>2*(n_total-1)/n_total</t>
        </is>
      </c>
      <c r="C13">
        <f>2*(C5-1)/C5</f>
        <v/>
      </c>
    </row>
    <row r="14">
      <c r="A14" t="inlineStr">
        <is>
          <t>fixed_overhead</t>
        </is>
      </c>
      <c r="B14" t="inlineStr">
        <is>
          <t>(2*LOG2(N)+1)*a/2+2*intra</t>
        </is>
      </c>
      <c r="C14">
        <f>(2*LOG(C3,2)+1)*C8/2+2*C10</f>
        <v/>
      </c>
    </row>
    <row r="15"/>
    <row r="16">
      <c r="A16" t="inlineStr">
        <is>
          <t>size_KB</t>
        </is>
      </c>
      <c r="B16" t="inlineStr">
        <is>
          <t>Actual Time (us)</t>
        </is>
      </c>
      <c r="C16" t="inlineStr">
        <is>
          <t>Roofline Time (us)</t>
        </is>
      </c>
      <c r="D16" t="inlineStr">
        <is>
          <t>Actual/Roofline</t>
        </is>
      </c>
      <c r="E16" t="inlineStr">
        <is>
          <t>Actual busBW (GB/s)</t>
        </is>
      </c>
      <c r="F16" t="inlineStr">
        <is>
          <t>Roofline busBW (GB/s)</t>
        </is>
      </c>
      <c r="G16" t="inlineStr">
        <is>
          <t>Meas/Roof busBW</t>
        </is>
      </c>
    </row>
    <row r="17">
      <c r="A17" t="n">
        <v>1</v>
      </c>
      <c r="B17" t="n">
        <v>143.39</v>
      </c>
      <c r="C17">
        <f>C14+A17*1024*C12</f>
        <v/>
      </c>
      <c r="D17">
        <f>B17/C17</f>
        <v/>
      </c>
      <c r="E17" t="n">
        <v>0.01</v>
      </c>
      <c r="F17">
        <f>A17*1024/(C17*0.000001)/1000000000*C13</f>
        <v/>
      </c>
      <c r="G17">
        <f>E17/F17</f>
        <v/>
      </c>
    </row>
    <row r="18">
      <c r="A18" t="n">
        <v>2</v>
      </c>
      <c r="B18" t="n">
        <v>143.62</v>
      </c>
      <c r="C18">
        <f>C14+A18*1024*C12</f>
        <v/>
      </c>
      <c r="D18">
        <f>B18/C18</f>
        <v/>
      </c>
      <c r="E18" t="n">
        <v>0.03</v>
      </c>
      <c r="F18">
        <f>A18*1024/(C18*0.000001)/1000000000*C13</f>
        <v/>
      </c>
      <c r="G18">
        <f>E18/F18</f>
        <v/>
      </c>
    </row>
    <row r="19">
      <c r="A19" t="n">
        <v>4</v>
      </c>
      <c r="B19" t="n">
        <v>149.86</v>
      </c>
      <c r="C19">
        <f>C14+A19*1024*C12</f>
        <v/>
      </c>
      <c r="D19">
        <f>B19/C19</f>
        <v/>
      </c>
      <c r="E19" t="n">
        <v>0.05</v>
      </c>
      <c r="F19">
        <f>A19*1024/(C19*0.000001)/1000000000*C13</f>
        <v/>
      </c>
      <c r="G19">
        <f>E19/F19</f>
        <v/>
      </c>
    </row>
    <row r="20">
      <c r="A20" t="n">
        <v>8</v>
      </c>
      <c r="B20" t="n">
        <v>160.87</v>
      </c>
      <c r="C20">
        <f>C14+A20*1024*C12</f>
        <v/>
      </c>
      <c r="D20">
        <f>B20/C20</f>
        <v/>
      </c>
      <c r="E20" t="n">
        <v>0.1</v>
      </c>
      <c r="F20">
        <f>A20*1024/(C20*0.000001)/1000000000*C13</f>
        <v/>
      </c>
      <c r="G20">
        <f>E20/F20</f>
        <v/>
      </c>
    </row>
    <row r="21">
      <c r="A21" t="n">
        <v>16</v>
      </c>
      <c r="B21" t="n">
        <v>180.86</v>
      </c>
      <c r="C21">
        <f>C14+A21*1024*C12</f>
        <v/>
      </c>
      <c r="D21">
        <f>B21/C21</f>
        <v/>
      </c>
      <c r="E21" t="n">
        <v>0.18</v>
      </c>
      <c r="F21">
        <f>A21*1024/(C21*0.000001)/1000000000*C13</f>
        <v/>
      </c>
      <c r="G21">
        <f>E21/F21</f>
        <v/>
      </c>
    </row>
    <row r="22">
      <c r="A22" t="n">
        <v>32</v>
      </c>
      <c r="B22" t="n">
        <v>203.18</v>
      </c>
      <c r="C22">
        <f>C14+A22*1024*C12</f>
        <v/>
      </c>
      <c r="D22">
        <f>B22/C22</f>
        <v/>
      </c>
      <c r="E22" t="n">
        <v>0.31</v>
      </c>
      <c r="F22">
        <f>A22*1024/(C22*0.000001)/1000000000*C13</f>
        <v/>
      </c>
      <c r="G22">
        <f>E22/F22</f>
        <v/>
      </c>
    </row>
    <row r="23">
      <c r="A23" t="n">
        <v>64</v>
      </c>
      <c r="B23" t="n">
        <v>239.1</v>
      </c>
      <c r="C23">
        <f>C14+A23*1024*C12</f>
        <v/>
      </c>
      <c r="D23">
        <f>B23/C23</f>
        <v/>
      </c>
      <c r="E23" t="n">
        <v>0.53</v>
      </c>
      <c r="F23">
        <f>A23*1024/(C23*0.000001)/1000000000*C13</f>
        <v/>
      </c>
      <c r="G23">
        <f>E23/F23</f>
        <v/>
      </c>
    </row>
    <row r="24">
      <c r="A24" t="n">
        <v>128</v>
      </c>
      <c r="B24" t="n">
        <v>304.31</v>
      </c>
      <c r="C24">
        <f>C14+A24*1024*C12</f>
        <v/>
      </c>
      <c r="D24">
        <f>B24/C24</f>
        <v/>
      </c>
      <c r="E24" t="n">
        <v>0.83</v>
      </c>
      <c r="F24">
        <f>A24*1024/(C24*0.000001)/1000000000*C13</f>
        <v/>
      </c>
      <c r="G24">
        <f>E24/F24</f>
        <v/>
      </c>
    </row>
    <row r="25">
      <c r="A25" t="n">
        <v>256</v>
      </c>
      <c r="B25" t="n">
        <v>410.74</v>
      </c>
      <c r="C25">
        <f>C14+A25*1024*C12</f>
        <v/>
      </c>
      <c r="D25">
        <f>B25/C25</f>
        <v/>
      </c>
      <c r="E25" t="n">
        <v>1.24</v>
      </c>
      <c r="F25">
        <f>A25*1024/(C25*0.000001)/1000000000*C13</f>
        <v/>
      </c>
      <c r="G25">
        <f>E25/F25</f>
        <v/>
      </c>
    </row>
    <row r="26">
      <c r="A26" t="n">
        <v>512</v>
      </c>
      <c r="B26" t="n">
        <v>636.6799999999999</v>
      </c>
      <c r="C26">
        <f>C14+A26*1024*C12</f>
        <v/>
      </c>
      <c r="D26">
        <f>B26/C26</f>
        <v/>
      </c>
      <c r="E26" t="n">
        <v>1.6</v>
      </c>
      <c r="F26">
        <f>A26*1024/(C26*0.000001)/1000000000*C13</f>
        <v/>
      </c>
      <c r="G26">
        <f>E26/F26</f>
        <v/>
      </c>
    </row>
    <row r="27">
      <c r="A27" t="n">
        <v>1024</v>
      </c>
      <c r="B27" t="n">
        <v>1088.42</v>
      </c>
      <c r="C27">
        <f>C14+A27*1024*C12</f>
        <v/>
      </c>
      <c r="D27">
        <f>B27/C27</f>
        <v/>
      </c>
      <c r="E27" t="n">
        <v>1.87</v>
      </c>
      <c r="F27">
        <f>A27*1024/(C27*0.000001)/1000000000*C13</f>
        <v/>
      </c>
      <c r="G27">
        <f>E27/F27</f>
        <v/>
      </c>
    </row>
    <row r="28">
      <c r="A28" t="n">
        <v>2048</v>
      </c>
      <c r="B28" t="n">
        <v>1175.42</v>
      </c>
      <c r="C28">
        <f>C14+A28*1024*C12</f>
        <v/>
      </c>
      <c r="D28">
        <f>B28/C28</f>
        <v/>
      </c>
      <c r="E28" t="n">
        <v>3.46</v>
      </c>
      <c r="F28">
        <f>A28*1024/(C28*0.000001)/1000000000*C13</f>
        <v/>
      </c>
      <c r="G28">
        <f>E28/F28</f>
        <v/>
      </c>
    </row>
    <row r="29">
      <c r="A29" t="n">
        <v>4096</v>
      </c>
      <c r="B29" t="n">
        <v>1345.63</v>
      </c>
      <c r="C29">
        <f>C14+A29*1024*C12</f>
        <v/>
      </c>
      <c r="D29">
        <f>B29/C29</f>
        <v/>
      </c>
      <c r="E29" t="n">
        <v>6.04</v>
      </c>
      <c r="F29">
        <f>A29*1024/(C29*0.000001)/1000000000*C13</f>
        <v/>
      </c>
      <c r="G29">
        <f>E29/F29</f>
        <v/>
      </c>
    </row>
    <row r="30">
      <c r="A30" t="n">
        <v>8192</v>
      </c>
      <c r="B30" t="n">
        <v>1871.29</v>
      </c>
      <c r="C30">
        <f>C14+A30*1024*C12</f>
        <v/>
      </c>
      <c r="D30">
        <f>B30/C30</f>
        <v/>
      </c>
      <c r="E30" t="n">
        <v>8.69</v>
      </c>
      <c r="F30">
        <f>A30*1024/(C30*0.000001)/1000000000*C13</f>
        <v/>
      </c>
      <c r="G30">
        <f>E30/F30</f>
        <v/>
      </c>
    </row>
    <row r="31">
      <c r="A31" t="n">
        <v>16384</v>
      </c>
      <c r="B31" t="n">
        <v>2973.12</v>
      </c>
      <c r="C31">
        <f>C14+A31*1024*C12</f>
        <v/>
      </c>
      <c r="D31">
        <f>B31/C31</f>
        <v/>
      </c>
      <c r="E31" t="n">
        <v>10.93</v>
      </c>
      <c r="F31">
        <f>A31*1024/(C31*0.000001)/1000000000*C13</f>
        <v/>
      </c>
      <c r="G31">
        <f>E31/F31</f>
        <v/>
      </c>
    </row>
    <row r="32">
      <c r="A32" t="n">
        <v>32768</v>
      </c>
      <c r="B32" t="n">
        <v>5071.6</v>
      </c>
      <c r="C32">
        <f>C14+A32*1024*C12</f>
        <v/>
      </c>
      <c r="D32">
        <f>B32/C32</f>
        <v/>
      </c>
      <c r="E32" t="n">
        <v>12.82</v>
      </c>
      <c r="F32">
        <f>A32*1024/(C32*0.000001)/1000000000*C13</f>
        <v/>
      </c>
      <c r="G32">
        <f>E32/F32</f>
        <v/>
      </c>
    </row>
    <row r="33">
      <c r="A33" t="n">
        <v>65536</v>
      </c>
      <c r="B33" t="n">
        <v>9301.18</v>
      </c>
      <c r="C33">
        <f>C14+A33*1024*C12</f>
        <v/>
      </c>
      <c r="D33">
        <f>B33/C33</f>
        <v/>
      </c>
      <c r="E33" t="n">
        <v>13.98</v>
      </c>
      <c r="F33">
        <f>A33*1024/(C33*0.000001)/1000000000*C13</f>
        <v/>
      </c>
      <c r="G33">
        <f>E33/F33</f>
        <v/>
      </c>
    </row>
    <row r="34">
      <c r="A34" t="n">
        <v>131072</v>
      </c>
      <c r="B34" t="n">
        <v>17738.7</v>
      </c>
      <c r="C34">
        <f>C14+A34*1024*C12</f>
        <v/>
      </c>
      <c r="D34">
        <f>B34/C34</f>
        <v/>
      </c>
      <c r="E34" t="n">
        <v>14.66</v>
      </c>
      <c r="F34">
        <f>A34*1024/(C34*0.000001)/1000000000*C13</f>
        <v/>
      </c>
      <c r="G34">
        <f>E34/F34</f>
        <v/>
      </c>
    </row>
    <row r="35">
      <c r="A35" t="n">
        <v>262144</v>
      </c>
      <c r="B35" t="n">
        <v>34615.9</v>
      </c>
      <c r="C35">
        <f>C14+A35*1024*C12</f>
        <v/>
      </c>
      <c r="D35">
        <f>B35/C35</f>
        <v/>
      </c>
      <c r="E35" t="n">
        <v>15.02</v>
      </c>
      <c r="F35">
        <f>A35*1024/(C35*0.000001)/1000000000*C13</f>
        <v/>
      </c>
      <c r="G35">
        <f>E35/F35</f>
        <v/>
      </c>
    </row>
    <row r="36">
      <c r="A36" t="n">
        <v>524288</v>
      </c>
      <c r="B36" t="n">
        <v>68342.8</v>
      </c>
      <c r="C36">
        <f>C14+A36*1024*C12</f>
        <v/>
      </c>
      <c r="D36">
        <f>B36/C36</f>
        <v/>
      </c>
      <c r="E36" t="n">
        <v>15.22</v>
      </c>
      <c r="F36">
        <f>A36*1024/(C36*0.000001)/1000000000*C13</f>
        <v/>
      </c>
      <c r="G36">
        <f>E36/F36</f>
        <v/>
      </c>
    </row>
    <row r="37">
      <c r="A37" t="n">
        <v>1048576</v>
      </c>
      <c r="B37" t="n">
        <v>135819</v>
      </c>
      <c r="C37">
        <f>C14+A37*1024*C12</f>
        <v/>
      </c>
      <c r="D37">
        <f>B37/C37</f>
        <v/>
      </c>
      <c r="E37" t="n">
        <v>15.32</v>
      </c>
      <c r="F37">
        <f>A37*1024/(C37*0.000001)/1000000000*C13</f>
        <v/>
      </c>
      <c r="G37">
        <f>E37/F37</f>
        <v/>
      </c>
    </row>
    <row r="38">
      <c r="A38" t="n">
        <v>2097152</v>
      </c>
      <c r="B38" t="n">
        <v>270699</v>
      </c>
      <c r="C38">
        <f>C14+A38*1024*C12</f>
        <v/>
      </c>
      <c r="D38">
        <f>B38/C38</f>
        <v/>
      </c>
      <c r="E38" t="n">
        <v>15.37</v>
      </c>
      <c r="F38">
        <f>A38*1024/(C38*0.000001)/1000000000*C13</f>
        <v/>
      </c>
      <c r="G38">
        <f>E38/F38</f>
        <v/>
      </c>
    </row>
    <row r="39">
      <c r="A39" t="n">
        <v>4194304</v>
      </c>
      <c r="B39" t="n">
        <v>540515</v>
      </c>
      <c r="C39">
        <f>C14+A39*1024*C12</f>
        <v/>
      </c>
      <c r="D39">
        <f>B39/C39</f>
        <v/>
      </c>
      <c r="E39" t="n">
        <v>15.4</v>
      </c>
      <c r="F39">
        <f>A39*1024/(C39*0.000001)/1000000000*C13</f>
        <v/>
      </c>
      <c r="G39">
        <f>E39/F39</f>
        <v/>
      </c>
    </row>
    <row r="40"/>
    <row r="41">
      <c r="A41" t="inlineStr">
        <is>
          <t>Nodes: 4, Protocol: Simple, Channels: 2</t>
        </is>
      </c>
    </row>
    <row r="42">
      <c r="A42" t="inlineStr">
        <is>
          <t>Parameter</t>
        </is>
      </c>
      <c r="B42" t="inlineStr">
        <is>
          <t>Formula</t>
        </is>
      </c>
      <c r="C42" t="inlineStr">
        <is>
          <t>Value</t>
        </is>
      </c>
    </row>
    <row r="43">
      <c r="A43" t="inlineStr">
        <is>
          <t>N</t>
        </is>
      </c>
      <c r="B43" t="inlineStr">
        <is>
          <t>nodes</t>
        </is>
      </c>
      <c r="C43" t="n">
        <v>4</v>
      </c>
    </row>
    <row r="44">
      <c r="A44" t="inlineStr">
        <is>
          <t>n</t>
        </is>
      </c>
      <c r="B44" t="inlineStr">
        <is>
          <t>GPUs/node</t>
        </is>
      </c>
      <c r="C44" t="n">
        <v>8</v>
      </c>
    </row>
    <row r="45">
      <c r="A45" t="inlineStr">
        <is>
          <t>n_total</t>
        </is>
      </c>
      <c r="B45" t="inlineStr">
        <is>
          <t>N*n</t>
        </is>
      </c>
      <c r="C45" t="n">
        <v>32</v>
      </c>
    </row>
    <row r="46">
      <c r="A46" t="inlineStr">
        <is>
          <t>nch_raw</t>
        </is>
      </c>
      <c r="B46" t="inlineStr">
        <is>
          <t>raw channels</t>
        </is>
      </c>
      <c r="C46" t="n">
        <v>2</v>
      </c>
    </row>
    <row r="47">
      <c r="A47" t="inlineStr">
        <is>
          <t>nch_eff</t>
        </is>
      </c>
      <c r="B47" t="inlineStr">
        <is>
          <t>min(nch_raw,8)</t>
        </is>
      </c>
      <c r="C47" t="n">
        <v>2</v>
      </c>
    </row>
    <row r="48">
      <c r="A48" t="inlineStr">
        <is>
          <t>a</t>
        </is>
      </c>
      <c r="B48" t="inlineStr">
        <is>
          <t>RTT (us)</t>
        </is>
      </c>
      <c r="C48" t="n">
        <v>24.92</v>
      </c>
    </row>
    <row r="49">
      <c r="A49" t="inlineStr">
        <is>
          <t>NIC_BW</t>
        </is>
      </c>
      <c r="B49" t="inlineStr">
        <is>
          <t>bytes/us</t>
        </is>
      </c>
      <c r="C49" t="n">
        <v>48750</v>
      </c>
    </row>
    <row r="50">
      <c r="A50" t="inlineStr">
        <is>
          <t>intra_node_tree_latency</t>
        </is>
      </c>
      <c r="B50" t="inlineStr">
        <is>
          <t>us</t>
        </is>
      </c>
      <c r="C50" t="n">
        <v>8.4</v>
      </c>
    </row>
    <row r="51">
      <c r="A51" t="inlineStr">
        <is>
          <t>NIC_BW_REAL</t>
        </is>
      </c>
      <c r="B51" t="inlineStr">
        <is>
          <t>nch_eff*NIC_BW/3</t>
        </is>
      </c>
      <c r="C51">
        <f>C47*C49/3</f>
        <v/>
      </c>
    </row>
    <row r="52">
      <c r="A52" t="inlineStr">
        <is>
          <t>G</t>
        </is>
      </c>
      <c r="B52" t="inlineStr">
        <is>
          <t>1/NIC_BW_REAL</t>
        </is>
      </c>
      <c r="C52">
        <f>1/C51</f>
        <v/>
      </c>
    </row>
    <row r="53">
      <c r="A53" t="inlineStr">
        <is>
          <t>busbw_factor</t>
        </is>
      </c>
      <c r="B53" t="inlineStr">
        <is>
          <t>2*(n_total-1)/n_total</t>
        </is>
      </c>
      <c r="C53">
        <f>2*(C45-1)/C45</f>
        <v/>
      </c>
    </row>
    <row r="54">
      <c r="A54" t="inlineStr">
        <is>
          <t>fixed_overhead</t>
        </is>
      </c>
      <c r="B54" t="inlineStr">
        <is>
          <t>(2*LOG2(N)+1)*a/2+2*intra</t>
        </is>
      </c>
      <c r="C54">
        <f>(2*LOG(C43,2)+1)*C48/2+2*C50</f>
        <v/>
      </c>
    </row>
    <row r="55"/>
    <row r="56">
      <c r="A56" t="inlineStr">
        <is>
          <t>size_KB</t>
        </is>
      </c>
      <c r="B56" t="inlineStr">
        <is>
          <t>Actual Time (us)</t>
        </is>
      </c>
      <c r="C56" t="inlineStr">
        <is>
          <t>Roofline Time (us)</t>
        </is>
      </c>
      <c r="D56" t="inlineStr">
        <is>
          <t>Actual/Roofline</t>
        </is>
      </c>
      <c r="E56" t="inlineStr">
        <is>
          <t>Actual busBW (GB/s)</t>
        </is>
      </c>
      <c r="F56" t="inlineStr">
        <is>
          <t>Roofline busBW (GB/s)</t>
        </is>
      </c>
      <c r="G56" t="inlineStr">
        <is>
          <t>Meas/Roof busBW</t>
        </is>
      </c>
    </row>
    <row r="57">
      <c r="A57" t="n">
        <v>1</v>
      </c>
      <c r="B57" t="n">
        <v>142.61</v>
      </c>
      <c r="C57">
        <f>C54+A57*1024*C52</f>
        <v/>
      </c>
      <c r="D57">
        <f>B57/C57</f>
        <v/>
      </c>
      <c r="E57" t="n">
        <v>0.01</v>
      </c>
      <c r="F57">
        <f>A57*1024/(C57*0.000001)/1000000000*C53</f>
        <v/>
      </c>
      <c r="G57">
        <f>E57/F57</f>
        <v/>
      </c>
    </row>
    <row r="58">
      <c r="A58" t="n">
        <v>2</v>
      </c>
      <c r="B58" t="n">
        <v>145.03</v>
      </c>
      <c r="C58">
        <f>C54+A58*1024*C52</f>
        <v/>
      </c>
      <c r="D58">
        <f>B58/C58</f>
        <v/>
      </c>
      <c r="E58" t="n">
        <v>0.03</v>
      </c>
      <c r="F58">
        <f>A58*1024/(C58*0.000001)/1000000000*C53</f>
        <v/>
      </c>
      <c r="G58">
        <f>E58/F58</f>
        <v/>
      </c>
    </row>
    <row r="59">
      <c r="A59" t="n">
        <v>4</v>
      </c>
      <c r="B59" t="n">
        <v>148.84</v>
      </c>
      <c r="C59">
        <f>C54+A59*1024*C52</f>
        <v/>
      </c>
      <c r="D59">
        <f>B59/C59</f>
        <v/>
      </c>
      <c r="E59" t="n">
        <v>0.05</v>
      </c>
      <c r="F59">
        <f>A59*1024/(C59*0.000001)/1000000000*C53</f>
        <v/>
      </c>
      <c r="G59">
        <f>E59/F59</f>
        <v/>
      </c>
    </row>
    <row r="60">
      <c r="A60" t="n">
        <v>8</v>
      </c>
      <c r="B60" t="n">
        <v>158.87</v>
      </c>
      <c r="C60">
        <f>C54+A60*1024*C52</f>
        <v/>
      </c>
      <c r="D60">
        <f>B60/C60</f>
        <v/>
      </c>
      <c r="E60" t="n">
        <v>0.1</v>
      </c>
      <c r="F60">
        <f>A60*1024/(C60*0.000001)/1000000000*C53</f>
        <v/>
      </c>
      <c r="G60">
        <f>E60/F60</f>
        <v/>
      </c>
    </row>
    <row r="61">
      <c r="A61" t="n">
        <v>16</v>
      </c>
      <c r="B61" t="n">
        <v>181.09</v>
      </c>
      <c r="C61">
        <f>C54+A61*1024*C52</f>
        <v/>
      </c>
      <c r="D61">
        <f>B61/C61</f>
        <v/>
      </c>
      <c r="E61" t="n">
        <v>0.18</v>
      </c>
      <c r="F61">
        <f>A61*1024/(C61*0.000001)/1000000000*C53</f>
        <v/>
      </c>
      <c r="G61">
        <f>E61/F61</f>
        <v/>
      </c>
    </row>
    <row r="62">
      <c r="A62" t="n">
        <v>32</v>
      </c>
      <c r="B62" t="n">
        <v>203.72</v>
      </c>
      <c r="C62">
        <f>C54+A62*1024*C52</f>
        <v/>
      </c>
      <c r="D62">
        <f>B62/C62</f>
        <v/>
      </c>
      <c r="E62" t="n">
        <v>0.31</v>
      </c>
      <c r="F62">
        <f>A62*1024/(C62*0.000001)/1000000000*C53</f>
        <v/>
      </c>
      <c r="G62">
        <f>E62/F62</f>
        <v/>
      </c>
    </row>
    <row r="63">
      <c r="A63" t="n">
        <v>64</v>
      </c>
      <c r="B63" t="n">
        <v>206.1</v>
      </c>
      <c r="C63">
        <f>C54+A63*1024*C52</f>
        <v/>
      </c>
      <c r="D63">
        <f>B63/C63</f>
        <v/>
      </c>
      <c r="E63" t="n">
        <v>0.62</v>
      </c>
      <c r="F63">
        <f>A63*1024/(C63*0.000001)/1000000000*C53</f>
        <v/>
      </c>
      <c r="G63">
        <f>E63/F63</f>
        <v/>
      </c>
    </row>
    <row r="64">
      <c r="A64" t="n">
        <v>128</v>
      </c>
      <c r="B64" t="n">
        <v>241</v>
      </c>
      <c r="C64">
        <f>C54+A64*1024*C52</f>
        <v/>
      </c>
      <c r="D64">
        <f>B64/C64</f>
        <v/>
      </c>
      <c r="E64" t="n">
        <v>1.05</v>
      </c>
      <c r="F64">
        <f>A64*1024/(C64*0.000001)/1000000000*C53</f>
        <v/>
      </c>
      <c r="G64">
        <f>E64/F64</f>
        <v/>
      </c>
    </row>
    <row r="65">
      <c r="A65" t="n">
        <v>256</v>
      </c>
      <c r="B65" t="n">
        <v>308.63</v>
      </c>
      <c r="C65">
        <f>C54+A65*1024*C52</f>
        <v/>
      </c>
      <c r="D65">
        <f>B65/C65</f>
        <v/>
      </c>
      <c r="E65" t="n">
        <v>1.65</v>
      </c>
      <c r="F65">
        <f>A65*1024/(C65*0.000001)/1000000000*C53</f>
        <v/>
      </c>
      <c r="G65">
        <f>E65/F65</f>
        <v/>
      </c>
    </row>
    <row r="66">
      <c r="A66" t="n">
        <v>512</v>
      </c>
      <c r="B66" t="n">
        <v>415.21</v>
      </c>
      <c r="C66">
        <f>C54+A66*1024*C52</f>
        <v/>
      </c>
      <c r="D66">
        <f>B66/C66</f>
        <v/>
      </c>
      <c r="E66" t="n">
        <v>2.45</v>
      </c>
      <c r="F66">
        <f>A66*1024/(C66*0.000001)/1000000000*C53</f>
        <v/>
      </c>
      <c r="G66">
        <f>E66/F66</f>
        <v/>
      </c>
    </row>
    <row r="67">
      <c r="A67" t="n">
        <v>1024</v>
      </c>
      <c r="B67" t="n">
        <v>640.11</v>
      </c>
      <c r="C67">
        <f>C54+A67*1024*C52</f>
        <v/>
      </c>
      <c r="D67">
        <f>B67/C67</f>
        <v/>
      </c>
      <c r="E67" t="n">
        <v>3.17</v>
      </c>
      <c r="F67">
        <f>A67*1024/(C67*0.000001)/1000000000*C53</f>
        <v/>
      </c>
      <c r="G67">
        <f>E67/F67</f>
        <v/>
      </c>
    </row>
    <row r="68">
      <c r="A68" t="n">
        <v>2048</v>
      </c>
      <c r="B68" t="n">
        <v>1094.49</v>
      </c>
      <c r="C68">
        <f>C54+A68*1024*C52</f>
        <v/>
      </c>
      <c r="D68">
        <f>B68/C68</f>
        <v/>
      </c>
      <c r="E68" t="n">
        <v>3.71</v>
      </c>
      <c r="F68">
        <f>A68*1024/(C68*0.000001)/1000000000*C53</f>
        <v/>
      </c>
      <c r="G68">
        <f>E68/F68</f>
        <v/>
      </c>
    </row>
    <row r="69">
      <c r="A69" t="n">
        <v>4096</v>
      </c>
      <c r="B69" t="n">
        <v>1184.45</v>
      </c>
      <c r="C69">
        <f>C54+A69*1024*C52</f>
        <v/>
      </c>
      <c r="D69">
        <f>B69/C69</f>
        <v/>
      </c>
      <c r="E69" t="n">
        <v>6.86</v>
      </c>
      <c r="F69">
        <f>A69*1024/(C69*0.000001)/1000000000*C53</f>
        <v/>
      </c>
      <c r="G69">
        <f>E69/F69</f>
        <v/>
      </c>
    </row>
    <row r="70">
      <c r="A70" t="n">
        <v>8192</v>
      </c>
      <c r="B70" t="n">
        <v>1363.61</v>
      </c>
      <c r="C70">
        <f>C54+A70*1024*C52</f>
        <v/>
      </c>
      <c r="D70">
        <f>B70/C70</f>
        <v/>
      </c>
      <c r="E70" t="n">
        <v>11.92</v>
      </c>
      <c r="F70">
        <f>A70*1024/(C70*0.000001)/1000000000*C53</f>
        <v/>
      </c>
      <c r="G70">
        <f>E70/F70</f>
        <v/>
      </c>
    </row>
    <row r="71">
      <c r="A71" t="n">
        <v>16384</v>
      </c>
      <c r="B71" t="n">
        <v>1947.64</v>
      </c>
      <c r="C71">
        <f>C54+A71*1024*C52</f>
        <v/>
      </c>
      <c r="D71">
        <f>B71/C71</f>
        <v/>
      </c>
      <c r="E71" t="n">
        <v>16.69</v>
      </c>
      <c r="F71">
        <f>A71*1024/(C71*0.000001)/1000000000*C53</f>
        <v/>
      </c>
      <c r="G71">
        <f>E71/F71</f>
        <v/>
      </c>
    </row>
    <row r="72">
      <c r="A72" t="n">
        <v>32768</v>
      </c>
      <c r="B72" t="n">
        <v>3023.17</v>
      </c>
      <c r="C72">
        <f>C54+A72*1024*C52</f>
        <v/>
      </c>
      <c r="D72">
        <f>B72/C72</f>
        <v/>
      </c>
      <c r="E72" t="n">
        <v>21.5</v>
      </c>
      <c r="F72">
        <f>A72*1024/(C72*0.000001)/1000000000*C53</f>
        <v/>
      </c>
      <c r="G72">
        <f>E72/F72</f>
        <v/>
      </c>
    </row>
    <row r="73">
      <c r="A73" t="n">
        <v>65536</v>
      </c>
      <c r="B73" t="n">
        <v>5134.5</v>
      </c>
      <c r="C73">
        <f>C54+A73*1024*C52</f>
        <v/>
      </c>
      <c r="D73">
        <f>B73/C73</f>
        <v/>
      </c>
      <c r="E73" t="n">
        <v>25.32</v>
      </c>
      <c r="F73">
        <f>A73*1024/(C73*0.000001)/1000000000*C53</f>
        <v/>
      </c>
      <c r="G73">
        <f>E73/F73</f>
        <v/>
      </c>
    </row>
    <row r="74">
      <c r="A74" t="n">
        <v>131072</v>
      </c>
      <c r="B74" t="n">
        <v>9377.58</v>
      </c>
      <c r="C74">
        <f>C54+A74*1024*C52</f>
        <v/>
      </c>
      <c r="D74">
        <f>B74/C74</f>
        <v/>
      </c>
      <c r="E74" t="n">
        <v>27.73</v>
      </c>
      <c r="F74">
        <f>A74*1024/(C74*0.000001)/1000000000*C53</f>
        <v/>
      </c>
      <c r="G74">
        <f>E74/F74</f>
        <v/>
      </c>
    </row>
    <row r="75">
      <c r="A75" t="n">
        <v>262144</v>
      </c>
      <c r="B75" t="n">
        <v>17847.7</v>
      </c>
      <c r="C75">
        <f>C54+A75*1024*C52</f>
        <v/>
      </c>
      <c r="D75">
        <f>B75/C75</f>
        <v/>
      </c>
      <c r="E75" t="n">
        <v>29.14</v>
      </c>
      <c r="F75">
        <f>A75*1024/(C75*0.000001)/1000000000*C53</f>
        <v/>
      </c>
      <c r="G75">
        <f>E75/F75</f>
        <v/>
      </c>
    </row>
    <row r="76">
      <c r="A76" t="n">
        <v>524288</v>
      </c>
      <c r="B76" t="n">
        <v>34773.6</v>
      </c>
      <c r="C76">
        <f>C54+A76*1024*C52</f>
        <v/>
      </c>
      <c r="D76">
        <f>B76/C76</f>
        <v/>
      </c>
      <c r="E76" t="n">
        <v>29.91</v>
      </c>
      <c r="F76">
        <f>A76*1024/(C76*0.000001)/1000000000*C53</f>
        <v/>
      </c>
      <c r="G76">
        <f>E76/F76</f>
        <v/>
      </c>
    </row>
    <row r="77">
      <c r="A77" t="n">
        <v>1048576</v>
      </c>
      <c r="B77" t="n">
        <v>68608.7</v>
      </c>
      <c r="C77">
        <f>C54+A77*1024*C52</f>
        <v/>
      </c>
      <c r="D77">
        <f>B77/C77</f>
        <v/>
      </c>
      <c r="E77" t="n">
        <v>30.32</v>
      </c>
      <c r="F77">
        <f>A77*1024/(C77*0.000001)/1000000000*C53</f>
        <v/>
      </c>
      <c r="G77">
        <f>E77/F77</f>
        <v/>
      </c>
    </row>
    <row r="78">
      <c r="A78" t="n">
        <v>2097152</v>
      </c>
      <c r="B78" t="n">
        <v>136287</v>
      </c>
      <c r="C78">
        <f>C54+A78*1024*C52</f>
        <v/>
      </c>
      <c r="D78">
        <f>B78/C78</f>
        <v/>
      </c>
      <c r="E78" t="n">
        <v>30.53</v>
      </c>
      <c r="F78">
        <f>A78*1024/(C78*0.000001)/1000000000*C53</f>
        <v/>
      </c>
      <c r="G78">
        <f>E78/F78</f>
        <v/>
      </c>
    </row>
    <row r="79">
      <c r="A79" t="n">
        <v>4194304</v>
      </c>
      <c r="B79" t="n">
        <v>271662</v>
      </c>
      <c r="C79">
        <f>C54+A79*1024*C52</f>
        <v/>
      </c>
      <c r="D79">
        <f>B79/C79</f>
        <v/>
      </c>
      <c r="E79" t="n">
        <v>30.63</v>
      </c>
      <c r="F79">
        <f>A79*1024/(C79*0.000001)/1000000000*C53</f>
        <v/>
      </c>
      <c r="G79">
        <f>E79/F79</f>
        <v/>
      </c>
    </row>
    <row r="80"/>
    <row r="81">
      <c r="A81" t="inlineStr">
        <is>
          <t>Nodes: 4, Protocol: Simple, Channels: 4</t>
        </is>
      </c>
    </row>
    <row r="82">
      <c r="A82" t="inlineStr">
        <is>
          <t>Parameter</t>
        </is>
      </c>
      <c r="B82" t="inlineStr">
        <is>
          <t>Formula</t>
        </is>
      </c>
      <c r="C82" t="inlineStr">
        <is>
          <t>Value</t>
        </is>
      </c>
    </row>
    <row r="83">
      <c r="A83" t="inlineStr">
        <is>
          <t>N</t>
        </is>
      </c>
      <c r="B83" t="inlineStr">
        <is>
          <t>nodes</t>
        </is>
      </c>
      <c r="C83" t="n">
        <v>4</v>
      </c>
    </row>
    <row r="84">
      <c r="A84" t="inlineStr">
        <is>
          <t>n</t>
        </is>
      </c>
      <c r="B84" t="inlineStr">
        <is>
          <t>GPUs/node</t>
        </is>
      </c>
      <c r="C84" t="n">
        <v>8</v>
      </c>
    </row>
    <row r="85">
      <c r="A85" t="inlineStr">
        <is>
          <t>n_total</t>
        </is>
      </c>
      <c r="B85" t="inlineStr">
        <is>
          <t>N*n</t>
        </is>
      </c>
      <c r="C85" t="n">
        <v>32</v>
      </c>
    </row>
    <row r="86">
      <c r="A86" t="inlineStr">
        <is>
          <t>nch_raw</t>
        </is>
      </c>
      <c r="B86" t="inlineStr">
        <is>
          <t>raw channels</t>
        </is>
      </c>
      <c r="C86" t="n">
        <v>4</v>
      </c>
    </row>
    <row r="87">
      <c r="A87" t="inlineStr">
        <is>
          <t>nch_eff</t>
        </is>
      </c>
      <c r="B87" t="inlineStr">
        <is>
          <t>min(nch_raw,8)</t>
        </is>
      </c>
      <c r="C87" t="n">
        <v>4</v>
      </c>
    </row>
    <row r="88">
      <c r="A88" t="inlineStr">
        <is>
          <t>a</t>
        </is>
      </c>
      <c r="B88" t="inlineStr">
        <is>
          <t>RTT (us)</t>
        </is>
      </c>
      <c r="C88" t="n">
        <v>24.92</v>
      </c>
    </row>
    <row r="89">
      <c r="A89" t="inlineStr">
        <is>
          <t>NIC_BW</t>
        </is>
      </c>
      <c r="B89" t="inlineStr">
        <is>
          <t>bytes/us</t>
        </is>
      </c>
      <c r="C89" t="n">
        <v>48750</v>
      </c>
    </row>
    <row r="90">
      <c r="A90" t="inlineStr">
        <is>
          <t>intra_node_tree_latency</t>
        </is>
      </c>
      <c r="B90" t="inlineStr">
        <is>
          <t>us</t>
        </is>
      </c>
      <c r="C90" t="n">
        <v>8.4</v>
      </c>
    </row>
    <row r="91">
      <c r="A91" t="inlineStr">
        <is>
          <t>NIC_BW_REAL</t>
        </is>
      </c>
      <c r="B91" t="inlineStr">
        <is>
          <t>nch_eff*NIC_BW/3</t>
        </is>
      </c>
      <c r="C91">
        <f>C87*C89/3</f>
        <v/>
      </c>
    </row>
    <row r="92">
      <c r="A92" t="inlineStr">
        <is>
          <t>G</t>
        </is>
      </c>
      <c r="B92" t="inlineStr">
        <is>
          <t>1/NIC_BW_REAL</t>
        </is>
      </c>
      <c r="C92">
        <f>1/C91</f>
        <v/>
      </c>
    </row>
    <row r="93">
      <c r="A93" t="inlineStr">
        <is>
          <t>busbw_factor</t>
        </is>
      </c>
      <c r="B93" t="inlineStr">
        <is>
          <t>2*(n_total-1)/n_total</t>
        </is>
      </c>
      <c r="C93">
        <f>2*(C85-1)/C85</f>
        <v/>
      </c>
    </row>
    <row r="94">
      <c r="A94" t="inlineStr">
        <is>
          <t>fixed_overhead</t>
        </is>
      </c>
      <c r="B94" t="inlineStr">
        <is>
          <t>(2*LOG2(N)+1)*a/2+2*intra</t>
        </is>
      </c>
      <c r="C94">
        <f>(2*LOG(C83,2)+1)*C88/2+2*C90</f>
        <v/>
      </c>
    </row>
    <row r="95"/>
    <row r="96">
      <c r="A96" t="inlineStr">
        <is>
          <t>size_KB</t>
        </is>
      </c>
      <c r="B96" t="inlineStr">
        <is>
          <t>Actual Time (us)</t>
        </is>
      </c>
      <c r="C96" t="inlineStr">
        <is>
          <t>Roofline Time (us)</t>
        </is>
      </c>
      <c r="D96" t="inlineStr">
        <is>
          <t>Actual/Roofline</t>
        </is>
      </c>
      <c r="E96" t="inlineStr">
        <is>
          <t>Actual busBW (GB/s)</t>
        </is>
      </c>
      <c r="F96" t="inlineStr">
        <is>
          <t>Roofline busBW (GB/s)</t>
        </is>
      </c>
      <c r="G96" t="inlineStr">
        <is>
          <t>Meas/Roof busBW</t>
        </is>
      </c>
    </row>
    <row r="97">
      <c r="A97" t="n">
        <v>1</v>
      </c>
      <c r="B97" t="n">
        <v>144.78</v>
      </c>
      <c r="C97">
        <f>C94+A97*1024*C92</f>
        <v/>
      </c>
      <c r="D97">
        <f>B97/C97</f>
        <v/>
      </c>
      <c r="E97" t="n">
        <v>0.01</v>
      </c>
      <c r="F97">
        <f>A97*1024/(C97*0.000001)/1000000000*C93</f>
        <v/>
      </c>
      <c r="G97">
        <f>E97/F97</f>
        <v/>
      </c>
    </row>
    <row r="98">
      <c r="A98" t="n">
        <v>2</v>
      </c>
      <c r="B98" t="n">
        <v>145.07</v>
      </c>
      <c r="C98">
        <f>C94+A98*1024*C92</f>
        <v/>
      </c>
      <c r="D98">
        <f>B98/C98</f>
        <v/>
      </c>
      <c r="E98" t="n">
        <v>0.03</v>
      </c>
      <c r="F98">
        <f>A98*1024/(C98*0.000001)/1000000000*C93</f>
        <v/>
      </c>
      <c r="G98">
        <f>E98/F98</f>
        <v/>
      </c>
    </row>
    <row r="99">
      <c r="A99" t="n">
        <v>4</v>
      </c>
      <c r="B99" t="n">
        <v>150.15</v>
      </c>
      <c r="C99">
        <f>C94+A99*1024*C92</f>
        <v/>
      </c>
      <c r="D99">
        <f>B99/C99</f>
        <v/>
      </c>
      <c r="E99" t="n">
        <v>0.05</v>
      </c>
      <c r="F99">
        <f>A99*1024/(C99*0.000001)/1000000000*C93</f>
        <v/>
      </c>
      <c r="G99">
        <f>E99/F99</f>
        <v/>
      </c>
    </row>
    <row r="100">
      <c r="A100" t="n">
        <v>8</v>
      </c>
      <c r="B100" t="n">
        <v>160.07</v>
      </c>
      <c r="C100">
        <f>C94+A100*1024*C92</f>
        <v/>
      </c>
      <c r="D100">
        <f>B100/C100</f>
        <v/>
      </c>
      <c r="E100" t="n">
        <v>0.1</v>
      </c>
      <c r="F100">
        <f>A100*1024/(C100*0.000001)/1000000000*C93</f>
        <v/>
      </c>
      <c r="G100">
        <f>E100/F100</f>
        <v/>
      </c>
    </row>
    <row r="101">
      <c r="A101" t="n">
        <v>16</v>
      </c>
      <c r="B101" t="n">
        <v>181.58</v>
      </c>
      <c r="C101">
        <f>C94+A101*1024*C92</f>
        <v/>
      </c>
      <c r="D101">
        <f>B101/C101</f>
        <v/>
      </c>
      <c r="E101" t="n">
        <v>0.17</v>
      </c>
      <c r="F101">
        <f>A101*1024/(C101*0.000001)/1000000000*C93</f>
        <v/>
      </c>
      <c r="G101">
        <f>E101/F101</f>
        <v/>
      </c>
    </row>
    <row r="102">
      <c r="A102" t="n">
        <v>32</v>
      </c>
      <c r="B102" t="n">
        <v>204.6</v>
      </c>
      <c r="C102">
        <f>C94+A102*1024*C92</f>
        <v/>
      </c>
      <c r="D102">
        <f>B102/C102</f>
        <v/>
      </c>
      <c r="E102" t="n">
        <v>0.31</v>
      </c>
      <c r="F102">
        <f>A102*1024/(C102*0.000001)/1000000000*C93</f>
        <v/>
      </c>
      <c r="G102">
        <f>E102/F102</f>
        <v/>
      </c>
    </row>
    <row r="103">
      <c r="A103" t="n">
        <v>64</v>
      </c>
      <c r="B103" t="n">
        <v>206.9</v>
      </c>
      <c r="C103">
        <f>C94+A103*1024*C92</f>
        <v/>
      </c>
      <c r="D103">
        <f>B103/C103</f>
        <v/>
      </c>
      <c r="E103" t="n">
        <v>0.61</v>
      </c>
      <c r="F103">
        <f>A103*1024/(C103*0.000001)/1000000000*C93</f>
        <v/>
      </c>
      <c r="G103">
        <f>E103/F103</f>
        <v/>
      </c>
    </row>
    <row r="104">
      <c r="A104" t="n">
        <v>128</v>
      </c>
      <c r="B104" t="n">
        <v>206.02</v>
      </c>
      <c r="C104">
        <f>C94+A104*1024*C92</f>
        <v/>
      </c>
      <c r="D104">
        <f>B104/C104</f>
        <v/>
      </c>
      <c r="E104" t="n">
        <v>1.23</v>
      </c>
      <c r="F104">
        <f>A104*1024/(C104*0.000001)/1000000000*C93</f>
        <v/>
      </c>
      <c r="G104">
        <f>E104/F104</f>
        <v/>
      </c>
    </row>
    <row r="105">
      <c r="A105" t="n">
        <v>256</v>
      </c>
      <c r="B105" t="n">
        <v>244.49</v>
      </c>
      <c r="C105">
        <f>C94+A105*1024*C92</f>
        <v/>
      </c>
      <c r="D105">
        <f>B105/C105</f>
        <v/>
      </c>
      <c r="E105" t="n">
        <v>2.08</v>
      </c>
      <c r="F105">
        <f>A105*1024/(C105*0.000001)/1000000000*C93</f>
        <v/>
      </c>
      <c r="G105">
        <f>E105/F105</f>
        <v/>
      </c>
    </row>
    <row r="106">
      <c r="A106" t="n">
        <v>512</v>
      </c>
      <c r="B106" t="n">
        <v>312.89</v>
      </c>
      <c r="C106">
        <f>C94+A106*1024*C92</f>
        <v/>
      </c>
      <c r="D106">
        <f>B106/C106</f>
        <v/>
      </c>
      <c r="E106" t="n">
        <v>3.25</v>
      </c>
      <c r="F106">
        <f>A106*1024/(C106*0.000001)/1000000000*C93</f>
        <v/>
      </c>
      <c r="G106">
        <f>E106/F106</f>
        <v/>
      </c>
    </row>
    <row r="107">
      <c r="A107" t="n">
        <v>1024</v>
      </c>
      <c r="B107" t="n">
        <v>418.49</v>
      </c>
      <c r="C107">
        <f>C94+A107*1024*C92</f>
        <v/>
      </c>
      <c r="D107">
        <f>B107/C107</f>
        <v/>
      </c>
      <c r="E107" t="n">
        <v>4.85</v>
      </c>
      <c r="F107">
        <f>A107*1024/(C107*0.000001)/1000000000*C93</f>
        <v/>
      </c>
      <c r="G107">
        <f>E107/F107</f>
        <v/>
      </c>
    </row>
    <row r="108">
      <c r="A108" t="n">
        <v>2048</v>
      </c>
      <c r="B108" t="n">
        <v>645.42</v>
      </c>
      <c r="C108">
        <f>C94+A108*1024*C92</f>
        <v/>
      </c>
      <c r="D108">
        <f>B108/C108</f>
        <v/>
      </c>
      <c r="E108" t="n">
        <v>6.3</v>
      </c>
      <c r="F108">
        <f>A108*1024/(C108*0.000001)/1000000000*C93</f>
        <v/>
      </c>
      <c r="G108">
        <f>E108/F108</f>
        <v/>
      </c>
    </row>
    <row r="109">
      <c r="A109" t="n">
        <v>4096</v>
      </c>
      <c r="B109" t="n">
        <v>1101.63</v>
      </c>
      <c r="C109">
        <f>C94+A109*1024*C92</f>
        <v/>
      </c>
      <c r="D109">
        <f>B109/C109</f>
        <v/>
      </c>
      <c r="E109" t="n">
        <v>7.38</v>
      </c>
      <c r="F109">
        <f>A109*1024/(C109*0.000001)/1000000000*C93</f>
        <v/>
      </c>
      <c r="G109">
        <f>E109/F109</f>
        <v/>
      </c>
    </row>
    <row r="110">
      <c r="A110" t="n">
        <v>8192</v>
      </c>
      <c r="B110" t="n">
        <v>1192.29</v>
      </c>
      <c r="C110">
        <f>C94+A110*1024*C92</f>
        <v/>
      </c>
      <c r="D110">
        <f>B110/C110</f>
        <v/>
      </c>
      <c r="E110" t="n">
        <v>13.63</v>
      </c>
      <c r="F110">
        <f>A110*1024/(C110*0.000001)/1000000000*C93</f>
        <v/>
      </c>
      <c r="G110">
        <f>E110/F110</f>
        <v/>
      </c>
    </row>
    <row r="111">
      <c r="A111" t="n">
        <v>16384</v>
      </c>
      <c r="B111" t="n">
        <v>1373.01</v>
      </c>
      <c r="C111">
        <f>C94+A111*1024*C92</f>
        <v/>
      </c>
      <c r="D111">
        <f>B111/C111</f>
        <v/>
      </c>
      <c r="E111" t="n">
        <v>23.67</v>
      </c>
      <c r="F111">
        <f>A111*1024/(C111*0.000001)/1000000000*C93</f>
        <v/>
      </c>
      <c r="G111">
        <f>E111/F111</f>
        <v/>
      </c>
    </row>
    <row r="112">
      <c r="A112" t="n">
        <v>32768</v>
      </c>
      <c r="B112" t="n">
        <v>1951.46</v>
      </c>
      <c r="C112">
        <f>C94+A112*1024*C92</f>
        <v/>
      </c>
      <c r="D112">
        <f>B112/C112</f>
        <v/>
      </c>
      <c r="E112" t="n">
        <v>33.31</v>
      </c>
      <c r="F112">
        <f>A112*1024/(C112*0.000001)/1000000000*C93</f>
        <v/>
      </c>
      <c r="G112">
        <f>E112/F112</f>
        <v/>
      </c>
    </row>
    <row r="113">
      <c r="A113" t="n">
        <v>65536</v>
      </c>
      <c r="B113" t="n">
        <v>3064.1</v>
      </c>
      <c r="C113">
        <f>C94+A113*1024*C92</f>
        <v/>
      </c>
      <c r="D113">
        <f>B113/C113</f>
        <v/>
      </c>
      <c r="E113" t="n">
        <v>42.43</v>
      </c>
      <c r="F113">
        <f>A113*1024/(C113*0.000001)/1000000000*C93</f>
        <v/>
      </c>
      <c r="G113">
        <f>E113/F113</f>
        <v/>
      </c>
    </row>
    <row r="114">
      <c r="A114" t="n">
        <v>131072</v>
      </c>
      <c r="B114" t="n">
        <v>5235.69</v>
      </c>
      <c r="C114">
        <f>C94+A114*1024*C92</f>
        <v/>
      </c>
      <c r="D114">
        <f>B114/C114</f>
        <v/>
      </c>
      <c r="E114" t="n">
        <v>49.67</v>
      </c>
      <c r="F114">
        <f>A114*1024/(C114*0.000001)/1000000000*C93</f>
        <v/>
      </c>
      <c r="G114">
        <f>E114/F114</f>
        <v/>
      </c>
    </row>
    <row r="115">
      <c r="A115" t="n">
        <v>262144</v>
      </c>
      <c r="B115" t="n">
        <v>9459.879999999999</v>
      </c>
      <c r="C115">
        <f>C94+A115*1024*C92</f>
        <v/>
      </c>
      <c r="D115">
        <f>B115/C115</f>
        <v/>
      </c>
      <c r="E115" t="n">
        <v>54.98</v>
      </c>
      <c r="F115">
        <f>A115*1024/(C115*0.000001)/1000000000*C93</f>
        <v/>
      </c>
      <c r="G115">
        <f>E115/F115</f>
        <v/>
      </c>
    </row>
    <row r="116">
      <c r="A116" t="n">
        <v>524288</v>
      </c>
      <c r="B116" t="n">
        <v>17974</v>
      </c>
      <c r="C116">
        <f>C94+A116*1024*C92</f>
        <v/>
      </c>
      <c r="D116">
        <f>B116/C116</f>
        <v/>
      </c>
      <c r="E116" t="n">
        <v>57.87</v>
      </c>
      <c r="F116">
        <f>A116*1024/(C116*0.000001)/1000000000*C93</f>
        <v/>
      </c>
      <c r="G116">
        <f>E116/F116</f>
        <v/>
      </c>
    </row>
    <row r="117">
      <c r="A117" t="n">
        <v>1048576</v>
      </c>
      <c r="B117" t="n">
        <v>35015.9</v>
      </c>
      <c r="C117">
        <f>C94+A117*1024*C92</f>
        <v/>
      </c>
      <c r="D117">
        <f>B117/C117</f>
        <v/>
      </c>
      <c r="E117" t="n">
        <v>59.41</v>
      </c>
      <c r="F117">
        <f>A117*1024/(C117*0.000001)/1000000000*C93</f>
        <v/>
      </c>
      <c r="G117">
        <f>E117/F117</f>
        <v/>
      </c>
    </row>
    <row r="118">
      <c r="A118" t="n">
        <v>2097152</v>
      </c>
      <c r="B118" t="n">
        <v>69100.10000000001</v>
      </c>
      <c r="C118">
        <f>C94+A118*1024*C92</f>
        <v/>
      </c>
      <c r="D118">
        <f>B118/C118</f>
        <v/>
      </c>
      <c r="E118" t="n">
        <v>60.21</v>
      </c>
      <c r="F118">
        <f>A118*1024/(C118*0.000001)/1000000000*C93</f>
        <v/>
      </c>
      <c r="G118">
        <f>E118/F118</f>
        <v/>
      </c>
    </row>
    <row r="119">
      <c r="A119" t="n">
        <v>4194304</v>
      </c>
      <c r="B119" t="n">
        <v>137203</v>
      </c>
      <c r="C119">
        <f>C94+A119*1024*C92</f>
        <v/>
      </c>
      <c r="D119">
        <f>B119/C119</f>
        <v/>
      </c>
      <c r="E119" t="n">
        <v>60.65</v>
      </c>
      <c r="F119">
        <f>A119*1024/(C119*0.000001)/1000000000*C93</f>
        <v/>
      </c>
      <c r="G119">
        <f>E119/F119</f>
        <v/>
      </c>
    </row>
    <row r="120"/>
    <row r="121">
      <c r="A121" t="inlineStr">
        <is>
          <t>Nodes: 4, Protocol: Simple, Channels: 8</t>
        </is>
      </c>
    </row>
    <row r="122">
      <c r="A122" t="inlineStr">
        <is>
          <t>Parameter</t>
        </is>
      </c>
      <c r="B122" t="inlineStr">
        <is>
          <t>Formula</t>
        </is>
      </c>
      <c r="C122" t="inlineStr">
        <is>
          <t>Value</t>
        </is>
      </c>
    </row>
    <row r="123">
      <c r="A123" t="inlineStr">
        <is>
          <t>N</t>
        </is>
      </c>
      <c r="B123" t="inlineStr">
        <is>
          <t>nodes</t>
        </is>
      </c>
      <c r="C123" t="n">
        <v>4</v>
      </c>
    </row>
    <row r="124">
      <c r="A124" t="inlineStr">
        <is>
          <t>n</t>
        </is>
      </c>
      <c r="B124" t="inlineStr">
        <is>
          <t>GPUs/node</t>
        </is>
      </c>
      <c r="C124" t="n">
        <v>8</v>
      </c>
    </row>
    <row r="125">
      <c r="A125" t="inlineStr">
        <is>
          <t>n_total</t>
        </is>
      </c>
      <c r="B125" t="inlineStr">
        <is>
          <t>N*n</t>
        </is>
      </c>
      <c r="C125" t="n">
        <v>32</v>
      </c>
    </row>
    <row r="126">
      <c r="A126" t="inlineStr">
        <is>
          <t>nch_raw</t>
        </is>
      </c>
      <c r="B126" t="inlineStr">
        <is>
          <t>raw channels</t>
        </is>
      </c>
      <c r="C126" t="n">
        <v>8</v>
      </c>
    </row>
    <row r="127">
      <c r="A127" t="inlineStr">
        <is>
          <t>nch_eff</t>
        </is>
      </c>
      <c r="B127" t="inlineStr">
        <is>
          <t>min(nch_raw,8)</t>
        </is>
      </c>
      <c r="C127" t="n">
        <v>8</v>
      </c>
    </row>
    <row r="128">
      <c r="A128" t="inlineStr">
        <is>
          <t>a</t>
        </is>
      </c>
      <c r="B128" t="inlineStr">
        <is>
          <t>RTT (us)</t>
        </is>
      </c>
      <c r="C128" t="n">
        <v>24.92</v>
      </c>
    </row>
    <row r="129">
      <c r="A129" t="inlineStr">
        <is>
          <t>NIC_BW</t>
        </is>
      </c>
      <c r="B129" t="inlineStr">
        <is>
          <t>bytes/us</t>
        </is>
      </c>
      <c r="C129" t="n">
        <v>48750</v>
      </c>
    </row>
    <row r="130">
      <c r="A130" t="inlineStr">
        <is>
          <t>intra_node_tree_latency</t>
        </is>
      </c>
      <c r="B130" t="inlineStr">
        <is>
          <t>us</t>
        </is>
      </c>
      <c r="C130" t="n">
        <v>8.4</v>
      </c>
    </row>
    <row r="131">
      <c r="A131" t="inlineStr">
        <is>
          <t>NIC_BW_REAL</t>
        </is>
      </c>
      <c r="B131" t="inlineStr">
        <is>
          <t>nch_eff*NIC_BW/3</t>
        </is>
      </c>
      <c r="C131">
        <f>C127*C129/3</f>
        <v/>
      </c>
    </row>
    <row r="132">
      <c r="A132" t="inlineStr">
        <is>
          <t>G</t>
        </is>
      </c>
      <c r="B132" t="inlineStr">
        <is>
          <t>1/NIC_BW_REAL</t>
        </is>
      </c>
      <c r="C132">
        <f>1/C131</f>
        <v/>
      </c>
    </row>
    <row r="133">
      <c r="A133" t="inlineStr">
        <is>
          <t>busbw_factor</t>
        </is>
      </c>
      <c r="B133" t="inlineStr">
        <is>
          <t>2*(n_total-1)/n_total</t>
        </is>
      </c>
      <c r="C133">
        <f>2*(C125-1)/C125</f>
        <v/>
      </c>
    </row>
    <row r="134">
      <c r="A134" t="inlineStr">
        <is>
          <t>fixed_overhead</t>
        </is>
      </c>
      <c r="B134" t="inlineStr">
        <is>
          <t>(2*LOG2(N)+1)*a/2+2*intra</t>
        </is>
      </c>
      <c r="C134">
        <f>(2*LOG(C123,2)+1)*C128/2+2*C130</f>
        <v/>
      </c>
    </row>
    <row r="135"/>
    <row r="136">
      <c r="A136" t="inlineStr">
        <is>
          <t>size_KB</t>
        </is>
      </c>
      <c r="B136" t="inlineStr">
        <is>
          <t>Actual Time (us)</t>
        </is>
      </c>
      <c r="C136" t="inlineStr">
        <is>
          <t>Roofline Time (us)</t>
        </is>
      </c>
      <c r="D136" t="inlineStr">
        <is>
          <t>Actual/Roofline</t>
        </is>
      </c>
      <c r="E136" t="inlineStr">
        <is>
          <t>Actual busBW (GB/s)</t>
        </is>
      </c>
      <c r="F136" t="inlineStr">
        <is>
          <t>Roofline busBW (GB/s)</t>
        </is>
      </c>
      <c r="G136" t="inlineStr">
        <is>
          <t>Meas/Roof busBW</t>
        </is>
      </c>
    </row>
    <row r="137">
      <c r="A137" t="n">
        <v>1</v>
      </c>
      <c r="B137" t="n">
        <v>142.99</v>
      </c>
      <c r="C137">
        <f>C134+A137*1024*C132</f>
        <v/>
      </c>
      <c r="D137">
        <f>B137/C137</f>
        <v/>
      </c>
      <c r="E137" t="n">
        <v>0.01</v>
      </c>
      <c r="F137">
        <f>A137*1024/(C137*0.000001)/1000000000*C133</f>
        <v/>
      </c>
      <c r="G137">
        <f>E137/F137</f>
        <v/>
      </c>
    </row>
    <row r="138">
      <c r="A138" t="n">
        <v>2</v>
      </c>
      <c r="B138" t="n">
        <v>144.45</v>
      </c>
      <c r="C138">
        <f>C134+A138*1024*C132</f>
        <v/>
      </c>
      <c r="D138">
        <f>B138/C138</f>
        <v/>
      </c>
      <c r="E138" t="n">
        <v>0.03</v>
      </c>
      <c r="F138">
        <f>A138*1024/(C138*0.000001)/1000000000*C133</f>
        <v/>
      </c>
      <c r="G138">
        <f>E138/F138</f>
        <v/>
      </c>
    </row>
    <row r="139">
      <c r="A139" t="n">
        <v>4</v>
      </c>
      <c r="B139" t="n">
        <v>150.2</v>
      </c>
      <c r="C139">
        <f>C134+A139*1024*C132</f>
        <v/>
      </c>
      <c r="D139">
        <f>B139/C139</f>
        <v/>
      </c>
      <c r="E139" t="n">
        <v>0.05</v>
      </c>
      <c r="F139">
        <f>A139*1024/(C139*0.000001)/1000000000*C133</f>
        <v/>
      </c>
      <c r="G139">
        <f>E139/F139</f>
        <v/>
      </c>
    </row>
    <row r="140">
      <c r="A140" t="n">
        <v>8</v>
      </c>
      <c r="B140" t="n">
        <v>160.06</v>
      </c>
      <c r="C140">
        <f>C134+A140*1024*C132</f>
        <v/>
      </c>
      <c r="D140">
        <f>B140/C140</f>
        <v/>
      </c>
      <c r="E140" t="n">
        <v>0.1</v>
      </c>
      <c r="F140">
        <f>A140*1024/(C140*0.000001)/1000000000*C133</f>
        <v/>
      </c>
      <c r="G140">
        <f>E140/F140</f>
        <v/>
      </c>
    </row>
    <row r="141">
      <c r="A141" t="n">
        <v>16</v>
      </c>
      <c r="B141" t="n">
        <v>181.12</v>
      </c>
      <c r="C141">
        <f>C134+A141*1024*C132</f>
        <v/>
      </c>
      <c r="D141">
        <f>B141/C141</f>
        <v/>
      </c>
      <c r="E141" t="n">
        <v>0.18</v>
      </c>
      <c r="F141">
        <f>A141*1024/(C141*0.000001)/1000000000*C133</f>
        <v/>
      </c>
      <c r="G141">
        <f>E141/F141</f>
        <v/>
      </c>
    </row>
    <row r="142">
      <c r="A142" t="n">
        <v>32</v>
      </c>
      <c r="B142" t="n">
        <v>204.33</v>
      </c>
      <c r="C142">
        <f>C134+A142*1024*C132</f>
        <v/>
      </c>
      <c r="D142">
        <f>B142/C142</f>
        <v/>
      </c>
      <c r="E142" t="n">
        <v>0.31</v>
      </c>
      <c r="F142">
        <f>A142*1024/(C142*0.000001)/1000000000*C133</f>
        <v/>
      </c>
      <c r="G142">
        <f>E142/F142</f>
        <v/>
      </c>
    </row>
    <row r="143">
      <c r="A143" t="n">
        <v>64</v>
      </c>
      <c r="B143" t="n">
        <v>205.97</v>
      </c>
      <c r="C143">
        <f>C134+A143*1024*C132</f>
        <v/>
      </c>
      <c r="D143">
        <f>B143/C143</f>
        <v/>
      </c>
      <c r="E143" t="n">
        <v>0.62</v>
      </c>
      <c r="F143">
        <f>A143*1024/(C143*0.000001)/1000000000*C133</f>
        <v/>
      </c>
      <c r="G143">
        <f>E143/F143</f>
        <v/>
      </c>
    </row>
    <row r="144">
      <c r="A144" t="n">
        <v>128</v>
      </c>
      <c r="B144" t="n">
        <v>206.53</v>
      </c>
      <c r="C144">
        <f>C134+A144*1024*C132</f>
        <v/>
      </c>
      <c r="D144">
        <f>B144/C144</f>
        <v/>
      </c>
      <c r="E144" t="n">
        <v>1.23</v>
      </c>
      <c r="F144">
        <f>A144*1024/(C144*0.000001)/1000000000*C133</f>
        <v/>
      </c>
      <c r="G144">
        <f>E144/F144</f>
        <v/>
      </c>
    </row>
    <row r="145">
      <c r="A145" t="n">
        <v>256</v>
      </c>
      <c r="B145" t="n">
        <v>209.77</v>
      </c>
      <c r="C145">
        <f>C134+A145*1024*C132</f>
        <v/>
      </c>
      <c r="D145">
        <f>B145/C145</f>
        <v/>
      </c>
      <c r="E145" t="n">
        <v>2.42</v>
      </c>
      <c r="F145">
        <f>A145*1024/(C145*0.000001)/1000000000*C133</f>
        <v/>
      </c>
      <c r="G145">
        <f>E145/F145</f>
        <v/>
      </c>
    </row>
    <row r="146">
      <c r="A146" t="n">
        <v>512</v>
      </c>
      <c r="B146" t="n">
        <v>248.84</v>
      </c>
      <c r="C146">
        <f>C134+A146*1024*C132</f>
        <v/>
      </c>
      <c r="D146">
        <f>B146/C146</f>
        <v/>
      </c>
      <c r="E146" t="n">
        <v>4.08</v>
      </c>
      <c r="F146">
        <f>A146*1024/(C146*0.000001)/1000000000*C133</f>
        <v/>
      </c>
      <c r="G146">
        <f>E146/F146</f>
        <v/>
      </c>
    </row>
    <row r="147">
      <c r="A147" t="n">
        <v>1024</v>
      </c>
      <c r="B147" t="n">
        <v>314.7</v>
      </c>
      <c r="C147">
        <f>C134+A147*1024*C132</f>
        <v/>
      </c>
      <c r="D147">
        <f>B147/C147</f>
        <v/>
      </c>
      <c r="E147" t="n">
        <v>6.46</v>
      </c>
      <c r="F147">
        <f>A147*1024/(C147*0.000001)/1000000000*C133</f>
        <v/>
      </c>
      <c r="G147">
        <f>E147/F147</f>
        <v/>
      </c>
    </row>
    <row r="148">
      <c r="A148" t="n">
        <v>2048</v>
      </c>
      <c r="B148" t="n">
        <v>421.12</v>
      </c>
      <c r="C148">
        <f>C134+A148*1024*C132</f>
        <v/>
      </c>
      <c r="D148">
        <f>B148/C148</f>
        <v/>
      </c>
      <c r="E148" t="n">
        <v>9.65</v>
      </c>
      <c r="F148">
        <f>A148*1024/(C148*0.000001)/1000000000*C133</f>
        <v/>
      </c>
      <c r="G148">
        <f>E148/F148</f>
        <v/>
      </c>
    </row>
    <row r="149">
      <c r="A149" t="n">
        <v>4096</v>
      </c>
      <c r="B149" t="n">
        <v>649.24</v>
      </c>
      <c r="C149">
        <f>C134+A149*1024*C132</f>
        <v/>
      </c>
      <c r="D149">
        <f>B149/C149</f>
        <v/>
      </c>
      <c r="E149" t="n">
        <v>12.52</v>
      </c>
      <c r="F149">
        <f>A149*1024/(C149*0.000001)/1000000000*C133</f>
        <v/>
      </c>
      <c r="G149">
        <f>E149/F149</f>
        <v/>
      </c>
    </row>
    <row r="150">
      <c r="A150" t="n">
        <v>8192</v>
      </c>
      <c r="B150" t="n">
        <v>1108.24</v>
      </c>
      <c r="C150">
        <f>C134+A150*1024*C132</f>
        <v/>
      </c>
      <c r="D150">
        <f>B150/C150</f>
        <v/>
      </c>
      <c r="E150" t="n">
        <v>14.67</v>
      </c>
      <c r="F150">
        <f>A150*1024/(C150*0.000001)/1000000000*C133</f>
        <v/>
      </c>
      <c r="G150">
        <f>E150/F150</f>
        <v/>
      </c>
    </row>
    <row r="151">
      <c r="A151" t="n">
        <v>16384</v>
      </c>
      <c r="B151" t="n">
        <v>1205.05</v>
      </c>
      <c r="C151">
        <f>C134+A151*1024*C132</f>
        <v/>
      </c>
      <c r="D151">
        <f>B151/C151</f>
        <v/>
      </c>
      <c r="E151" t="n">
        <v>26.97</v>
      </c>
      <c r="F151">
        <f>A151*1024/(C151*0.000001)/1000000000*C133</f>
        <v/>
      </c>
      <c r="G151">
        <f>E151/F151</f>
        <v/>
      </c>
    </row>
    <row r="152">
      <c r="A152" t="n">
        <v>32768</v>
      </c>
      <c r="B152" t="n">
        <v>1408.26</v>
      </c>
      <c r="C152">
        <f>C134+A152*1024*C132</f>
        <v/>
      </c>
      <c r="D152">
        <f>B152/C152</f>
        <v/>
      </c>
      <c r="E152" t="n">
        <v>46.16</v>
      </c>
      <c r="F152">
        <f>A152*1024/(C152*0.000001)/1000000000*C133</f>
        <v/>
      </c>
      <c r="G152">
        <f>E152/F152</f>
        <v/>
      </c>
    </row>
    <row r="153">
      <c r="A153" t="n">
        <v>65536</v>
      </c>
      <c r="B153" t="n">
        <v>1949.18</v>
      </c>
      <c r="C153">
        <f>C134+A153*1024*C132</f>
        <v/>
      </c>
      <c r="D153">
        <f>B153/C153</f>
        <v/>
      </c>
      <c r="E153" t="n">
        <v>66.70999999999999</v>
      </c>
      <c r="F153">
        <f>A153*1024/(C153*0.000001)/1000000000*C133</f>
        <v/>
      </c>
      <c r="G153">
        <f>E153/F153</f>
        <v/>
      </c>
    </row>
    <row r="154">
      <c r="A154" t="n">
        <v>131072</v>
      </c>
      <c r="B154" t="n">
        <v>3092.26</v>
      </c>
      <c r="C154">
        <f>C134+A154*1024*C132</f>
        <v/>
      </c>
      <c r="D154">
        <f>B154/C154</f>
        <v/>
      </c>
      <c r="E154" t="n">
        <v>84.09999999999999</v>
      </c>
      <c r="F154">
        <f>A154*1024/(C154*0.000001)/1000000000*C133</f>
        <v/>
      </c>
      <c r="G154">
        <f>E154/F154</f>
        <v/>
      </c>
    </row>
    <row r="155">
      <c r="A155" t="n">
        <v>262144</v>
      </c>
      <c r="B155" t="n">
        <v>5234.58</v>
      </c>
      <c r="C155">
        <f>C134+A155*1024*C132</f>
        <v/>
      </c>
      <c r="D155">
        <f>B155/C155</f>
        <v/>
      </c>
      <c r="E155" t="n">
        <v>99.36</v>
      </c>
      <c r="F155">
        <f>A155*1024/(C155*0.000001)/1000000000*C133</f>
        <v/>
      </c>
      <c r="G155">
        <f>E155/F155</f>
        <v/>
      </c>
    </row>
    <row r="156">
      <c r="A156" t="n">
        <v>524288</v>
      </c>
      <c r="B156" t="n">
        <v>9521.700000000001</v>
      </c>
      <c r="C156">
        <f>C134+A156*1024*C132</f>
        <v/>
      </c>
      <c r="D156">
        <f>B156/C156</f>
        <v/>
      </c>
      <c r="E156" t="n">
        <v>109.24</v>
      </c>
      <c r="F156">
        <f>A156*1024/(C156*0.000001)/1000000000*C133</f>
        <v/>
      </c>
      <c r="G156">
        <f>E156/F156</f>
        <v/>
      </c>
    </row>
    <row r="157">
      <c r="A157" t="n">
        <v>1048576</v>
      </c>
      <c r="B157" t="n">
        <v>18120.9</v>
      </c>
      <c r="C157">
        <f>C134+A157*1024*C132</f>
        <v/>
      </c>
      <c r="D157">
        <f>B157/C157</f>
        <v/>
      </c>
      <c r="E157" t="n">
        <v>114.81</v>
      </c>
      <c r="F157">
        <f>A157*1024/(C157*0.000001)/1000000000*C133</f>
        <v/>
      </c>
      <c r="G157">
        <f>E157/F157</f>
        <v/>
      </c>
    </row>
    <row r="158">
      <c r="A158" t="n">
        <v>2097152</v>
      </c>
      <c r="B158" t="n">
        <v>35305.2</v>
      </c>
      <c r="C158">
        <f>C134+A158*1024*C132</f>
        <v/>
      </c>
      <c r="D158">
        <f>B158/C158</f>
        <v/>
      </c>
      <c r="E158" t="n">
        <v>117.85</v>
      </c>
      <c r="F158">
        <f>A158*1024/(C158*0.000001)/1000000000*C133</f>
        <v/>
      </c>
      <c r="G158">
        <f>E158/F158</f>
        <v/>
      </c>
    </row>
    <row r="159">
      <c r="A159" t="n">
        <v>4194304</v>
      </c>
      <c r="B159" t="n">
        <v>69678</v>
      </c>
      <c r="C159">
        <f>C134+A159*1024*C132</f>
        <v/>
      </c>
      <c r="D159">
        <f>B159/C159</f>
        <v/>
      </c>
      <c r="E159" t="n">
        <v>119.43</v>
      </c>
      <c r="F159">
        <f>A159*1024/(C159*0.000001)/1000000000*C133</f>
        <v/>
      </c>
      <c r="G159">
        <f>E159/F159</f>
        <v/>
      </c>
    </row>
    <row r="160"/>
    <row r="161">
      <c r="A161" t="inlineStr">
        <is>
          <t>Nodes: 4, Protocol: Simple, Channels: 16</t>
        </is>
      </c>
    </row>
    <row r="162">
      <c r="A162" t="inlineStr">
        <is>
          <t>Parameter</t>
        </is>
      </c>
      <c r="B162" t="inlineStr">
        <is>
          <t>Formula</t>
        </is>
      </c>
      <c r="C162" t="inlineStr">
        <is>
          <t>Value</t>
        </is>
      </c>
    </row>
    <row r="163">
      <c r="A163" t="inlineStr">
        <is>
          <t>N</t>
        </is>
      </c>
      <c r="B163" t="inlineStr">
        <is>
          <t>nodes</t>
        </is>
      </c>
      <c r="C163" t="n">
        <v>4</v>
      </c>
    </row>
    <row r="164">
      <c r="A164" t="inlineStr">
        <is>
          <t>n</t>
        </is>
      </c>
      <c r="B164" t="inlineStr">
        <is>
          <t>GPUs/node</t>
        </is>
      </c>
      <c r="C164" t="n">
        <v>8</v>
      </c>
    </row>
    <row r="165">
      <c r="A165" t="inlineStr">
        <is>
          <t>n_total</t>
        </is>
      </c>
      <c r="B165" t="inlineStr">
        <is>
          <t>N*n</t>
        </is>
      </c>
      <c r="C165" t="n">
        <v>32</v>
      </c>
    </row>
    <row r="166">
      <c r="A166" t="inlineStr">
        <is>
          <t>nch_raw</t>
        </is>
      </c>
      <c r="B166" t="inlineStr">
        <is>
          <t>raw channels</t>
        </is>
      </c>
      <c r="C166" t="n">
        <v>16</v>
      </c>
    </row>
    <row r="167">
      <c r="A167" t="inlineStr">
        <is>
          <t>nch_eff</t>
        </is>
      </c>
      <c r="B167" t="inlineStr">
        <is>
          <t>min(nch_raw,8)</t>
        </is>
      </c>
      <c r="C167" t="n">
        <v>8</v>
      </c>
    </row>
    <row r="168">
      <c r="A168" t="inlineStr">
        <is>
          <t>a</t>
        </is>
      </c>
      <c r="B168" t="inlineStr">
        <is>
          <t>RTT (us)</t>
        </is>
      </c>
      <c r="C168" t="n">
        <v>24.92</v>
      </c>
    </row>
    <row r="169">
      <c r="A169" t="inlineStr">
        <is>
          <t>NIC_BW</t>
        </is>
      </c>
      <c r="B169" t="inlineStr">
        <is>
          <t>bytes/us</t>
        </is>
      </c>
      <c r="C169" t="n">
        <v>48750</v>
      </c>
    </row>
    <row r="170">
      <c r="A170" t="inlineStr">
        <is>
          <t>intra_node_tree_latency</t>
        </is>
      </c>
      <c r="B170" t="inlineStr">
        <is>
          <t>us</t>
        </is>
      </c>
      <c r="C170" t="n">
        <v>8.4</v>
      </c>
    </row>
    <row r="171">
      <c r="A171" t="inlineStr">
        <is>
          <t>NIC_BW_REAL</t>
        </is>
      </c>
      <c r="B171" t="inlineStr">
        <is>
          <t>nch_eff*NIC_BW/3</t>
        </is>
      </c>
      <c r="C171">
        <f>C167*C169/3</f>
        <v/>
      </c>
    </row>
    <row r="172">
      <c r="A172" t="inlineStr">
        <is>
          <t>G</t>
        </is>
      </c>
      <c r="B172" t="inlineStr">
        <is>
          <t>1/NIC_BW_REAL</t>
        </is>
      </c>
      <c r="C172">
        <f>1/C171</f>
        <v/>
      </c>
    </row>
    <row r="173">
      <c r="A173" t="inlineStr">
        <is>
          <t>busbw_factor</t>
        </is>
      </c>
      <c r="B173" t="inlineStr">
        <is>
          <t>2*(n_total-1)/n_total</t>
        </is>
      </c>
      <c r="C173">
        <f>2*(C165-1)/C165</f>
        <v/>
      </c>
    </row>
    <row r="174">
      <c r="A174" t="inlineStr">
        <is>
          <t>fixed_overhead</t>
        </is>
      </c>
      <c r="B174" t="inlineStr">
        <is>
          <t>(2*LOG2(N)+1)*a/2+2*intra</t>
        </is>
      </c>
      <c r="C174">
        <f>(2*LOG(C163,2)+1)*C168/2+2*C170</f>
        <v/>
      </c>
    </row>
    <row r="175"/>
    <row r="176">
      <c r="A176" t="inlineStr">
        <is>
          <t>size_KB</t>
        </is>
      </c>
      <c r="B176" t="inlineStr">
        <is>
          <t>Actual Time (us)</t>
        </is>
      </c>
      <c r="C176" t="inlineStr">
        <is>
          <t>Roofline Time (us)</t>
        </is>
      </c>
      <c r="D176" t="inlineStr">
        <is>
          <t>Actual/Roofline</t>
        </is>
      </c>
      <c r="E176" t="inlineStr">
        <is>
          <t>Actual busBW (GB/s)</t>
        </is>
      </c>
      <c r="F176" t="inlineStr">
        <is>
          <t>Roofline busBW (GB/s)</t>
        </is>
      </c>
      <c r="G176" t="inlineStr">
        <is>
          <t>Meas/Roof busBW</t>
        </is>
      </c>
    </row>
    <row r="177">
      <c r="A177" t="n">
        <v>1</v>
      </c>
      <c r="B177" t="n">
        <v>147.81</v>
      </c>
      <c r="C177">
        <f>C174+A177*1024*C172</f>
        <v/>
      </c>
      <c r="D177">
        <f>B177/C177</f>
        <v/>
      </c>
      <c r="E177" t="n">
        <v>0.01</v>
      </c>
      <c r="F177">
        <f>A177*1024/(C177*0.000001)/1000000000*C173</f>
        <v/>
      </c>
      <c r="G177">
        <f>E177/F177</f>
        <v/>
      </c>
    </row>
    <row r="178">
      <c r="A178" t="n">
        <v>2</v>
      </c>
      <c r="B178" t="n">
        <v>143.94</v>
      </c>
      <c r="C178">
        <f>C174+A178*1024*C172</f>
        <v/>
      </c>
      <c r="D178">
        <f>B178/C178</f>
        <v/>
      </c>
      <c r="E178" t="n">
        <v>0.03</v>
      </c>
      <c r="F178">
        <f>A178*1024/(C178*0.000001)/1000000000*C173</f>
        <v/>
      </c>
      <c r="G178">
        <f>E178/F178</f>
        <v/>
      </c>
    </row>
    <row r="179">
      <c r="A179" t="n">
        <v>4</v>
      </c>
      <c r="B179" t="n">
        <v>149.79</v>
      </c>
      <c r="C179">
        <f>C174+A179*1024*C172</f>
        <v/>
      </c>
      <c r="D179">
        <f>B179/C179</f>
        <v/>
      </c>
      <c r="E179" t="n">
        <v>0.05</v>
      </c>
      <c r="F179">
        <f>A179*1024/(C179*0.000001)/1000000000*C173</f>
        <v/>
      </c>
      <c r="G179">
        <f>E179/F179</f>
        <v/>
      </c>
    </row>
    <row r="180">
      <c r="A180" t="n">
        <v>8</v>
      </c>
      <c r="B180" t="n">
        <v>159.07</v>
      </c>
      <c r="C180">
        <f>C174+A180*1024*C172</f>
        <v/>
      </c>
      <c r="D180">
        <f>B180/C180</f>
        <v/>
      </c>
      <c r="E180" t="n">
        <v>0.1</v>
      </c>
      <c r="F180">
        <f>A180*1024/(C180*0.000001)/1000000000*C173</f>
        <v/>
      </c>
      <c r="G180">
        <f>E180/F180</f>
        <v/>
      </c>
    </row>
    <row r="181">
      <c r="A181" t="n">
        <v>16</v>
      </c>
      <c r="B181" t="n">
        <v>180.7</v>
      </c>
      <c r="C181">
        <f>C174+A181*1024*C172</f>
        <v/>
      </c>
      <c r="D181">
        <f>B181/C181</f>
        <v/>
      </c>
      <c r="E181" t="n">
        <v>0.18</v>
      </c>
      <c r="F181">
        <f>A181*1024/(C181*0.000001)/1000000000*C173</f>
        <v/>
      </c>
      <c r="G181">
        <f>E181/F181</f>
        <v/>
      </c>
    </row>
    <row r="182">
      <c r="A182" t="n">
        <v>32</v>
      </c>
      <c r="B182" t="n">
        <v>203.04</v>
      </c>
      <c r="C182">
        <f>C174+A182*1024*C172</f>
        <v/>
      </c>
      <c r="D182">
        <f>B182/C182</f>
        <v/>
      </c>
      <c r="E182" t="n">
        <v>0.31</v>
      </c>
      <c r="F182">
        <f>A182*1024/(C182*0.000001)/1000000000*C173</f>
        <v/>
      </c>
      <c r="G182">
        <f>E182/F182</f>
        <v/>
      </c>
    </row>
    <row r="183">
      <c r="A183" t="n">
        <v>64</v>
      </c>
      <c r="B183" t="n">
        <v>205.46</v>
      </c>
      <c r="C183">
        <f>C174+A183*1024*C172</f>
        <v/>
      </c>
      <c r="D183">
        <f>B183/C183</f>
        <v/>
      </c>
      <c r="E183" t="n">
        <v>0.62</v>
      </c>
      <c r="F183">
        <f>A183*1024/(C183*0.000001)/1000000000*C173</f>
        <v/>
      </c>
      <c r="G183">
        <f>E183/F183</f>
        <v/>
      </c>
    </row>
    <row r="184">
      <c r="A184" t="n">
        <v>128</v>
      </c>
      <c r="B184" t="n">
        <v>205.44</v>
      </c>
      <c r="C184">
        <f>C174+A184*1024*C172</f>
        <v/>
      </c>
      <c r="D184">
        <f>B184/C184</f>
        <v/>
      </c>
      <c r="E184" t="n">
        <v>1.24</v>
      </c>
      <c r="F184">
        <f>A184*1024/(C184*0.000001)/1000000000*C173</f>
        <v/>
      </c>
      <c r="G184">
        <f>E184/F184</f>
        <v/>
      </c>
    </row>
    <row r="185">
      <c r="A185" t="n">
        <v>256</v>
      </c>
      <c r="B185" t="n">
        <v>210.2</v>
      </c>
      <c r="C185">
        <f>C174+A185*1024*C172</f>
        <v/>
      </c>
      <c r="D185">
        <f>B185/C185</f>
        <v/>
      </c>
      <c r="E185" t="n">
        <v>2.42</v>
      </c>
      <c r="F185">
        <f>A185*1024/(C185*0.000001)/1000000000*C173</f>
        <v/>
      </c>
      <c r="G185">
        <f>E185/F185</f>
        <v/>
      </c>
    </row>
    <row r="186">
      <c r="A186" t="n">
        <v>512</v>
      </c>
      <c r="B186" t="n">
        <v>215.78</v>
      </c>
      <c r="C186">
        <f>C174+A186*1024*C172</f>
        <v/>
      </c>
      <c r="D186">
        <f>B186/C186</f>
        <v/>
      </c>
      <c r="E186" t="n">
        <v>4.71</v>
      </c>
      <c r="F186">
        <f>A186*1024/(C186*0.000001)/1000000000*C173</f>
        <v/>
      </c>
      <c r="G186">
        <f>E186/F186</f>
        <v/>
      </c>
    </row>
    <row r="187">
      <c r="A187" t="n">
        <v>1024</v>
      </c>
      <c r="B187" t="n">
        <v>253</v>
      </c>
      <c r="C187">
        <f>C174+A187*1024*C172</f>
        <v/>
      </c>
      <c r="D187">
        <f>B187/C187</f>
        <v/>
      </c>
      <c r="E187" t="n">
        <v>8.029999999999999</v>
      </c>
      <c r="F187">
        <f>A187*1024/(C187*0.000001)/1000000000*C173</f>
        <v/>
      </c>
      <c r="G187">
        <f>E187/F187</f>
        <v/>
      </c>
    </row>
    <row r="188">
      <c r="A188" t="n">
        <v>2048</v>
      </c>
      <c r="B188" t="n">
        <v>320.06</v>
      </c>
      <c r="C188">
        <f>C174+A188*1024*C172</f>
        <v/>
      </c>
      <c r="D188">
        <f>B188/C188</f>
        <v/>
      </c>
      <c r="E188" t="n">
        <v>12.7</v>
      </c>
      <c r="F188">
        <f>A188*1024/(C188*0.000001)/1000000000*C173</f>
        <v/>
      </c>
      <c r="G188">
        <f>E188/F188</f>
        <v/>
      </c>
    </row>
    <row r="189">
      <c r="A189" t="n">
        <v>4096</v>
      </c>
      <c r="B189" t="n">
        <v>427.1</v>
      </c>
      <c r="C189">
        <f>C174+A189*1024*C172</f>
        <v/>
      </c>
      <c r="D189">
        <f>B189/C189</f>
        <v/>
      </c>
      <c r="E189" t="n">
        <v>19.03</v>
      </c>
      <c r="F189">
        <f>A189*1024/(C189*0.000001)/1000000000*C173</f>
        <v/>
      </c>
      <c r="G189">
        <f>E189/F189</f>
        <v/>
      </c>
    </row>
    <row r="190">
      <c r="A190" t="n">
        <v>8192</v>
      </c>
      <c r="B190" t="n">
        <v>660.17</v>
      </c>
      <c r="C190">
        <f>C174+A190*1024*C172</f>
        <v/>
      </c>
      <c r="D190">
        <f>B190/C190</f>
        <v/>
      </c>
      <c r="E190" t="n">
        <v>24.62</v>
      </c>
      <c r="F190">
        <f>A190*1024/(C190*0.000001)/1000000000*C173</f>
        <v/>
      </c>
      <c r="G190">
        <f>E190/F190</f>
        <v/>
      </c>
    </row>
    <row r="191">
      <c r="A191" t="n">
        <v>16384</v>
      </c>
      <c r="B191" t="n">
        <v>1128.49</v>
      </c>
      <c r="C191">
        <f>C174+A191*1024*C172</f>
        <v/>
      </c>
      <c r="D191">
        <f>B191/C191</f>
        <v/>
      </c>
      <c r="E191" t="n">
        <v>28.8</v>
      </c>
      <c r="F191">
        <f>A191*1024/(C191*0.000001)/1000000000*C173</f>
        <v/>
      </c>
      <c r="G191">
        <f>E191/F191</f>
        <v/>
      </c>
    </row>
    <row r="192">
      <c r="A192" t="n">
        <v>32768</v>
      </c>
      <c r="B192" t="n">
        <v>1217.2</v>
      </c>
      <c r="C192">
        <f>C174+A192*1024*C172</f>
        <v/>
      </c>
      <c r="D192">
        <f>B192/C192</f>
        <v/>
      </c>
      <c r="E192" t="n">
        <v>53.41</v>
      </c>
      <c r="F192">
        <f>A192*1024/(C192*0.000001)/1000000000*C173</f>
        <v/>
      </c>
      <c r="G192">
        <f>E192/F192</f>
        <v/>
      </c>
    </row>
    <row r="193">
      <c r="A193" t="n">
        <v>65536</v>
      </c>
      <c r="B193" t="n">
        <v>1420.15</v>
      </c>
      <c r="C193">
        <f>C174+A193*1024*C172</f>
        <v/>
      </c>
      <c r="D193">
        <f>B193/C193</f>
        <v/>
      </c>
      <c r="E193" t="n">
        <v>91.56</v>
      </c>
      <c r="F193">
        <f>A193*1024/(C193*0.000001)/1000000000*C173</f>
        <v/>
      </c>
      <c r="G193">
        <f>E193/F193</f>
        <v/>
      </c>
    </row>
    <row r="194">
      <c r="A194" t="n">
        <v>131072</v>
      </c>
      <c r="B194" t="n">
        <v>2044.01</v>
      </c>
      <c r="C194">
        <f>C174+A194*1024*C172</f>
        <v/>
      </c>
      <c r="D194">
        <f>B194/C194</f>
        <v/>
      </c>
      <c r="E194" t="n">
        <v>127.22</v>
      </c>
      <c r="F194">
        <f>A194*1024/(C194*0.000001)/1000000000*C173</f>
        <v/>
      </c>
      <c r="G194">
        <f>E194/F194</f>
        <v/>
      </c>
    </row>
    <row r="195">
      <c r="A195" t="n">
        <v>262144</v>
      </c>
      <c r="B195" t="n">
        <v>3149.24</v>
      </c>
      <c r="C195">
        <f>C174+A195*1024*C172</f>
        <v/>
      </c>
      <c r="D195">
        <f>B195/C195</f>
        <v/>
      </c>
      <c r="E195" t="n">
        <v>165.15</v>
      </c>
      <c r="F195">
        <f>A195*1024/(C195*0.000001)/1000000000*C173</f>
        <v/>
      </c>
      <c r="G195">
        <f>E195/F195</f>
        <v/>
      </c>
    </row>
    <row r="196">
      <c r="A196" t="n">
        <v>524288</v>
      </c>
      <c r="B196" t="n">
        <v>5333.95</v>
      </c>
      <c r="C196">
        <f>C174+A196*1024*C172</f>
        <v/>
      </c>
      <c r="D196">
        <f>B196/C196</f>
        <v/>
      </c>
      <c r="E196" t="n">
        <v>195.01</v>
      </c>
      <c r="F196">
        <f>A196*1024/(C196*0.000001)/1000000000*C173</f>
        <v/>
      </c>
      <c r="G196">
        <f>E196/F196</f>
        <v/>
      </c>
    </row>
    <row r="197">
      <c r="A197" t="n">
        <v>1048576</v>
      </c>
      <c r="B197" t="n">
        <v>9751.32</v>
      </c>
      <c r="C197">
        <f>C174+A197*1024*C172</f>
        <v/>
      </c>
      <c r="D197">
        <f>B197/C197</f>
        <v/>
      </c>
      <c r="E197" t="n">
        <v>213.34</v>
      </c>
      <c r="F197">
        <f>A197*1024/(C197*0.000001)/1000000000*C173</f>
        <v/>
      </c>
      <c r="G197">
        <f>E197/F197</f>
        <v/>
      </c>
    </row>
    <row r="198">
      <c r="A198" t="n">
        <v>2097152</v>
      </c>
      <c r="B198" t="n">
        <v>18547.5</v>
      </c>
      <c r="C198">
        <f>C174+A198*1024*C172</f>
        <v/>
      </c>
      <c r="D198">
        <f>B198/C198</f>
        <v/>
      </c>
      <c r="E198" t="n">
        <v>224.33</v>
      </c>
      <c r="F198">
        <f>A198*1024/(C198*0.000001)/1000000000*C173</f>
        <v/>
      </c>
      <c r="G198">
        <f>E198/F198</f>
        <v/>
      </c>
    </row>
    <row r="199">
      <c r="A199" t="n">
        <v>4194304</v>
      </c>
      <c r="B199" t="n">
        <v>36100.9</v>
      </c>
      <c r="C199">
        <f>C174+A199*1024*C172</f>
        <v/>
      </c>
      <c r="D199">
        <f>B199/C199</f>
        <v/>
      </c>
      <c r="E199" t="n">
        <v>230.51</v>
      </c>
      <c r="F199">
        <f>A199*1024/(C199*0.000001)/1000000000*C173</f>
        <v/>
      </c>
      <c r="G199">
        <f>E199/F199</f>
        <v/>
      </c>
    </row>
    <row r="200"/>
    <row r="201">
      <c r="A201" t="inlineStr">
        <is>
          <t>Nodes: 4, Protocol: LL, Channels: 1</t>
        </is>
      </c>
    </row>
    <row r="202">
      <c r="A202" t="inlineStr">
        <is>
          <t>Parameter</t>
        </is>
      </c>
      <c r="B202" t="inlineStr">
        <is>
          <t>Formula</t>
        </is>
      </c>
      <c r="C202" t="inlineStr">
        <is>
          <t>Value</t>
        </is>
      </c>
    </row>
    <row r="203">
      <c r="A203" t="inlineStr">
        <is>
          <t>N</t>
        </is>
      </c>
      <c r="B203" t="inlineStr">
        <is>
          <t>nodes</t>
        </is>
      </c>
      <c r="C203" t="n">
        <v>4</v>
      </c>
    </row>
    <row r="204">
      <c r="A204" t="inlineStr">
        <is>
          <t>n</t>
        </is>
      </c>
      <c r="B204" t="inlineStr">
        <is>
          <t>GPUs/node</t>
        </is>
      </c>
      <c r="C204" t="n">
        <v>8</v>
      </c>
    </row>
    <row r="205">
      <c r="A205" t="inlineStr">
        <is>
          <t>n_total</t>
        </is>
      </c>
      <c r="B205" t="inlineStr">
        <is>
          <t>N*n</t>
        </is>
      </c>
      <c r="C205" t="n">
        <v>32</v>
      </c>
    </row>
    <row r="206">
      <c r="A206" t="inlineStr">
        <is>
          <t>nch_raw</t>
        </is>
      </c>
      <c r="B206" t="inlineStr">
        <is>
          <t>raw channels</t>
        </is>
      </c>
      <c r="C206" t="n">
        <v>1</v>
      </c>
    </row>
    <row r="207">
      <c r="A207" t="inlineStr">
        <is>
          <t>nch_eff</t>
        </is>
      </c>
      <c r="B207" t="inlineStr">
        <is>
          <t>min(nch_raw,8)</t>
        </is>
      </c>
      <c r="C207" t="n">
        <v>1</v>
      </c>
    </row>
    <row r="208">
      <c r="A208" t="inlineStr">
        <is>
          <t>a</t>
        </is>
      </c>
      <c r="B208" t="inlineStr">
        <is>
          <t>RTT (us)</t>
        </is>
      </c>
      <c r="C208" t="n">
        <v>24.92</v>
      </c>
    </row>
    <row r="209">
      <c r="A209" t="inlineStr">
        <is>
          <t>NIC_BW</t>
        </is>
      </c>
      <c r="B209" t="inlineStr">
        <is>
          <t>bytes/us</t>
        </is>
      </c>
      <c r="C209" t="n">
        <v>48750</v>
      </c>
    </row>
    <row r="210">
      <c r="A210" t="inlineStr">
        <is>
          <t>intra_node_latency</t>
        </is>
      </c>
      <c r="B210" t="inlineStr">
        <is>
          <t>us</t>
        </is>
      </c>
      <c r="C210" t="n">
        <v>8.4</v>
      </c>
    </row>
    <row r="211">
      <c r="A211" t="inlineStr">
        <is>
          <t>NIC_BW_REAL</t>
        </is>
      </c>
      <c r="B211" t="inlineStr">
        <is>
          <t>nch_eff*(NIC_BW/2)/3</t>
        </is>
      </c>
      <c r="C211">
        <f>C207*(C209/2)/3</f>
        <v/>
      </c>
    </row>
    <row r="212">
      <c r="A212" t="inlineStr">
        <is>
          <t>G</t>
        </is>
      </c>
      <c r="B212" t="inlineStr">
        <is>
          <t>1/NIC_BW_REAL</t>
        </is>
      </c>
      <c r="C212">
        <f>1/C211</f>
        <v/>
      </c>
    </row>
    <row r="213">
      <c r="A213" t="inlineStr">
        <is>
          <t>busbw_factor</t>
        </is>
      </c>
      <c r="B213" t="inlineStr">
        <is>
          <t>2*(n_total-1)/n_total</t>
        </is>
      </c>
      <c r="C213">
        <f>2*(C205-1)/C205</f>
        <v/>
      </c>
    </row>
    <row r="214">
      <c r="A214" t="inlineStr">
        <is>
          <t>fixed_overhead</t>
        </is>
      </c>
      <c r="B214" t="inlineStr">
        <is>
          <t>(2*LOG2(N)+1)*a/2+2*intra</t>
        </is>
      </c>
      <c r="C214">
        <f>(2*LOG(C203,2)+1)*C208/2+2*C210</f>
        <v/>
      </c>
    </row>
    <row r="215"/>
    <row r="216">
      <c r="A216" t="inlineStr">
        <is>
          <t>size_KB</t>
        </is>
      </c>
      <c r="B216" t="inlineStr">
        <is>
          <t>Actual Time (us)</t>
        </is>
      </c>
      <c r="C216" t="inlineStr">
        <is>
          <t>Roofline Time (us)</t>
        </is>
      </c>
      <c r="D216" t="inlineStr">
        <is>
          <t>Actual/Roofline</t>
        </is>
      </c>
      <c r="E216" t="inlineStr">
        <is>
          <t>Actual busBW (GB/s)</t>
        </is>
      </c>
      <c r="F216" t="inlineStr">
        <is>
          <t>Roofline busBW (GB/s)</t>
        </is>
      </c>
      <c r="G216" t="inlineStr">
        <is>
          <t>Meas/Roof busBW</t>
        </is>
      </c>
    </row>
    <row r="217">
      <c r="A217" t="n">
        <v>1</v>
      </c>
      <c r="B217" t="n">
        <v>73.90000000000001</v>
      </c>
      <c r="C217">
        <f>C214+A217*1024*C212</f>
        <v/>
      </c>
      <c r="D217">
        <f>B217/C217</f>
        <v/>
      </c>
      <c r="E217" t="n">
        <v>0.03</v>
      </c>
      <c r="F217">
        <f>A217*1024/(C217*0.000001)/1000000000*C213</f>
        <v/>
      </c>
      <c r="G217">
        <f>E217/F217</f>
        <v/>
      </c>
    </row>
    <row r="218">
      <c r="A218" t="n">
        <v>2</v>
      </c>
      <c r="B218" t="n">
        <v>77.95</v>
      </c>
      <c r="C218">
        <f>C214+A218*1024*C212</f>
        <v/>
      </c>
      <c r="D218">
        <f>B218/C218</f>
        <v/>
      </c>
      <c r="E218" t="n">
        <v>0.05</v>
      </c>
      <c r="F218">
        <f>A218*1024/(C218*0.000001)/1000000000*C213</f>
        <v/>
      </c>
      <c r="G218">
        <f>E218/F218</f>
        <v/>
      </c>
    </row>
    <row r="219">
      <c r="A219" t="n">
        <v>4</v>
      </c>
      <c r="B219" t="n">
        <v>88.94</v>
      </c>
      <c r="C219">
        <f>C214+A219*1024*C212</f>
        <v/>
      </c>
      <c r="D219">
        <f>B219/C219</f>
        <v/>
      </c>
      <c r="E219" t="n">
        <v>0.09</v>
      </c>
      <c r="F219">
        <f>A219*1024/(C219*0.000001)/1000000000*C213</f>
        <v/>
      </c>
      <c r="G219">
        <f>E219/F219</f>
        <v/>
      </c>
    </row>
    <row r="220">
      <c r="A220" t="n">
        <v>8</v>
      </c>
      <c r="B220" t="n">
        <v>97</v>
      </c>
      <c r="C220">
        <f>C214+A220*1024*C212</f>
        <v/>
      </c>
      <c r="D220">
        <f>B220/C220</f>
        <v/>
      </c>
      <c r="E220" t="n">
        <v>0.16</v>
      </c>
      <c r="F220">
        <f>A220*1024/(C220*0.000001)/1000000000*C213</f>
        <v/>
      </c>
      <c r="G220">
        <f>E220/F220</f>
        <v/>
      </c>
    </row>
    <row r="221">
      <c r="A221" t="n">
        <v>16</v>
      </c>
      <c r="B221" t="n">
        <v>110.35</v>
      </c>
      <c r="C221">
        <f>C214+A221*1024*C212</f>
        <v/>
      </c>
      <c r="D221">
        <f>B221/C221</f>
        <v/>
      </c>
      <c r="E221" t="n">
        <v>0.29</v>
      </c>
      <c r="F221">
        <f>A221*1024/(C221*0.000001)/1000000000*C213</f>
        <v/>
      </c>
      <c r="G221">
        <f>E221/F221</f>
        <v/>
      </c>
    </row>
    <row r="222">
      <c r="A222" t="n">
        <v>32</v>
      </c>
      <c r="B222" t="n">
        <v>134.46</v>
      </c>
      <c r="C222">
        <f>C214+A222*1024*C212</f>
        <v/>
      </c>
      <c r="D222">
        <f>B222/C222</f>
        <v/>
      </c>
      <c r="E222" t="n">
        <v>0.47</v>
      </c>
      <c r="F222">
        <f>A222*1024/(C222*0.000001)/1000000000*C213</f>
        <v/>
      </c>
      <c r="G222">
        <f>E222/F222</f>
        <v/>
      </c>
    </row>
    <row r="223">
      <c r="A223" t="n">
        <v>64</v>
      </c>
      <c r="B223" t="n">
        <v>148.4</v>
      </c>
      <c r="C223">
        <f>C214+A223*1024*C212</f>
        <v/>
      </c>
      <c r="D223">
        <f>B223/C223</f>
        <v/>
      </c>
      <c r="E223" t="n">
        <v>0.86</v>
      </c>
      <c r="F223">
        <f>A223*1024/(C223*0.000001)/1000000000*C213</f>
        <v/>
      </c>
      <c r="G223">
        <f>E223/F223</f>
        <v/>
      </c>
    </row>
    <row r="224">
      <c r="A224" t="n">
        <v>128</v>
      </c>
      <c r="B224" t="n">
        <v>169.46</v>
      </c>
      <c r="C224">
        <f>C214+A224*1024*C212</f>
        <v/>
      </c>
      <c r="D224">
        <f>B224/C224</f>
        <v/>
      </c>
      <c r="E224" t="n">
        <v>1.5</v>
      </c>
      <c r="F224">
        <f>A224*1024/(C224*0.000001)/1000000000*C213</f>
        <v/>
      </c>
      <c r="G224">
        <f>E224/F224</f>
        <v/>
      </c>
    </row>
    <row r="225">
      <c r="A225" t="n">
        <v>256</v>
      </c>
      <c r="B225" t="n">
        <v>219.59</v>
      </c>
      <c r="C225">
        <f>C214+A225*1024*C212</f>
        <v/>
      </c>
      <c r="D225">
        <f>B225/C225</f>
        <v/>
      </c>
      <c r="E225" t="n">
        <v>2.31</v>
      </c>
      <c r="F225">
        <f>A225*1024/(C225*0.000001)/1000000000*C213</f>
        <v/>
      </c>
      <c r="G225">
        <f>E225/F225</f>
        <v/>
      </c>
    </row>
    <row r="226">
      <c r="A226" t="n">
        <v>512</v>
      </c>
      <c r="B226" t="n">
        <v>371.51</v>
      </c>
      <c r="C226">
        <f>C214+A226*1024*C212</f>
        <v/>
      </c>
      <c r="D226">
        <f>B226/C226</f>
        <v/>
      </c>
      <c r="E226" t="n">
        <v>2.73</v>
      </c>
      <c r="F226">
        <f>A226*1024/(C226*0.000001)/1000000000*C213</f>
        <v/>
      </c>
      <c r="G226">
        <f>E226/F226</f>
        <v/>
      </c>
    </row>
    <row r="227">
      <c r="A227" t="n">
        <v>1024</v>
      </c>
      <c r="B227" t="n">
        <v>659.71</v>
      </c>
      <c r="C227">
        <f>C214+A227*1024*C212</f>
        <v/>
      </c>
      <c r="D227">
        <f>B227/C227</f>
        <v/>
      </c>
      <c r="E227" t="n">
        <v>3.08</v>
      </c>
      <c r="F227">
        <f>A227*1024/(C227*0.000001)/1000000000*C213</f>
        <v/>
      </c>
      <c r="G227">
        <f>E227/F227</f>
        <v/>
      </c>
    </row>
    <row r="228">
      <c r="A228" t="n">
        <v>2048</v>
      </c>
      <c r="B228" t="n">
        <v>1217.93</v>
      </c>
      <c r="C228">
        <f>C214+A228*1024*C212</f>
        <v/>
      </c>
      <c r="D228">
        <f>B228/C228</f>
        <v/>
      </c>
      <c r="E228" t="n">
        <v>3.34</v>
      </c>
      <c r="F228">
        <f>A228*1024/(C228*0.000001)/1000000000*C213</f>
        <v/>
      </c>
      <c r="G228">
        <f>E228/F228</f>
        <v/>
      </c>
    </row>
    <row r="229">
      <c r="A229" t="n">
        <v>4096</v>
      </c>
      <c r="B229" t="n">
        <v>2322.26</v>
      </c>
      <c r="C229">
        <f>C214+A229*1024*C212</f>
        <v/>
      </c>
      <c r="D229">
        <f>B229/C229</f>
        <v/>
      </c>
      <c r="E229" t="n">
        <v>3.5</v>
      </c>
      <c r="F229">
        <f>A229*1024/(C229*0.000001)/1000000000*C213</f>
        <v/>
      </c>
      <c r="G229">
        <f>E229/F229</f>
        <v/>
      </c>
    </row>
    <row r="230">
      <c r="A230" t="n">
        <v>8192</v>
      </c>
      <c r="B230" t="n">
        <v>4518.15</v>
      </c>
      <c r="C230">
        <f>C214+A230*1024*C212</f>
        <v/>
      </c>
      <c r="D230">
        <f>B230/C230</f>
        <v/>
      </c>
      <c r="E230" t="n">
        <v>3.6</v>
      </c>
      <c r="F230">
        <f>A230*1024/(C230*0.000001)/1000000000*C213</f>
        <v/>
      </c>
      <c r="G230">
        <f>E230/F230</f>
        <v/>
      </c>
    </row>
    <row r="231">
      <c r="A231" t="n">
        <v>16384</v>
      </c>
      <c r="B231" t="n">
        <v>8886.309999999999</v>
      </c>
      <c r="C231">
        <f>C214+A231*1024*C212</f>
        <v/>
      </c>
      <c r="D231">
        <f>B231/C231</f>
        <v/>
      </c>
      <c r="E231" t="n">
        <v>3.66</v>
      </c>
      <c r="F231">
        <f>A231*1024/(C231*0.000001)/1000000000*C213</f>
        <v/>
      </c>
      <c r="G231">
        <f>E231/F231</f>
        <v/>
      </c>
    </row>
    <row r="232">
      <c r="A232" t="n">
        <v>32768</v>
      </c>
      <c r="B232" t="n">
        <v>17664.8</v>
      </c>
      <c r="C232">
        <f>C214+A232*1024*C212</f>
        <v/>
      </c>
      <c r="D232">
        <f>B232/C232</f>
        <v/>
      </c>
      <c r="E232" t="n">
        <v>3.68</v>
      </c>
      <c r="F232">
        <f>A232*1024/(C232*0.000001)/1000000000*C213</f>
        <v/>
      </c>
      <c r="G232">
        <f>E232/F232</f>
        <v/>
      </c>
    </row>
    <row r="233">
      <c r="A233" t="n">
        <v>65536</v>
      </c>
      <c r="B233" t="n">
        <v>35152.4</v>
      </c>
      <c r="C233">
        <f>C214+A233*1024*C212</f>
        <v/>
      </c>
      <c r="D233">
        <f>B233/C233</f>
        <v/>
      </c>
      <c r="E233" t="n">
        <v>3.7</v>
      </c>
      <c r="F233">
        <f>A233*1024/(C233*0.000001)/1000000000*C213</f>
        <v/>
      </c>
      <c r="G233">
        <f>E233/F233</f>
        <v/>
      </c>
    </row>
    <row r="234">
      <c r="A234" t="n">
        <v>131072</v>
      </c>
      <c r="B234" t="n">
        <v>70189.10000000001</v>
      </c>
      <c r="C234">
        <f>C214+A234*1024*C212</f>
        <v/>
      </c>
      <c r="D234">
        <f>B234/C234</f>
        <v/>
      </c>
      <c r="E234" t="n">
        <v>3.7</v>
      </c>
      <c r="F234">
        <f>A234*1024/(C234*0.000001)/1000000000*C213</f>
        <v/>
      </c>
      <c r="G234">
        <f>E234/F234</f>
        <v/>
      </c>
    </row>
    <row r="235">
      <c r="A235" t="n">
        <v>262144</v>
      </c>
      <c r="B235" t="n">
        <v>140176</v>
      </c>
      <c r="C235">
        <f>C214+A235*1024*C212</f>
        <v/>
      </c>
      <c r="D235">
        <f>B235/C235</f>
        <v/>
      </c>
      <c r="E235" t="n">
        <v>3.71</v>
      </c>
      <c r="F235">
        <f>A235*1024/(C235*0.000001)/1000000000*C213</f>
        <v/>
      </c>
      <c r="G235">
        <f>E235/F235</f>
        <v/>
      </c>
    </row>
    <row r="236">
      <c r="A236" t="n">
        <v>524288</v>
      </c>
      <c r="B236" t="n">
        <v>280318</v>
      </c>
      <c r="C236">
        <f>C214+A236*1024*C212</f>
        <v/>
      </c>
      <c r="D236">
        <f>B236/C236</f>
        <v/>
      </c>
      <c r="E236" t="n">
        <v>3.71</v>
      </c>
      <c r="F236">
        <f>A236*1024/(C236*0.000001)/1000000000*C213</f>
        <v/>
      </c>
      <c r="G236">
        <f>E236/F236</f>
        <v/>
      </c>
    </row>
    <row r="237">
      <c r="A237" t="n">
        <v>1048576</v>
      </c>
      <c r="B237" t="n">
        <v>560446</v>
      </c>
      <c r="C237">
        <f>C214+A237*1024*C212</f>
        <v/>
      </c>
      <c r="D237">
        <f>B237/C237</f>
        <v/>
      </c>
      <c r="E237" t="n">
        <v>3.71</v>
      </c>
      <c r="F237">
        <f>A237*1024/(C237*0.000001)/1000000000*C213</f>
        <v/>
      </c>
      <c r="G237">
        <f>E237/F237</f>
        <v/>
      </c>
    </row>
    <row r="238"/>
    <row r="239">
      <c r="A239" t="inlineStr">
        <is>
          <t>Nodes: 4, Protocol: LL, Channels: 2</t>
        </is>
      </c>
    </row>
    <row r="240">
      <c r="A240" t="inlineStr">
        <is>
          <t>Parameter</t>
        </is>
      </c>
      <c r="B240" t="inlineStr">
        <is>
          <t>Formula</t>
        </is>
      </c>
      <c r="C240" t="inlineStr">
        <is>
          <t>Value</t>
        </is>
      </c>
    </row>
    <row r="241">
      <c r="A241" t="inlineStr">
        <is>
          <t>N</t>
        </is>
      </c>
      <c r="B241" t="inlineStr">
        <is>
          <t>nodes</t>
        </is>
      </c>
      <c r="C241" t="n">
        <v>4</v>
      </c>
    </row>
    <row r="242">
      <c r="A242" t="inlineStr">
        <is>
          <t>n</t>
        </is>
      </c>
      <c r="B242" t="inlineStr">
        <is>
          <t>GPUs/node</t>
        </is>
      </c>
      <c r="C242" t="n">
        <v>8</v>
      </c>
    </row>
    <row r="243">
      <c r="A243" t="inlineStr">
        <is>
          <t>n_total</t>
        </is>
      </c>
      <c r="B243" t="inlineStr">
        <is>
          <t>N*n</t>
        </is>
      </c>
      <c r="C243" t="n">
        <v>32</v>
      </c>
    </row>
    <row r="244">
      <c r="A244" t="inlineStr">
        <is>
          <t>nch_raw</t>
        </is>
      </c>
      <c r="B244" t="inlineStr">
        <is>
          <t>raw channels</t>
        </is>
      </c>
      <c r="C244" t="n">
        <v>2</v>
      </c>
    </row>
    <row r="245">
      <c r="A245" t="inlineStr">
        <is>
          <t>nch_eff</t>
        </is>
      </c>
      <c r="B245" t="inlineStr">
        <is>
          <t>min(nch_raw,8)</t>
        </is>
      </c>
      <c r="C245" t="n">
        <v>2</v>
      </c>
    </row>
    <row r="246">
      <c r="A246" t="inlineStr">
        <is>
          <t>a</t>
        </is>
      </c>
      <c r="B246" t="inlineStr">
        <is>
          <t>RTT (us)</t>
        </is>
      </c>
      <c r="C246" t="n">
        <v>24.92</v>
      </c>
    </row>
    <row r="247">
      <c r="A247" t="inlineStr">
        <is>
          <t>NIC_BW</t>
        </is>
      </c>
      <c r="B247" t="inlineStr">
        <is>
          <t>bytes/us</t>
        </is>
      </c>
      <c r="C247" t="n">
        <v>48750</v>
      </c>
    </row>
    <row r="248">
      <c r="A248" t="inlineStr">
        <is>
          <t>intra_node_latency</t>
        </is>
      </c>
      <c r="B248" t="inlineStr">
        <is>
          <t>us</t>
        </is>
      </c>
      <c r="C248" t="n">
        <v>8.4</v>
      </c>
    </row>
    <row r="249">
      <c r="A249" t="inlineStr">
        <is>
          <t>NIC_BW_REAL</t>
        </is>
      </c>
      <c r="B249" t="inlineStr">
        <is>
          <t>nch_eff*(NIC_BW/2)/3</t>
        </is>
      </c>
      <c r="C249">
        <f>C245*(C247/2)/3</f>
        <v/>
      </c>
    </row>
    <row r="250">
      <c r="A250" t="inlineStr">
        <is>
          <t>G</t>
        </is>
      </c>
      <c r="B250" t="inlineStr">
        <is>
          <t>1/NIC_BW_REAL</t>
        </is>
      </c>
      <c r="C250">
        <f>1/C249</f>
        <v/>
      </c>
    </row>
    <row r="251">
      <c r="A251" t="inlineStr">
        <is>
          <t>busbw_factor</t>
        </is>
      </c>
      <c r="B251" t="inlineStr">
        <is>
          <t>2*(n_total-1)/n_total</t>
        </is>
      </c>
      <c r="C251">
        <f>2*(C243-1)/C243</f>
        <v/>
      </c>
    </row>
    <row r="252">
      <c r="A252" t="inlineStr">
        <is>
          <t>fixed_overhead</t>
        </is>
      </c>
      <c r="B252" t="inlineStr">
        <is>
          <t>(2*LOG2(N)+1)*a/2+2*intra</t>
        </is>
      </c>
      <c r="C252">
        <f>(2*LOG(C241,2)+1)*C246/2+2*C248</f>
        <v/>
      </c>
    </row>
    <row r="253"/>
    <row r="254">
      <c r="A254" t="inlineStr">
        <is>
          <t>size_KB</t>
        </is>
      </c>
      <c r="B254" t="inlineStr">
        <is>
          <t>Actual Time (us)</t>
        </is>
      </c>
      <c r="C254" t="inlineStr">
        <is>
          <t>Roofline Time (us)</t>
        </is>
      </c>
      <c r="D254" t="inlineStr">
        <is>
          <t>Actual/Roofline</t>
        </is>
      </c>
      <c r="E254" t="inlineStr">
        <is>
          <t>Actual busBW (GB/s)</t>
        </is>
      </c>
      <c r="F254" t="inlineStr">
        <is>
          <t>Roofline busBW (GB/s)</t>
        </is>
      </c>
      <c r="G254" t="inlineStr">
        <is>
          <t>Meas/Roof busBW</t>
        </is>
      </c>
    </row>
    <row r="255">
      <c r="A255" t="n">
        <v>1</v>
      </c>
      <c r="B255" t="n">
        <v>123.43</v>
      </c>
      <c r="C255">
        <f>C252+A255*1024*C250</f>
        <v/>
      </c>
      <c r="D255">
        <f>B255/C255</f>
        <v/>
      </c>
      <c r="E255" t="n">
        <v>0.02</v>
      </c>
      <c r="F255">
        <f>A255*1024/(C255*0.000001)/1000000000*C251</f>
        <v/>
      </c>
      <c r="G255">
        <f>E255/F255</f>
        <v/>
      </c>
    </row>
    <row r="256">
      <c r="A256" t="n">
        <v>2</v>
      </c>
      <c r="B256" t="n">
        <v>77.95999999999999</v>
      </c>
      <c r="C256">
        <f>C252+A256*1024*C250</f>
        <v/>
      </c>
      <c r="D256">
        <f>B256/C256</f>
        <v/>
      </c>
      <c r="E256" t="n">
        <v>0.05</v>
      </c>
      <c r="F256">
        <f>A256*1024/(C256*0.000001)/1000000000*C251</f>
        <v/>
      </c>
      <c r="G256">
        <f>E256/F256</f>
        <v/>
      </c>
    </row>
    <row r="257">
      <c r="A257" t="n">
        <v>4</v>
      </c>
      <c r="B257" t="n">
        <v>88.26000000000001</v>
      </c>
      <c r="C257">
        <f>C252+A257*1024*C250</f>
        <v/>
      </c>
      <c r="D257">
        <f>B257/C257</f>
        <v/>
      </c>
      <c r="E257" t="n">
        <v>0.09</v>
      </c>
      <c r="F257">
        <f>A257*1024/(C257*0.000001)/1000000000*C251</f>
        <v/>
      </c>
      <c r="G257">
        <f>E257/F257</f>
        <v/>
      </c>
    </row>
    <row r="258">
      <c r="A258" t="n">
        <v>8</v>
      </c>
      <c r="B258" t="n">
        <v>90.95</v>
      </c>
      <c r="C258">
        <f>C252+A258*1024*C250</f>
        <v/>
      </c>
      <c r="D258">
        <f>B258/C258</f>
        <v/>
      </c>
      <c r="E258" t="n">
        <v>0.17</v>
      </c>
      <c r="F258">
        <f>A258*1024/(C258*0.000001)/1000000000*C251</f>
        <v/>
      </c>
      <c r="G258">
        <f>E258/F258</f>
        <v/>
      </c>
    </row>
    <row r="259">
      <c r="A259" t="n">
        <v>16</v>
      </c>
      <c r="B259" t="n">
        <v>98.83</v>
      </c>
      <c r="C259">
        <f>C252+A259*1024*C250</f>
        <v/>
      </c>
      <c r="D259">
        <f>B259/C259</f>
        <v/>
      </c>
      <c r="E259" t="n">
        <v>0.32</v>
      </c>
      <c r="F259">
        <f>A259*1024/(C259*0.000001)/1000000000*C251</f>
        <v/>
      </c>
      <c r="G259">
        <f>E259/F259</f>
        <v/>
      </c>
    </row>
    <row r="260">
      <c r="A260" t="n">
        <v>32</v>
      </c>
      <c r="B260" t="n">
        <v>111.78</v>
      </c>
      <c r="C260">
        <f>C252+A260*1024*C250</f>
        <v/>
      </c>
      <c r="D260">
        <f>B260/C260</f>
        <v/>
      </c>
      <c r="E260" t="n">
        <v>0.57</v>
      </c>
      <c r="F260">
        <f>A260*1024/(C260*0.000001)/1000000000*C251</f>
        <v/>
      </c>
      <c r="G260">
        <f>E260/F260</f>
        <v/>
      </c>
    </row>
    <row r="261">
      <c r="A261" t="n">
        <v>64</v>
      </c>
      <c r="B261" t="n">
        <v>136.87</v>
      </c>
      <c r="C261">
        <f>C252+A261*1024*C250</f>
        <v/>
      </c>
      <c r="D261">
        <f>B261/C261</f>
        <v/>
      </c>
      <c r="E261" t="n">
        <v>0.93</v>
      </c>
      <c r="F261">
        <f>A261*1024/(C261*0.000001)/1000000000*C251</f>
        <v/>
      </c>
      <c r="G261">
        <f>E261/F261</f>
        <v/>
      </c>
    </row>
    <row r="262">
      <c r="A262" t="n">
        <v>128</v>
      </c>
      <c r="B262" t="n">
        <v>152.04</v>
      </c>
      <c r="C262">
        <f>C252+A262*1024*C250</f>
        <v/>
      </c>
      <c r="D262">
        <f>B262/C262</f>
        <v/>
      </c>
      <c r="E262" t="n">
        <v>1.67</v>
      </c>
      <c r="F262">
        <f>A262*1024/(C262*0.000001)/1000000000*C251</f>
        <v/>
      </c>
      <c r="G262">
        <f>E262/F262</f>
        <v/>
      </c>
    </row>
    <row r="263">
      <c r="A263" t="n">
        <v>256</v>
      </c>
      <c r="B263" t="n">
        <v>176.44</v>
      </c>
      <c r="C263">
        <f>C252+A263*1024*C250</f>
        <v/>
      </c>
      <c r="D263">
        <f>B263/C263</f>
        <v/>
      </c>
      <c r="E263" t="n">
        <v>2.88</v>
      </c>
      <c r="F263">
        <f>A263*1024/(C263*0.000001)/1000000000*C251</f>
        <v/>
      </c>
      <c r="G263">
        <f>E263/F263</f>
        <v/>
      </c>
    </row>
    <row r="264">
      <c r="A264" t="n">
        <v>512</v>
      </c>
      <c r="B264" t="n">
        <v>232.55</v>
      </c>
      <c r="C264">
        <f>C252+A264*1024*C250</f>
        <v/>
      </c>
      <c r="D264">
        <f>B264/C264</f>
        <v/>
      </c>
      <c r="E264" t="n">
        <v>4.37</v>
      </c>
      <c r="F264">
        <f>A264*1024/(C264*0.000001)/1000000000*C251</f>
        <v/>
      </c>
      <c r="G264">
        <f>E264/F264</f>
        <v/>
      </c>
    </row>
    <row r="265">
      <c r="A265" t="n">
        <v>1024</v>
      </c>
      <c r="B265" t="n">
        <v>397.09</v>
      </c>
      <c r="C265">
        <f>C252+A265*1024*C250</f>
        <v/>
      </c>
      <c r="D265">
        <f>B265/C265</f>
        <v/>
      </c>
      <c r="E265" t="n">
        <v>5.12</v>
      </c>
      <c r="F265">
        <f>A265*1024/(C265*0.000001)/1000000000*C251</f>
        <v/>
      </c>
      <c r="G265">
        <f>E265/F265</f>
        <v/>
      </c>
    </row>
    <row r="266">
      <c r="A266" t="n">
        <v>2048</v>
      </c>
      <c r="B266" t="n">
        <v>710.14</v>
      </c>
      <c r="C266">
        <f>C252+A266*1024*C250</f>
        <v/>
      </c>
      <c r="D266">
        <f>B266/C266</f>
        <v/>
      </c>
      <c r="E266" t="n">
        <v>5.72</v>
      </c>
      <c r="F266">
        <f>A266*1024/(C266*0.000001)/1000000000*C251</f>
        <v/>
      </c>
      <c r="G266">
        <f>E266/F266</f>
        <v/>
      </c>
    </row>
    <row r="267">
      <c r="A267" t="n">
        <v>4096</v>
      </c>
      <c r="B267" t="n">
        <v>1341.67</v>
      </c>
      <c r="C267">
        <f>C252+A267*1024*C250</f>
        <v/>
      </c>
      <c r="D267">
        <f>B267/C267</f>
        <v/>
      </c>
      <c r="E267" t="n">
        <v>6.06</v>
      </c>
      <c r="F267">
        <f>A267*1024/(C267*0.000001)/1000000000*C251</f>
        <v/>
      </c>
      <c r="G267">
        <f>E267/F267</f>
        <v/>
      </c>
    </row>
    <row r="268">
      <c r="A268" t="n">
        <v>8192</v>
      </c>
      <c r="B268" t="n">
        <v>2565.08</v>
      </c>
      <c r="C268">
        <f>C252+A268*1024*C250</f>
        <v/>
      </c>
      <c r="D268">
        <f>B268/C268</f>
        <v/>
      </c>
      <c r="E268" t="n">
        <v>6.34</v>
      </c>
      <c r="F268">
        <f>A268*1024/(C268*0.000001)/1000000000*C251</f>
        <v/>
      </c>
      <c r="G268">
        <f>E268/F268</f>
        <v/>
      </c>
    </row>
    <row r="269">
      <c r="A269" t="n">
        <v>16384</v>
      </c>
      <c r="B269" t="n">
        <v>5018.89</v>
      </c>
      <c r="C269">
        <f>C252+A269*1024*C250</f>
        <v/>
      </c>
      <c r="D269">
        <f>B269/C269</f>
        <v/>
      </c>
      <c r="E269" t="n">
        <v>6.48</v>
      </c>
      <c r="F269">
        <f>A269*1024/(C269*0.000001)/1000000000*C251</f>
        <v/>
      </c>
      <c r="G269">
        <f>E269/F269</f>
        <v/>
      </c>
    </row>
    <row r="270">
      <c r="A270" t="n">
        <v>32768</v>
      </c>
      <c r="B270" t="n">
        <v>9950.969999999999</v>
      </c>
      <c r="C270">
        <f>C252+A270*1024*C250</f>
        <v/>
      </c>
      <c r="D270">
        <f>B270/C270</f>
        <v/>
      </c>
      <c r="E270" t="n">
        <v>6.53</v>
      </c>
      <c r="F270">
        <f>A270*1024/(C270*0.000001)/1000000000*C251</f>
        <v/>
      </c>
      <c r="G270">
        <f>E270/F270</f>
        <v/>
      </c>
    </row>
    <row r="271">
      <c r="A271" t="n">
        <v>65536</v>
      </c>
      <c r="B271" t="n">
        <v>19827.2</v>
      </c>
      <c r="C271">
        <f>C252+A271*1024*C250</f>
        <v/>
      </c>
      <c r="D271">
        <f>B271/C271</f>
        <v/>
      </c>
      <c r="E271" t="n">
        <v>6.56</v>
      </c>
      <c r="F271">
        <f>A271*1024/(C271*0.000001)/1000000000*C251</f>
        <v/>
      </c>
      <c r="G271">
        <f>E271/F271</f>
        <v/>
      </c>
    </row>
    <row r="272">
      <c r="A272" t="n">
        <v>131072</v>
      </c>
      <c r="B272" t="n">
        <v>39537.2</v>
      </c>
      <c r="C272">
        <f>C252+A272*1024*C250</f>
        <v/>
      </c>
      <c r="D272">
        <f>B272/C272</f>
        <v/>
      </c>
      <c r="E272" t="n">
        <v>6.58</v>
      </c>
      <c r="F272">
        <f>A272*1024/(C272*0.000001)/1000000000*C251</f>
        <v/>
      </c>
      <c r="G272">
        <f>E272/F272</f>
        <v/>
      </c>
    </row>
    <row r="273">
      <c r="A273" t="n">
        <v>262144</v>
      </c>
      <c r="B273" t="n">
        <v>78988.60000000001</v>
      </c>
      <c r="C273">
        <f>C252+A273*1024*C250</f>
        <v/>
      </c>
      <c r="D273">
        <f>B273/C273</f>
        <v/>
      </c>
      <c r="E273" t="n">
        <v>6.58</v>
      </c>
      <c r="F273">
        <f>A273*1024/(C273*0.000001)/1000000000*C251</f>
        <v/>
      </c>
      <c r="G273">
        <f>E273/F273</f>
        <v/>
      </c>
    </row>
    <row r="274">
      <c r="A274" t="n">
        <v>524288</v>
      </c>
      <c r="B274" t="n">
        <v>157995</v>
      </c>
      <c r="C274">
        <f>C252+A274*1024*C250</f>
        <v/>
      </c>
      <c r="D274">
        <f>B274/C274</f>
        <v/>
      </c>
      <c r="E274" t="n">
        <v>6.58</v>
      </c>
      <c r="F274">
        <f>A274*1024/(C274*0.000001)/1000000000*C251</f>
        <v/>
      </c>
      <c r="G274">
        <f>E274/F274</f>
        <v/>
      </c>
    </row>
    <row r="275">
      <c r="A275" t="n">
        <v>1048576</v>
      </c>
      <c r="B275" t="n">
        <v>315679</v>
      </c>
      <c r="C275">
        <f>C252+A275*1024*C250</f>
        <v/>
      </c>
      <c r="D275">
        <f>B275/C275</f>
        <v/>
      </c>
      <c r="E275" t="n">
        <v>6.59</v>
      </c>
      <c r="F275">
        <f>A275*1024/(C275*0.000001)/1000000000*C251</f>
        <v/>
      </c>
      <c r="G275">
        <f>E275/F275</f>
        <v/>
      </c>
    </row>
    <row r="276"/>
    <row r="277">
      <c r="A277" t="inlineStr">
        <is>
          <t>Nodes: 4, Protocol: LL, Channels: 4</t>
        </is>
      </c>
    </row>
    <row r="278">
      <c r="A278" t="inlineStr">
        <is>
          <t>Parameter</t>
        </is>
      </c>
      <c r="B278" t="inlineStr">
        <is>
          <t>Formula</t>
        </is>
      </c>
      <c r="C278" t="inlineStr">
        <is>
          <t>Value</t>
        </is>
      </c>
    </row>
    <row r="279">
      <c r="A279" t="inlineStr">
        <is>
          <t>N</t>
        </is>
      </c>
      <c r="B279" t="inlineStr">
        <is>
          <t>nodes</t>
        </is>
      </c>
      <c r="C279" t="n">
        <v>4</v>
      </c>
    </row>
    <row r="280">
      <c r="A280" t="inlineStr">
        <is>
          <t>n</t>
        </is>
      </c>
      <c r="B280" t="inlineStr">
        <is>
          <t>GPUs/node</t>
        </is>
      </c>
      <c r="C280" t="n">
        <v>8</v>
      </c>
    </row>
    <row r="281">
      <c r="A281" t="inlineStr">
        <is>
          <t>n_total</t>
        </is>
      </c>
      <c r="B281" t="inlineStr">
        <is>
          <t>N*n</t>
        </is>
      </c>
      <c r="C281" t="n">
        <v>32</v>
      </c>
    </row>
    <row r="282">
      <c r="A282" t="inlineStr">
        <is>
          <t>nch_raw</t>
        </is>
      </c>
      <c r="B282" t="inlineStr">
        <is>
          <t>raw channels</t>
        </is>
      </c>
      <c r="C282" t="n">
        <v>4</v>
      </c>
    </row>
    <row r="283">
      <c r="A283" t="inlineStr">
        <is>
          <t>nch_eff</t>
        </is>
      </c>
      <c r="B283" t="inlineStr">
        <is>
          <t>min(nch_raw,8)</t>
        </is>
      </c>
      <c r="C283" t="n">
        <v>4</v>
      </c>
    </row>
    <row r="284">
      <c r="A284" t="inlineStr">
        <is>
          <t>a</t>
        </is>
      </c>
      <c r="B284" t="inlineStr">
        <is>
          <t>RTT (us)</t>
        </is>
      </c>
      <c r="C284" t="n">
        <v>24.92</v>
      </c>
    </row>
    <row r="285">
      <c r="A285" t="inlineStr">
        <is>
          <t>NIC_BW</t>
        </is>
      </c>
      <c r="B285" t="inlineStr">
        <is>
          <t>bytes/us</t>
        </is>
      </c>
      <c r="C285" t="n">
        <v>48750</v>
      </c>
    </row>
    <row r="286">
      <c r="A286" t="inlineStr">
        <is>
          <t>intra_node_latency</t>
        </is>
      </c>
      <c r="B286" t="inlineStr">
        <is>
          <t>us</t>
        </is>
      </c>
      <c r="C286" t="n">
        <v>8.4</v>
      </c>
    </row>
    <row r="287">
      <c r="A287" t="inlineStr">
        <is>
          <t>NIC_BW_REAL</t>
        </is>
      </c>
      <c r="B287" t="inlineStr">
        <is>
          <t>nch_eff*(NIC_BW/2)/3</t>
        </is>
      </c>
      <c r="C287">
        <f>C283*(C285/2)/3</f>
        <v/>
      </c>
    </row>
    <row r="288">
      <c r="A288" t="inlineStr">
        <is>
          <t>G</t>
        </is>
      </c>
      <c r="B288" t="inlineStr">
        <is>
          <t>1/NIC_BW_REAL</t>
        </is>
      </c>
      <c r="C288">
        <f>1/C287</f>
        <v/>
      </c>
    </row>
    <row r="289">
      <c r="A289" t="inlineStr">
        <is>
          <t>busbw_factor</t>
        </is>
      </c>
      <c r="B289" t="inlineStr">
        <is>
          <t>2*(n_total-1)/n_total</t>
        </is>
      </c>
      <c r="C289">
        <f>2*(C281-1)/C281</f>
        <v/>
      </c>
    </row>
    <row r="290">
      <c r="A290" t="inlineStr">
        <is>
          <t>fixed_overhead</t>
        </is>
      </c>
      <c r="B290" t="inlineStr">
        <is>
          <t>(2*LOG2(N)+1)*a/2+2*intra</t>
        </is>
      </c>
      <c r="C290">
        <f>(2*LOG(C279,2)+1)*C284/2+2*C286</f>
        <v/>
      </c>
    </row>
    <row r="291"/>
    <row r="292">
      <c r="A292" t="inlineStr">
        <is>
          <t>size_KB</t>
        </is>
      </c>
      <c r="B292" t="inlineStr">
        <is>
          <t>Actual Time (us)</t>
        </is>
      </c>
      <c r="C292" t="inlineStr">
        <is>
          <t>Roofline Time (us)</t>
        </is>
      </c>
      <c r="D292" t="inlineStr">
        <is>
          <t>Actual/Roofline</t>
        </is>
      </c>
      <c r="E292" t="inlineStr">
        <is>
          <t>Actual busBW (GB/s)</t>
        </is>
      </c>
      <c r="F292" t="inlineStr">
        <is>
          <t>Roofline busBW (GB/s)</t>
        </is>
      </c>
      <c r="G292" t="inlineStr">
        <is>
          <t>Meas/Roof busBW</t>
        </is>
      </c>
    </row>
    <row r="293">
      <c r="A293" t="n">
        <v>1</v>
      </c>
      <c r="B293" t="n">
        <v>75.19</v>
      </c>
      <c r="C293">
        <f>C290+A293*1024*C288</f>
        <v/>
      </c>
      <c r="D293">
        <f>B293/C293</f>
        <v/>
      </c>
      <c r="E293" t="n">
        <v>0.03</v>
      </c>
      <c r="F293">
        <f>A293*1024/(C293*0.000001)/1000000000*C289</f>
        <v/>
      </c>
      <c r="G293">
        <f>E293/F293</f>
        <v/>
      </c>
    </row>
    <row r="294">
      <c r="A294" t="n">
        <v>2</v>
      </c>
      <c r="B294" t="n">
        <v>77.39</v>
      </c>
      <c r="C294">
        <f>C290+A294*1024*C288</f>
        <v/>
      </c>
      <c r="D294">
        <f>B294/C294</f>
        <v/>
      </c>
      <c r="E294" t="n">
        <v>0.05</v>
      </c>
      <c r="F294">
        <f>A294*1024/(C294*0.000001)/1000000000*C289</f>
        <v/>
      </c>
      <c r="G294">
        <f>E294/F294</f>
        <v/>
      </c>
    </row>
    <row r="295">
      <c r="A295" t="n">
        <v>4</v>
      </c>
      <c r="B295" t="n">
        <v>88.34</v>
      </c>
      <c r="C295">
        <f>C290+A295*1024*C288</f>
        <v/>
      </c>
      <c r="D295">
        <f>B295/C295</f>
        <v/>
      </c>
      <c r="E295" t="n">
        <v>0.09</v>
      </c>
      <c r="F295">
        <f>A295*1024/(C295*0.000001)/1000000000*C289</f>
        <v/>
      </c>
      <c r="G295">
        <f>E295/F295</f>
        <v/>
      </c>
    </row>
    <row r="296">
      <c r="A296" t="n">
        <v>8</v>
      </c>
      <c r="B296" t="n">
        <v>89.86</v>
      </c>
      <c r="C296">
        <f>C290+A296*1024*C288</f>
        <v/>
      </c>
      <c r="D296">
        <f>B296/C296</f>
        <v/>
      </c>
      <c r="E296" t="n">
        <v>0.18</v>
      </c>
      <c r="F296">
        <f>A296*1024/(C296*0.000001)/1000000000*C289</f>
        <v/>
      </c>
      <c r="G296">
        <f>E296/F296</f>
        <v/>
      </c>
    </row>
    <row r="297">
      <c r="A297" t="n">
        <v>16</v>
      </c>
      <c r="B297" t="n">
        <v>93.09999999999999</v>
      </c>
      <c r="C297">
        <f>C290+A297*1024*C288</f>
        <v/>
      </c>
      <c r="D297">
        <f>B297/C297</f>
        <v/>
      </c>
      <c r="E297" t="n">
        <v>0.34</v>
      </c>
      <c r="F297">
        <f>A297*1024/(C297*0.000001)/1000000000*C289</f>
        <v/>
      </c>
      <c r="G297">
        <f>E297/F297</f>
        <v/>
      </c>
    </row>
    <row r="298">
      <c r="A298" t="n">
        <v>32</v>
      </c>
      <c r="B298" t="n">
        <v>102.27</v>
      </c>
      <c r="C298">
        <f>C290+A298*1024*C288</f>
        <v/>
      </c>
      <c r="D298">
        <f>B298/C298</f>
        <v/>
      </c>
      <c r="E298" t="n">
        <v>0.62</v>
      </c>
      <c r="F298">
        <f>A298*1024/(C298*0.000001)/1000000000*C289</f>
        <v/>
      </c>
      <c r="G298">
        <f>E298/F298</f>
        <v/>
      </c>
    </row>
    <row r="299">
      <c r="A299" t="n">
        <v>64</v>
      </c>
      <c r="B299" t="n">
        <v>115.61</v>
      </c>
      <c r="C299">
        <f>C290+A299*1024*C288</f>
        <v/>
      </c>
      <c r="D299">
        <f>B299/C299</f>
        <v/>
      </c>
      <c r="E299" t="n">
        <v>1.1</v>
      </c>
      <c r="F299">
        <f>A299*1024/(C299*0.000001)/1000000000*C289</f>
        <v/>
      </c>
      <c r="G299">
        <f>E299/F299</f>
        <v/>
      </c>
    </row>
    <row r="300">
      <c r="A300" t="n">
        <v>128</v>
      </c>
      <c r="B300" t="n">
        <v>140.25</v>
      </c>
      <c r="C300">
        <f>C290+A300*1024*C288</f>
        <v/>
      </c>
      <c r="D300">
        <f>B300/C300</f>
        <v/>
      </c>
      <c r="E300" t="n">
        <v>1.81</v>
      </c>
      <c r="F300">
        <f>A300*1024/(C300*0.000001)/1000000000*C289</f>
        <v/>
      </c>
      <c r="G300">
        <f>E300/F300</f>
        <v/>
      </c>
    </row>
    <row r="301">
      <c r="A301" t="n">
        <v>256</v>
      </c>
      <c r="B301" t="n">
        <v>157.81</v>
      </c>
      <c r="C301">
        <f>C290+A301*1024*C288</f>
        <v/>
      </c>
      <c r="D301">
        <f>B301/C301</f>
        <v/>
      </c>
      <c r="E301" t="n">
        <v>3.22</v>
      </c>
      <c r="F301">
        <f>A301*1024/(C301*0.000001)/1000000000*C289</f>
        <v/>
      </c>
      <c r="G301">
        <f>E301/F301</f>
        <v/>
      </c>
    </row>
    <row r="302">
      <c r="A302" t="n">
        <v>512</v>
      </c>
      <c r="B302" t="n">
        <v>184.56</v>
      </c>
      <c r="C302">
        <f>C290+A302*1024*C288</f>
        <v/>
      </c>
      <c r="D302">
        <f>B302/C302</f>
        <v/>
      </c>
      <c r="E302" t="n">
        <v>5.5</v>
      </c>
      <c r="F302">
        <f>A302*1024/(C302*0.000001)/1000000000*C289</f>
        <v/>
      </c>
      <c r="G302">
        <f>E302/F302</f>
        <v/>
      </c>
    </row>
    <row r="303">
      <c r="A303" t="n">
        <v>1024</v>
      </c>
      <c r="B303" t="n">
        <v>246.89</v>
      </c>
      <c r="C303">
        <f>C290+A303*1024*C288</f>
        <v/>
      </c>
      <c r="D303">
        <f>B303/C303</f>
        <v/>
      </c>
      <c r="E303" t="n">
        <v>8.23</v>
      </c>
      <c r="F303">
        <f>A303*1024/(C303*0.000001)/1000000000*C289</f>
        <v/>
      </c>
      <c r="G303">
        <f>E303/F303</f>
        <v/>
      </c>
    </row>
    <row r="304">
      <c r="A304" t="n">
        <v>2048</v>
      </c>
      <c r="B304" t="n">
        <v>423.39</v>
      </c>
      <c r="C304">
        <f>C290+A304*1024*C288</f>
        <v/>
      </c>
      <c r="D304">
        <f>B304/C304</f>
        <v/>
      </c>
      <c r="E304" t="n">
        <v>9.6</v>
      </c>
      <c r="F304">
        <f>A304*1024/(C304*0.000001)/1000000000*C289</f>
        <v/>
      </c>
      <c r="G304">
        <f>E304/F304</f>
        <v/>
      </c>
    </row>
    <row r="305">
      <c r="A305" t="n">
        <v>4096</v>
      </c>
      <c r="B305" t="n">
        <v>775.52</v>
      </c>
      <c r="C305">
        <f>C290+A305*1024*C288</f>
        <v/>
      </c>
      <c r="D305">
        <f>B305/C305</f>
        <v/>
      </c>
      <c r="E305" t="n">
        <v>10.48</v>
      </c>
      <c r="F305">
        <f>A305*1024/(C305*0.000001)/1000000000*C289</f>
        <v/>
      </c>
      <c r="G305">
        <f>E305/F305</f>
        <v/>
      </c>
    </row>
    <row r="306">
      <c r="A306" t="n">
        <v>8192</v>
      </c>
      <c r="B306" t="n">
        <v>1458.7</v>
      </c>
      <c r="C306">
        <f>C290+A306*1024*C288</f>
        <v/>
      </c>
      <c r="D306">
        <f>B306/C306</f>
        <v/>
      </c>
      <c r="E306" t="n">
        <v>11.14</v>
      </c>
      <c r="F306">
        <f>A306*1024/(C306*0.000001)/1000000000*C289</f>
        <v/>
      </c>
      <c r="G306">
        <f>E306/F306</f>
        <v/>
      </c>
    </row>
    <row r="307">
      <c r="A307" t="n">
        <v>16384</v>
      </c>
      <c r="B307" t="n">
        <v>2814.26</v>
      </c>
      <c r="C307">
        <f>C290+A307*1024*C288</f>
        <v/>
      </c>
      <c r="D307">
        <f>B307/C307</f>
        <v/>
      </c>
      <c r="E307" t="n">
        <v>11.55</v>
      </c>
      <c r="F307">
        <f>A307*1024/(C307*0.000001)/1000000000*C289</f>
        <v/>
      </c>
      <c r="G307">
        <f>E307/F307</f>
        <v/>
      </c>
    </row>
    <row r="308">
      <c r="A308" t="n">
        <v>32768</v>
      </c>
      <c r="B308" t="n">
        <v>5529.74</v>
      </c>
      <c r="C308">
        <f>C290+A308*1024*C288</f>
        <v/>
      </c>
      <c r="D308">
        <f>B308/C308</f>
        <v/>
      </c>
      <c r="E308" t="n">
        <v>11.76</v>
      </c>
      <c r="F308">
        <f>A308*1024/(C308*0.000001)/1000000000*C289</f>
        <v/>
      </c>
      <c r="G308">
        <f>E308/F308</f>
        <v/>
      </c>
    </row>
    <row r="309">
      <c r="A309" t="n">
        <v>65536</v>
      </c>
      <c r="B309" t="n">
        <v>10969.8</v>
      </c>
      <c r="C309">
        <f>C290+A309*1024*C288</f>
        <v/>
      </c>
      <c r="D309">
        <f>B309/C309</f>
        <v/>
      </c>
      <c r="E309" t="n">
        <v>11.85</v>
      </c>
      <c r="F309">
        <f>A309*1024/(C309*0.000001)/1000000000*C289</f>
        <v/>
      </c>
      <c r="G309">
        <f>E309/F309</f>
        <v/>
      </c>
    </row>
    <row r="310">
      <c r="A310" t="n">
        <v>131072</v>
      </c>
      <c r="B310" t="n">
        <v>21720.4</v>
      </c>
      <c r="C310">
        <f>C290+A310*1024*C288</f>
        <v/>
      </c>
      <c r="D310">
        <f>B310/C310</f>
        <v/>
      </c>
      <c r="E310" t="n">
        <v>11.97</v>
      </c>
      <c r="F310">
        <f>A310*1024/(C310*0.000001)/1000000000*C289</f>
        <v/>
      </c>
      <c r="G310">
        <f>E310/F310</f>
        <v/>
      </c>
    </row>
    <row r="311">
      <c r="A311" t="n">
        <v>262144</v>
      </c>
      <c r="B311" t="n">
        <v>43229.9</v>
      </c>
      <c r="C311">
        <f>C290+A311*1024*C288</f>
        <v/>
      </c>
      <c r="D311">
        <f>B311/C311</f>
        <v/>
      </c>
      <c r="E311" t="n">
        <v>12.03</v>
      </c>
      <c r="F311">
        <f>A311*1024/(C311*0.000001)/1000000000*C289</f>
        <v/>
      </c>
      <c r="G311">
        <f>E311/F311</f>
        <v/>
      </c>
    </row>
    <row r="312">
      <c r="A312" t="n">
        <v>524288</v>
      </c>
      <c r="B312" t="n">
        <v>86611.60000000001</v>
      </c>
      <c r="C312">
        <f>C290+A312*1024*C288</f>
        <v/>
      </c>
      <c r="D312">
        <f>B312/C312</f>
        <v/>
      </c>
      <c r="E312" t="n">
        <v>12.01</v>
      </c>
      <c r="F312">
        <f>A312*1024/(C312*0.000001)/1000000000*C289</f>
        <v/>
      </c>
      <c r="G312">
        <f>E312/F312</f>
        <v/>
      </c>
    </row>
    <row r="313">
      <c r="A313" t="n">
        <v>1048576</v>
      </c>
      <c r="B313" t="n">
        <v>172358</v>
      </c>
      <c r="C313">
        <f>C290+A313*1024*C288</f>
        <v/>
      </c>
      <c r="D313">
        <f>B313/C313</f>
        <v/>
      </c>
      <c r="E313" t="n">
        <v>12.07</v>
      </c>
      <c r="F313">
        <f>A313*1024/(C313*0.000001)/1000000000*C289</f>
        <v/>
      </c>
      <c r="G313">
        <f>E313/F313</f>
        <v/>
      </c>
    </row>
    <row r="314"/>
    <row r="315">
      <c r="A315" t="inlineStr">
        <is>
          <t>Nodes: 4, Protocol: LL, Channels: 8</t>
        </is>
      </c>
    </row>
    <row r="316">
      <c r="A316" t="inlineStr">
        <is>
          <t>Parameter</t>
        </is>
      </c>
      <c r="B316" t="inlineStr">
        <is>
          <t>Formula</t>
        </is>
      </c>
      <c r="C316" t="inlineStr">
        <is>
          <t>Value</t>
        </is>
      </c>
    </row>
    <row r="317">
      <c r="A317" t="inlineStr">
        <is>
          <t>N</t>
        </is>
      </c>
      <c r="B317" t="inlineStr">
        <is>
          <t>nodes</t>
        </is>
      </c>
      <c r="C317" t="n">
        <v>4</v>
      </c>
    </row>
    <row r="318">
      <c r="A318" t="inlineStr">
        <is>
          <t>n</t>
        </is>
      </c>
      <c r="B318" t="inlineStr">
        <is>
          <t>GPUs/node</t>
        </is>
      </c>
      <c r="C318" t="n">
        <v>8</v>
      </c>
    </row>
    <row r="319">
      <c r="A319" t="inlineStr">
        <is>
          <t>n_total</t>
        </is>
      </c>
      <c r="B319" t="inlineStr">
        <is>
          <t>N*n</t>
        </is>
      </c>
      <c r="C319" t="n">
        <v>32</v>
      </c>
    </row>
    <row r="320">
      <c r="A320" t="inlineStr">
        <is>
          <t>nch_raw</t>
        </is>
      </c>
      <c r="B320" t="inlineStr">
        <is>
          <t>raw channels</t>
        </is>
      </c>
      <c r="C320" t="n">
        <v>8</v>
      </c>
    </row>
    <row r="321">
      <c r="A321" t="inlineStr">
        <is>
          <t>nch_eff</t>
        </is>
      </c>
      <c r="B321" t="inlineStr">
        <is>
          <t>min(nch_raw,8)</t>
        </is>
      </c>
      <c r="C321" t="n">
        <v>8</v>
      </c>
    </row>
    <row r="322">
      <c r="A322" t="inlineStr">
        <is>
          <t>a</t>
        </is>
      </c>
      <c r="B322" t="inlineStr">
        <is>
          <t>RTT (us)</t>
        </is>
      </c>
      <c r="C322" t="n">
        <v>24.92</v>
      </c>
    </row>
    <row r="323">
      <c r="A323" t="inlineStr">
        <is>
          <t>NIC_BW</t>
        </is>
      </c>
      <c r="B323" t="inlineStr">
        <is>
          <t>bytes/us</t>
        </is>
      </c>
      <c r="C323" t="n">
        <v>48750</v>
      </c>
    </row>
    <row r="324">
      <c r="A324" t="inlineStr">
        <is>
          <t>intra_node_latency</t>
        </is>
      </c>
      <c r="B324" t="inlineStr">
        <is>
          <t>us</t>
        </is>
      </c>
      <c r="C324" t="n">
        <v>8.4</v>
      </c>
    </row>
    <row r="325">
      <c r="A325" t="inlineStr">
        <is>
          <t>NIC_BW_REAL</t>
        </is>
      </c>
      <c r="B325" t="inlineStr">
        <is>
          <t>nch_eff*(NIC_BW/2)/3</t>
        </is>
      </c>
      <c r="C325">
        <f>C321*(C323/2)/3</f>
        <v/>
      </c>
    </row>
    <row r="326">
      <c r="A326" t="inlineStr">
        <is>
          <t>G</t>
        </is>
      </c>
      <c r="B326" t="inlineStr">
        <is>
          <t>1/NIC_BW_REAL</t>
        </is>
      </c>
      <c r="C326">
        <f>1/C325</f>
        <v/>
      </c>
    </row>
    <row r="327">
      <c r="A327" t="inlineStr">
        <is>
          <t>busbw_factor</t>
        </is>
      </c>
      <c r="B327" t="inlineStr">
        <is>
          <t>2*(n_total-1)/n_total</t>
        </is>
      </c>
      <c r="C327">
        <f>2*(C319-1)/C319</f>
        <v/>
      </c>
    </row>
    <row r="328">
      <c r="A328" t="inlineStr">
        <is>
          <t>fixed_overhead</t>
        </is>
      </c>
      <c r="B328" t="inlineStr">
        <is>
          <t>(2*LOG2(N)+1)*a/2+2*intra</t>
        </is>
      </c>
      <c r="C328">
        <f>(2*LOG(C317,2)+1)*C322/2+2*C324</f>
        <v/>
      </c>
    </row>
    <row r="329"/>
    <row r="330">
      <c r="A330" t="inlineStr">
        <is>
          <t>size_KB</t>
        </is>
      </c>
      <c r="B330" t="inlineStr">
        <is>
          <t>Actual Time (us)</t>
        </is>
      </c>
      <c r="C330" t="inlineStr">
        <is>
          <t>Roofline Time (us)</t>
        </is>
      </c>
      <c r="D330" t="inlineStr">
        <is>
          <t>Actual/Roofline</t>
        </is>
      </c>
      <c r="E330" t="inlineStr">
        <is>
          <t>Actual busBW (GB/s)</t>
        </is>
      </c>
      <c r="F330" t="inlineStr">
        <is>
          <t>Roofline busBW (GB/s)</t>
        </is>
      </c>
      <c r="G330" t="inlineStr">
        <is>
          <t>Meas/Roof busBW</t>
        </is>
      </c>
    </row>
    <row r="331">
      <c r="A331" t="n">
        <v>1</v>
      </c>
      <c r="B331" t="n">
        <v>73.66</v>
      </c>
      <c r="C331">
        <f>C328+A331*1024*C326</f>
        <v/>
      </c>
      <c r="D331">
        <f>B331/C331</f>
        <v/>
      </c>
      <c r="E331" t="n">
        <v>0.03</v>
      </c>
      <c r="F331">
        <f>A331*1024/(C331*0.000001)/1000000000*C327</f>
        <v/>
      </c>
      <c r="G331">
        <f>E331/F331</f>
        <v/>
      </c>
    </row>
    <row r="332">
      <c r="A332" t="n">
        <v>2</v>
      </c>
      <c r="B332" t="n">
        <v>77.59</v>
      </c>
      <c r="C332">
        <f>C328+A332*1024*C326</f>
        <v/>
      </c>
      <c r="D332">
        <f>B332/C332</f>
        <v/>
      </c>
      <c r="E332" t="n">
        <v>0.05</v>
      </c>
      <c r="F332">
        <f>A332*1024/(C332*0.000001)/1000000000*C327</f>
        <v/>
      </c>
      <c r="G332">
        <f>E332/F332</f>
        <v/>
      </c>
    </row>
    <row r="333">
      <c r="A333" t="n">
        <v>4</v>
      </c>
      <c r="B333" t="n">
        <v>88.31</v>
      </c>
      <c r="C333">
        <f>C328+A333*1024*C326</f>
        <v/>
      </c>
      <c r="D333">
        <f>B333/C333</f>
        <v/>
      </c>
      <c r="E333" t="n">
        <v>0.09</v>
      </c>
      <c r="F333">
        <f>A333*1024/(C333*0.000001)/1000000000*C327</f>
        <v/>
      </c>
      <c r="G333">
        <f>E333/F333</f>
        <v/>
      </c>
    </row>
    <row r="334">
      <c r="A334" t="n">
        <v>8</v>
      </c>
      <c r="B334" t="n">
        <v>90.06</v>
      </c>
      <c r="C334">
        <f>C328+A334*1024*C326</f>
        <v/>
      </c>
      <c r="D334">
        <f>B334/C334</f>
        <v/>
      </c>
      <c r="E334" t="n">
        <v>0.18</v>
      </c>
      <c r="F334">
        <f>A334*1024/(C334*0.000001)/1000000000*C327</f>
        <v/>
      </c>
      <c r="G334">
        <f>E334/F334</f>
        <v/>
      </c>
    </row>
    <row r="335">
      <c r="A335" t="n">
        <v>16</v>
      </c>
      <c r="B335" t="n">
        <v>90.72</v>
      </c>
      <c r="C335">
        <f>C328+A335*1024*C326</f>
        <v/>
      </c>
      <c r="D335">
        <f>B335/C335</f>
        <v/>
      </c>
      <c r="E335" t="n">
        <v>0.35</v>
      </c>
      <c r="F335">
        <f>A335*1024/(C335*0.000001)/1000000000*C327</f>
        <v/>
      </c>
      <c r="G335">
        <f>E335/F335</f>
        <v/>
      </c>
    </row>
    <row r="336">
      <c r="A336" t="n">
        <v>32</v>
      </c>
      <c r="B336" t="n">
        <v>91.20999999999999</v>
      </c>
      <c r="C336">
        <f>C328+A336*1024*C326</f>
        <v/>
      </c>
      <c r="D336">
        <f>B336/C336</f>
        <v/>
      </c>
      <c r="E336" t="n">
        <v>0.7</v>
      </c>
      <c r="F336">
        <f>A336*1024/(C336*0.000001)/1000000000*C327</f>
        <v/>
      </c>
      <c r="G336">
        <f>E336/F336</f>
        <v/>
      </c>
    </row>
    <row r="337">
      <c r="A337" t="n">
        <v>64</v>
      </c>
      <c r="B337" t="n">
        <v>100.68</v>
      </c>
      <c r="C337">
        <f>C328+A337*1024*C326</f>
        <v/>
      </c>
      <c r="D337">
        <f>B337/C337</f>
        <v/>
      </c>
      <c r="E337" t="n">
        <v>1.26</v>
      </c>
      <c r="F337">
        <f>A337*1024/(C337*0.000001)/1000000000*C327</f>
        <v/>
      </c>
      <c r="G337">
        <f>E337/F337</f>
        <v/>
      </c>
    </row>
    <row r="338">
      <c r="A338" t="n">
        <v>128</v>
      </c>
      <c r="B338" t="n">
        <v>115</v>
      </c>
      <c r="C338">
        <f>C328+A338*1024*C326</f>
        <v/>
      </c>
      <c r="D338">
        <f>B338/C338</f>
        <v/>
      </c>
      <c r="E338" t="n">
        <v>2.21</v>
      </c>
      <c r="F338">
        <f>A338*1024/(C338*0.000001)/1000000000*C327</f>
        <v/>
      </c>
      <c r="G338">
        <f>E338/F338</f>
        <v/>
      </c>
    </row>
    <row r="339">
      <c r="A339" t="n">
        <v>256</v>
      </c>
      <c r="B339" t="n">
        <v>146.36</v>
      </c>
      <c r="C339">
        <f>C328+A339*1024*C326</f>
        <v/>
      </c>
      <c r="D339">
        <f>B339/C339</f>
        <v/>
      </c>
      <c r="E339" t="n">
        <v>3.47</v>
      </c>
      <c r="F339">
        <f>A339*1024/(C339*0.000001)/1000000000*C327</f>
        <v/>
      </c>
      <c r="G339">
        <f>E339/F339</f>
        <v/>
      </c>
    </row>
    <row r="340">
      <c r="A340" t="n">
        <v>512</v>
      </c>
      <c r="B340" t="n">
        <v>163.72</v>
      </c>
      <c r="C340">
        <f>C328+A340*1024*C326</f>
        <v/>
      </c>
      <c r="D340">
        <f>B340/C340</f>
        <v/>
      </c>
      <c r="E340" t="n">
        <v>6.2</v>
      </c>
      <c r="F340">
        <f>A340*1024/(C340*0.000001)/1000000000*C327</f>
        <v/>
      </c>
      <c r="G340">
        <f>E340/F340</f>
        <v/>
      </c>
    </row>
    <row r="341">
      <c r="A341" t="n">
        <v>1024</v>
      </c>
      <c r="B341" t="n">
        <v>189.13</v>
      </c>
      <c r="C341">
        <f>C328+A341*1024*C326</f>
        <v/>
      </c>
      <c r="D341">
        <f>B341/C341</f>
        <v/>
      </c>
      <c r="E341" t="n">
        <v>10.74</v>
      </c>
      <c r="F341">
        <f>A341*1024/(C341*0.000001)/1000000000*C327</f>
        <v/>
      </c>
      <c r="G341">
        <f>E341/F341</f>
        <v/>
      </c>
    </row>
    <row r="342">
      <c r="A342" t="n">
        <v>2048</v>
      </c>
      <c r="B342" t="n">
        <v>259.02</v>
      </c>
      <c r="C342">
        <f>C328+A342*1024*C326</f>
        <v/>
      </c>
      <c r="D342">
        <f>B342/C342</f>
        <v/>
      </c>
      <c r="E342" t="n">
        <v>15.69</v>
      </c>
      <c r="F342">
        <f>A342*1024/(C342*0.000001)/1000000000*C327</f>
        <v/>
      </c>
      <c r="G342">
        <f>E342/F342</f>
        <v/>
      </c>
    </row>
    <row r="343">
      <c r="A343" t="n">
        <v>4096</v>
      </c>
      <c r="B343" t="n">
        <v>448.39</v>
      </c>
      <c r="C343">
        <f>C328+A343*1024*C326</f>
        <v/>
      </c>
      <c r="D343">
        <f>B343/C343</f>
        <v/>
      </c>
      <c r="E343" t="n">
        <v>18.12</v>
      </c>
      <c r="F343">
        <f>A343*1024/(C343*0.000001)/1000000000*C327</f>
        <v/>
      </c>
      <c r="G343">
        <f>E343/F343</f>
        <v/>
      </c>
    </row>
    <row r="344">
      <c r="A344" t="n">
        <v>8192</v>
      </c>
      <c r="B344" t="n">
        <v>810.13</v>
      </c>
      <c r="C344">
        <f>C328+A344*1024*C326</f>
        <v/>
      </c>
      <c r="D344">
        <f>B344/C344</f>
        <v/>
      </c>
      <c r="E344" t="n">
        <v>20.06</v>
      </c>
      <c r="F344">
        <f>A344*1024/(C344*0.000001)/1000000000*C327</f>
        <v/>
      </c>
      <c r="G344">
        <f>E344/F344</f>
        <v/>
      </c>
    </row>
    <row r="345">
      <c r="A345" t="n">
        <v>16384</v>
      </c>
      <c r="B345" t="n">
        <v>1528.66</v>
      </c>
      <c r="C345">
        <f>C328+A345*1024*C326</f>
        <v/>
      </c>
      <c r="D345">
        <f>B345/C345</f>
        <v/>
      </c>
      <c r="E345" t="n">
        <v>21.26</v>
      </c>
      <c r="F345">
        <f>A345*1024/(C345*0.000001)/1000000000*C327</f>
        <v/>
      </c>
      <c r="G345">
        <f>E345/F345</f>
        <v/>
      </c>
    </row>
    <row r="346">
      <c r="A346" t="n">
        <v>32768</v>
      </c>
      <c r="B346" t="n">
        <v>2987.19</v>
      </c>
      <c r="C346">
        <f>C328+A346*1024*C326</f>
        <v/>
      </c>
      <c r="D346">
        <f>B346/C346</f>
        <v/>
      </c>
      <c r="E346" t="n">
        <v>21.76</v>
      </c>
      <c r="F346">
        <f>A346*1024/(C346*0.000001)/1000000000*C327</f>
        <v/>
      </c>
      <c r="G346">
        <f>E346/F346</f>
        <v/>
      </c>
    </row>
    <row r="347">
      <c r="A347" t="n">
        <v>65536</v>
      </c>
      <c r="B347" t="n">
        <v>5832.19</v>
      </c>
      <c r="C347">
        <f>C328+A347*1024*C326</f>
        <v/>
      </c>
      <c r="D347">
        <f>B347/C347</f>
        <v/>
      </c>
      <c r="E347" t="n">
        <v>22.29</v>
      </c>
      <c r="F347">
        <f>A347*1024/(C347*0.000001)/1000000000*C327</f>
        <v/>
      </c>
      <c r="G347">
        <f>E347/F347</f>
        <v/>
      </c>
    </row>
    <row r="348">
      <c r="A348" t="n">
        <v>131072</v>
      </c>
      <c r="B348" t="n">
        <v>11502.2</v>
      </c>
      <c r="C348">
        <f>C328+A348*1024*C326</f>
        <v/>
      </c>
      <c r="D348">
        <f>B348/C348</f>
        <v/>
      </c>
      <c r="E348" t="n">
        <v>22.61</v>
      </c>
      <c r="F348">
        <f>A348*1024/(C348*0.000001)/1000000000*C327</f>
        <v/>
      </c>
      <c r="G348">
        <f>E348/F348</f>
        <v/>
      </c>
    </row>
    <row r="349">
      <c r="A349" t="n">
        <v>262144</v>
      </c>
      <c r="B349" t="n">
        <v>22857.6</v>
      </c>
      <c r="C349">
        <f>C328+A349*1024*C326</f>
        <v/>
      </c>
      <c r="D349">
        <f>B349/C349</f>
        <v/>
      </c>
      <c r="E349" t="n">
        <v>22.75</v>
      </c>
      <c r="F349">
        <f>A349*1024/(C349*0.000001)/1000000000*C327</f>
        <v/>
      </c>
      <c r="G349">
        <f>E349/F349</f>
        <v/>
      </c>
    </row>
    <row r="350">
      <c r="A350" t="n">
        <v>524288</v>
      </c>
      <c r="B350" t="n">
        <v>45413.6</v>
      </c>
      <c r="C350">
        <f>C328+A350*1024*C326</f>
        <v/>
      </c>
      <c r="D350">
        <f>B350/C350</f>
        <v/>
      </c>
      <c r="E350" t="n">
        <v>22.9</v>
      </c>
      <c r="F350">
        <f>A350*1024/(C350*0.000001)/1000000000*C327</f>
        <v/>
      </c>
      <c r="G350">
        <f>E350/F350</f>
        <v/>
      </c>
    </row>
    <row r="351">
      <c r="A351" t="n">
        <v>1048576</v>
      </c>
      <c r="B351" t="n">
        <v>90733</v>
      </c>
      <c r="C351">
        <f>C328+A351*1024*C326</f>
        <v/>
      </c>
      <c r="D351">
        <f>B351/C351</f>
        <v/>
      </c>
      <c r="E351" t="n">
        <v>22.93</v>
      </c>
      <c r="F351">
        <f>A351*1024/(C351*0.000001)/1000000000*C327</f>
        <v/>
      </c>
      <c r="G351">
        <f>E351/F351</f>
        <v/>
      </c>
    </row>
    <row r="352"/>
    <row r="353">
      <c r="A353" t="inlineStr">
        <is>
          <t>Nodes: 4, Protocol: LL, Channels: 16</t>
        </is>
      </c>
    </row>
    <row r="354">
      <c r="A354" t="inlineStr">
        <is>
          <t>Parameter</t>
        </is>
      </c>
      <c r="B354" t="inlineStr">
        <is>
          <t>Formula</t>
        </is>
      </c>
      <c r="C354" t="inlineStr">
        <is>
          <t>Value</t>
        </is>
      </c>
    </row>
    <row r="355">
      <c r="A355" t="inlineStr">
        <is>
          <t>N</t>
        </is>
      </c>
      <c r="B355" t="inlineStr">
        <is>
          <t>nodes</t>
        </is>
      </c>
      <c r="C355" t="n">
        <v>4</v>
      </c>
    </row>
    <row r="356">
      <c r="A356" t="inlineStr">
        <is>
          <t>n</t>
        </is>
      </c>
      <c r="B356" t="inlineStr">
        <is>
          <t>GPUs/node</t>
        </is>
      </c>
      <c r="C356" t="n">
        <v>8</v>
      </c>
    </row>
    <row r="357">
      <c r="A357" t="inlineStr">
        <is>
          <t>n_total</t>
        </is>
      </c>
      <c r="B357" t="inlineStr">
        <is>
          <t>N*n</t>
        </is>
      </c>
      <c r="C357" t="n">
        <v>32</v>
      </c>
    </row>
    <row r="358">
      <c r="A358" t="inlineStr">
        <is>
          <t>nch_raw</t>
        </is>
      </c>
      <c r="B358" t="inlineStr">
        <is>
          <t>raw channels</t>
        </is>
      </c>
      <c r="C358" t="n">
        <v>16</v>
      </c>
    </row>
    <row r="359">
      <c r="A359" t="inlineStr">
        <is>
          <t>nch_eff</t>
        </is>
      </c>
      <c r="B359" t="inlineStr">
        <is>
          <t>min(nch_raw,8)</t>
        </is>
      </c>
      <c r="C359" t="n">
        <v>8</v>
      </c>
    </row>
    <row r="360">
      <c r="A360" t="inlineStr">
        <is>
          <t>a</t>
        </is>
      </c>
      <c r="B360" t="inlineStr">
        <is>
          <t>RTT (us)</t>
        </is>
      </c>
      <c r="C360" t="n">
        <v>24.92</v>
      </c>
    </row>
    <row r="361">
      <c r="A361" t="inlineStr">
        <is>
          <t>NIC_BW</t>
        </is>
      </c>
      <c r="B361" t="inlineStr">
        <is>
          <t>bytes/us</t>
        </is>
      </c>
      <c r="C361" t="n">
        <v>48750</v>
      </c>
    </row>
    <row r="362">
      <c r="A362" t="inlineStr">
        <is>
          <t>intra_node_latency</t>
        </is>
      </c>
      <c r="B362" t="inlineStr">
        <is>
          <t>us</t>
        </is>
      </c>
      <c r="C362" t="n">
        <v>8.4</v>
      </c>
    </row>
    <row r="363">
      <c r="A363" t="inlineStr">
        <is>
          <t>NIC_BW_REAL</t>
        </is>
      </c>
      <c r="B363" t="inlineStr">
        <is>
          <t>nch_eff*(NIC_BW/2)/3</t>
        </is>
      </c>
      <c r="C363">
        <f>C359*(C361/2)/3</f>
        <v/>
      </c>
    </row>
    <row r="364">
      <c r="A364" t="inlineStr">
        <is>
          <t>G</t>
        </is>
      </c>
      <c r="B364" t="inlineStr">
        <is>
          <t>1/NIC_BW_REAL</t>
        </is>
      </c>
      <c r="C364">
        <f>1/C363</f>
        <v/>
      </c>
    </row>
    <row r="365">
      <c r="A365" t="inlineStr">
        <is>
          <t>busbw_factor</t>
        </is>
      </c>
      <c r="B365" t="inlineStr">
        <is>
          <t>2*(n_total-1)/n_total</t>
        </is>
      </c>
      <c r="C365">
        <f>2*(C357-1)/C357</f>
        <v/>
      </c>
    </row>
    <row r="366">
      <c r="A366" t="inlineStr">
        <is>
          <t>fixed_overhead</t>
        </is>
      </c>
      <c r="B366" t="inlineStr">
        <is>
          <t>(2*LOG2(N)+1)*a/2+2*intra</t>
        </is>
      </c>
      <c r="C366">
        <f>(2*LOG(C355,2)+1)*C360/2+2*C362</f>
        <v/>
      </c>
    </row>
    <row r="367"/>
    <row r="368">
      <c r="A368" t="inlineStr">
        <is>
          <t>size_KB</t>
        </is>
      </c>
      <c r="B368" t="inlineStr">
        <is>
          <t>Actual Time (us)</t>
        </is>
      </c>
      <c r="C368" t="inlineStr">
        <is>
          <t>Roofline Time (us)</t>
        </is>
      </c>
      <c r="D368" t="inlineStr">
        <is>
          <t>Actual/Roofline</t>
        </is>
      </c>
      <c r="E368" t="inlineStr">
        <is>
          <t>Actual busBW (GB/s)</t>
        </is>
      </c>
      <c r="F368" t="inlineStr">
        <is>
          <t>Roofline busBW (GB/s)</t>
        </is>
      </c>
      <c r="G368" t="inlineStr">
        <is>
          <t>Meas/Roof busBW</t>
        </is>
      </c>
    </row>
    <row r="369">
      <c r="A369" t="n">
        <v>1</v>
      </c>
      <c r="B369" t="n">
        <v>75.73999999999999</v>
      </c>
      <c r="C369">
        <f>C366+A369*1024*C364</f>
        <v/>
      </c>
      <c r="D369">
        <f>B369/C369</f>
        <v/>
      </c>
      <c r="E369" t="n">
        <v>0.03</v>
      </c>
      <c r="F369">
        <f>A369*1024/(C369*0.000001)/1000000000*C365</f>
        <v/>
      </c>
      <c r="G369">
        <f>E369/F369</f>
        <v/>
      </c>
    </row>
    <row r="370">
      <c r="A370" t="n">
        <v>2</v>
      </c>
      <c r="B370" t="n">
        <v>77.86</v>
      </c>
      <c r="C370">
        <f>C366+A370*1024*C364</f>
        <v/>
      </c>
      <c r="D370">
        <f>B370/C370</f>
        <v/>
      </c>
      <c r="E370" t="n">
        <v>0.05</v>
      </c>
      <c r="F370">
        <f>A370*1024/(C370*0.000001)/1000000000*C365</f>
        <v/>
      </c>
      <c r="G370">
        <f>E370/F370</f>
        <v/>
      </c>
    </row>
    <row r="371">
      <c r="A371" t="n">
        <v>4</v>
      </c>
      <c r="B371" t="n">
        <v>88.36</v>
      </c>
      <c r="C371">
        <f>C366+A371*1024*C364</f>
        <v/>
      </c>
      <c r="D371">
        <f>B371/C371</f>
        <v/>
      </c>
      <c r="E371" t="n">
        <v>0.09</v>
      </c>
      <c r="F371">
        <f>A371*1024/(C371*0.000001)/1000000000*C365</f>
        <v/>
      </c>
      <c r="G371">
        <f>E371/F371</f>
        <v/>
      </c>
    </row>
    <row r="372">
      <c r="A372" t="n">
        <v>8</v>
      </c>
      <c r="B372" t="n">
        <v>90.34999999999999</v>
      </c>
      <c r="C372">
        <f>C366+A372*1024*C364</f>
        <v/>
      </c>
      <c r="D372">
        <f>B372/C372</f>
        <v/>
      </c>
      <c r="E372" t="n">
        <v>0.18</v>
      </c>
      <c r="F372">
        <f>A372*1024/(C372*0.000001)/1000000000*C365</f>
        <v/>
      </c>
      <c r="G372">
        <f>E372/F372</f>
        <v/>
      </c>
    </row>
    <row r="373">
      <c r="A373" t="n">
        <v>16</v>
      </c>
      <c r="B373" t="n">
        <v>91</v>
      </c>
      <c r="C373">
        <f>C366+A373*1024*C364</f>
        <v/>
      </c>
      <c r="D373">
        <f>B373/C373</f>
        <v/>
      </c>
      <c r="E373" t="n">
        <v>0.35</v>
      </c>
      <c r="F373">
        <f>A373*1024/(C373*0.000001)/1000000000*C365</f>
        <v/>
      </c>
      <c r="G373">
        <f>E373/F373</f>
        <v/>
      </c>
    </row>
    <row r="374">
      <c r="A374" t="n">
        <v>32</v>
      </c>
      <c r="B374" t="n">
        <v>91.34999999999999</v>
      </c>
      <c r="C374">
        <f>C366+A374*1024*C364</f>
        <v/>
      </c>
      <c r="D374">
        <f>B374/C374</f>
        <v/>
      </c>
      <c r="E374" t="n">
        <v>0.6899999999999999</v>
      </c>
      <c r="F374">
        <f>A374*1024/(C374*0.000001)/1000000000*C365</f>
        <v/>
      </c>
      <c r="G374">
        <f>E374/F374</f>
        <v/>
      </c>
    </row>
    <row r="375">
      <c r="A375" t="n">
        <v>64</v>
      </c>
      <c r="B375" t="n">
        <v>92.06999999999999</v>
      </c>
      <c r="C375">
        <f>C366+A375*1024*C364</f>
        <v/>
      </c>
      <c r="D375">
        <f>B375/C375</f>
        <v/>
      </c>
      <c r="E375" t="n">
        <v>1.38</v>
      </c>
      <c r="F375">
        <f>A375*1024/(C375*0.000001)/1000000000*C365</f>
        <v/>
      </c>
      <c r="G375">
        <f>E375/F375</f>
        <v/>
      </c>
    </row>
    <row r="376">
      <c r="A376" t="n">
        <v>128</v>
      </c>
      <c r="B376" t="n">
        <v>101.56</v>
      </c>
      <c r="C376">
        <f>C366+A376*1024*C364</f>
        <v/>
      </c>
      <c r="D376">
        <f>B376/C376</f>
        <v/>
      </c>
      <c r="E376" t="n">
        <v>2.5</v>
      </c>
      <c r="F376">
        <f>A376*1024/(C376*0.000001)/1000000000*C365</f>
        <v/>
      </c>
      <c r="G376">
        <f>E376/F376</f>
        <v/>
      </c>
    </row>
    <row r="377">
      <c r="A377" t="n">
        <v>256</v>
      </c>
      <c r="B377" t="n">
        <v>133.65</v>
      </c>
      <c r="C377">
        <f>C366+A377*1024*C364</f>
        <v/>
      </c>
      <c r="D377">
        <f>B377/C377</f>
        <v/>
      </c>
      <c r="E377" t="n">
        <v>3.8</v>
      </c>
      <c r="F377">
        <f>A377*1024/(C377*0.000001)/1000000000*C365</f>
        <v/>
      </c>
      <c r="G377">
        <f>E377/F377</f>
        <v/>
      </c>
    </row>
    <row r="378">
      <c r="A378" t="n">
        <v>512</v>
      </c>
      <c r="B378" t="n">
        <v>150.59</v>
      </c>
      <c r="C378">
        <f>C366+A378*1024*C364</f>
        <v/>
      </c>
      <c r="D378">
        <f>B378/C378</f>
        <v/>
      </c>
      <c r="E378" t="n">
        <v>6.75</v>
      </c>
      <c r="F378">
        <f>A378*1024/(C378*0.000001)/1000000000*C365</f>
        <v/>
      </c>
      <c r="G378">
        <f>E378/F378</f>
        <v/>
      </c>
    </row>
    <row r="379">
      <c r="A379" t="n">
        <v>1024</v>
      </c>
      <c r="B379" t="n">
        <v>166.26</v>
      </c>
      <c r="C379">
        <f>C366+A379*1024*C364</f>
        <v/>
      </c>
      <c r="D379">
        <f>B379/C379</f>
        <v/>
      </c>
      <c r="E379" t="n">
        <v>12.22</v>
      </c>
      <c r="F379">
        <f>A379*1024/(C379*0.000001)/1000000000*C365</f>
        <v/>
      </c>
      <c r="G379">
        <f>E379/F379</f>
        <v/>
      </c>
    </row>
    <row r="380">
      <c r="A380" t="n">
        <v>2048</v>
      </c>
      <c r="B380" t="n">
        <v>190.99</v>
      </c>
      <c r="C380">
        <f>C366+A380*1024*C364</f>
        <v/>
      </c>
      <c r="D380">
        <f>B380/C380</f>
        <v/>
      </c>
      <c r="E380" t="n">
        <v>21.27</v>
      </c>
      <c r="F380">
        <f>A380*1024/(C380*0.000001)/1000000000*C365</f>
        <v/>
      </c>
      <c r="G380">
        <f>E380/F380</f>
        <v/>
      </c>
    </row>
    <row r="381">
      <c r="A381" t="n">
        <v>4096</v>
      </c>
      <c r="B381" t="n">
        <v>272.01</v>
      </c>
      <c r="C381">
        <f>C366+A381*1024*C364</f>
        <v/>
      </c>
      <c r="D381">
        <f>B381/C381</f>
        <v/>
      </c>
      <c r="E381" t="n">
        <v>29.88</v>
      </c>
      <c r="F381">
        <f>A381*1024/(C381*0.000001)/1000000000*C365</f>
        <v/>
      </c>
      <c r="G381">
        <f>E381/F381</f>
        <v/>
      </c>
    </row>
    <row r="382">
      <c r="A382" t="n">
        <v>8192</v>
      </c>
      <c r="B382" t="n">
        <v>509.67</v>
      </c>
      <c r="C382">
        <f>C366+A382*1024*C364</f>
        <v/>
      </c>
      <c r="D382">
        <f>B382/C382</f>
        <v/>
      </c>
      <c r="E382" t="n">
        <v>31.89</v>
      </c>
      <c r="F382">
        <f>A382*1024/(C382*0.000001)/1000000000*C365</f>
        <v/>
      </c>
      <c r="G382">
        <f>E382/F382</f>
        <v/>
      </c>
    </row>
    <row r="383">
      <c r="A383" t="n">
        <v>16384</v>
      </c>
      <c r="B383" t="n">
        <v>971.77</v>
      </c>
      <c r="C383">
        <f>C366+A383*1024*C364</f>
        <v/>
      </c>
      <c r="D383">
        <f>B383/C383</f>
        <v/>
      </c>
      <c r="E383" t="n">
        <v>33.45</v>
      </c>
      <c r="F383">
        <f>A383*1024/(C383*0.000001)/1000000000*C365</f>
        <v/>
      </c>
      <c r="G383">
        <f>E383/F383</f>
        <v/>
      </c>
    </row>
    <row r="384">
      <c r="A384" t="n">
        <v>32768</v>
      </c>
      <c r="B384" t="n">
        <v>1896.51</v>
      </c>
      <c r="C384">
        <f>C366+A384*1024*C364</f>
        <v/>
      </c>
      <c r="D384">
        <f>B384/C384</f>
        <v/>
      </c>
      <c r="E384" t="n">
        <v>34.28</v>
      </c>
      <c r="F384">
        <f>A384*1024/(C384*0.000001)/1000000000*C365</f>
        <v/>
      </c>
      <c r="G384">
        <f>E384/F384</f>
        <v/>
      </c>
    </row>
    <row r="385">
      <c r="A385" t="n">
        <v>65536</v>
      </c>
      <c r="B385" t="n">
        <v>3760.58</v>
      </c>
      <c r="C385">
        <f>C366+A385*1024*C364</f>
        <v/>
      </c>
      <c r="D385">
        <f>B385/C385</f>
        <v/>
      </c>
      <c r="E385" t="n">
        <v>34.58</v>
      </c>
      <c r="F385">
        <f>A385*1024/(C385*0.000001)/1000000000*C365</f>
        <v/>
      </c>
      <c r="G385">
        <f>E385/F385</f>
        <v/>
      </c>
    </row>
    <row r="386">
      <c r="A386" t="n">
        <v>131072</v>
      </c>
      <c r="B386" t="n">
        <v>7407.87</v>
      </c>
      <c r="C386">
        <f>C366+A386*1024*C364</f>
        <v/>
      </c>
      <c r="D386">
        <f>B386/C386</f>
        <v/>
      </c>
      <c r="E386" t="n">
        <v>35.1</v>
      </c>
      <c r="F386">
        <f>A386*1024/(C386*0.000001)/1000000000*C365</f>
        <v/>
      </c>
      <c r="G386">
        <f>E386/F386</f>
        <v/>
      </c>
    </row>
    <row r="387">
      <c r="A387" t="n">
        <v>262144</v>
      </c>
      <c r="B387" t="n">
        <v>14685.3</v>
      </c>
      <c r="C387">
        <f>C366+A387*1024*C364</f>
        <v/>
      </c>
      <c r="D387">
        <f>B387/C387</f>
        <v/>
      </c>
      <c r="E387" t="n">
        <v>35.42</v>
      </c>
      <c r="F387">
        <f>A387*1024/(C387*0.000001)/1000000000*C365</f>
        <v/>
      </c>
      <c r="G387">
        <f>E387/F387</f>
        <v/>
      </c>
    </row>
    <row r="388">
      <c r="A388" t="n">
        <v>524288</v>
      </c>
      <c r="B388" t="n">
        <v>29230.9</v>
      </c>
      <c r="C388">
        <f>C366+A388*1024*C364</f>
        <v/>
      </c>
      <c r="D388">
        <f>B388/C388</f>
        <v/>
      </c>
      <c r="E388" t="n">
        <v>35.59</v>
      </c>
      <c r="F388">
        <f>A388*1024/(C388*0.000001)/1000000000*C365</f>
        <v/>
      </c>
      <c r="G388">
        <f>E388/F388</f>
        <v/>
      </c>
    </row>
    <row r="389">
      <c r="A389" t="n">
        <v>1048576</v>
      </c>
      <c r="B389" t="n">
        <v>58239.7</v>
      </c>
      <c r="C389">
        <f>C366+A389*1024*C364</f>
        <v/>
      </c>
      <c r="D389">
        <f>B389/C389</f>
        <v/>
      </c>
      <c r="E389" t="n">
        <v>35.72</v>
      </c>
      <c r="F389">
        <f>A389*1024/(C389*0.000001)/1000000000*C365</f>
        <v/>
      </c>
      <c r="G389">
        <f>E389/F389</f>
        <v/>
      </c>
    </row>
    <row r="390"/>
    <row r="391">
      <c r="A391" t="inlineStr">
        <is>
          <t>Nodes: 4, Protocol: LL128, Channels: 1</t>
        </is>
      </c>
    </row>
    <row r="392">
      <c r="A392" t="inlineStr">
        <is>
          <t>Parameter</t>
        </is>
      </c>
      <c r="B392" t="inlineStr">
        <is>
          <t>Formula</t>
        </is>
      </c>
      <c r="C392" t="inlineStr">
        <is>
          <t>Value</t>
        </is>
      </c>
    </row>
    <row r="393">
      <c r="A393" t="inlineStr">
        <is>
          <t>N</t>
        </is>
      </c>
      <c r="B393" t="inlineStr">
        <is>
          <t>nodes</t>
        </is>
      </c>
      <c r="C393" t="n">
        <v>4</v>
      </c>
    </row>
    <row r="394">
      <c r="A394" t="inlineStr">
        <is>
          <t>n</t>
        </is>
      </c>
      <c r="B394" t="inlineStr">
        <is>
          <t>GPUs/node</t>
        </is>
      </c>
      <c r="C394" t="n">
        <v>8</v>
      </c>
    </row>
    <row r="395">
      <c r="A395" t="inlineStr">
        <is>
          <t>n_total</t>
        </is>
      </c>
      <c r="B395" t="inlineStr">
        <is>
          <t>N*n</t>
        </is>
      </c>
      <c r="C395" t="n">
        <v>32</v>
      </c>
    </row>
    <row r="396">
      <c r="A396" t="inlineStr">
        <is>
          <t>nch_raw</t>
        </is>
      </c>
      <c r="B396" t="inlineStr">
        <is>
          <t>raw channels</t>
        </is>
      </c>
      <c r="C396" t="n">
        <v>1</v>
      </c>
    </row>
    <row r="397">
      <c r="A397" t="inlineStr">
        <is>
          <t>nch_eff</t>
        </is>
      </c>
      <c r="B397" t="inlineStr">
        <is>
          <t>min(nch_raw,8)</t>
        </is>
      </c>
      <c r="C397" t="n">
        <v>1</v>
      </c>
    </row>
    <row r="398">
      <c r="A398" t="inlineStr">
        <is>
          <t>a</t>
        </is>
      </c>
      <c r="B398" t="inlineStr">
        <is>
          <t>RTT (us)</t>
        </is>
      </c>
      <c r="C398" t="n">
        <v>24.92</v>
      </c>
    </row>
    <row r="399">
      <c r="A399" t="inlineStr">
        <is>
          <t>NIC_BW</t>
        </is>
      </c>
      <c r="B399" t="inlineStr">
        <is>
          <t>bytes/us</t>
        </is>
      </c>
      <c r="C399" t="n">
        <v>48750</v>
      </c>
    </row>
    <row r="400">
      <c r="A400" t="inlineStr">
        <is>
          <t>intra_node_latency</t>
        </is>
      </c>
      <c r="B400" t="inlineStr">
        <is>
          <t>us</t>
        </is>
      </c>
      <c r="C400" t="n">
        <v>8.4</v>
      </c>
    </row>
    <row r="401">
      <c r="A401" t="inlineStr">
        <is>
          <t>NIC_BW_REAL</t>
        </is>
      </c>
      <c r="B401" t="inlineStr">
        <is>
          <t>nch_eff*(NIC_BW*15/16)/3</t>
        </is>
      </c>
      <c r="C401">
        <f>C397*(C399*15/16)/3</f>
        <v/>
      </c>
    </row>
    <row r="402">
      <c r="A402" t="inlineStr">
        <is>
          <t>G</t>
        </is>
      </c>
      <c r="B402" t="inlineStr">
        <is>
          <t>1/NIC_BW_REAL</t>
        </is>
      </c>
      <c r="C402">
        <f>1/C401</f>
        <v/>
      </c>
    </row>
    <row r="403">
      <c r="A403" t="inlineStr">
        <is>
          <t>busbw_factor</t>
        </is>
      </c>
      <c r="B403" t="inlineStr">
        <is>
          <t>2*(n_total-1)/n_total</t>
        </is>
      </c>
      <c r="C403">
        <f>2*(C395-1)/C395</f>
        <v/>
      </c>
    </row>
    <row r="404">
      <c r="A404" t="inlineStr">
        <is>
          <t>fixed_overhead</t>
        </is>
      </c>
      <c r="B404" t="inlineStr">
        <is>
          <t>(2*LOG2(N)+1)*a/2+2*intra</t>
        </is>
      </c>
      <c r="C404">
        <f>(2*LOG(C393,2)+1)*C398/2+2*C400</f>
        <v/>
      </c>
    </row>
    <row r="405"/>
    <row r="406">
      <c r="A406" t="inlineStr">
        <is>
          <t>size_KB</t>
        </is>
      </c>
      <c r="B406" t="inlineStr">
        <is>
          <t>Actual Time (us)</t>
        </is>
      </c>
      <c r="C406" t="inlineStr">
        <is>
          <t>Roofline Time (us)</t>
        </is>
      </c>
      <c r="D406" t="inlineStr">
        <is>
          <t>Actual/Roofline</t>
        </is>
      </c>
      <c r="E406" t="inlineStr">
        <is>
          <t>Actual busBW (GB/s)</t>
        </is>
      </c>
      <c r="F406" t="inlineStr">
        <is>
          <t>Roofline busBW (GB/s)</t>
        </is>
      </c>
      <c r="G406" t="inlineStr">
        <is>
          <t>Meas/Roof busBW</t>
        </is>
      </c>
    </row>
    <row r="407">
      <c r="A407" t="n">
        <v>1</v>
      </c>
      <c r="B407" t="n">
        <v>90.48999999999999</v>
      </c>
      <c r="C407">
        <f>C404+A407*1024*C402</f>
        <v/>
      </c>
      <c r="D407">
        <f>B407/C407</f>
        <v/>
      </c>
      <c r="E407" t="n">
        <v>0.02</v>
      </c>
      <c r="F407">
        <f>A407*1024/(C407*0.000001)/1000000000*C403</f>
        <v/>
      </c>
      <c r="G407">
        <f>E407/F407</f>
        <v/>
      </c>
    </row>
    <row r="408">
      <c r="A408" t="n">
        <v>2</v>
      </c>
      <c r="B408" t="n">
        <v>93.7</v>
      </c>
      <c r="C408">
        <f>C404+A408*1024*C402</f>
        <v/>
      </c>
      <c r="D408">
        <f>B408/C408</f>
        <v/>
      </c>
      <c r="E408" t="n">
        <v>0.04</v>
      </c>
      <c r="F408">
        <f>A408*1024/(C408*0.000001)/1000000000*C403</f>
        <v/>
      </c>
      <c r="G408">
        <f>E408/F408</f>
        <v/>
      </c>
    </row>
    <row r="409">
      <c r="A409" t="n">
        <v>4</v>
      </c>
      <c r="B409" t="n">
        <v>97.75</v>
      </c>
      <c r="C409">
        <f>C404+A409*1024*C402</f>
        <v/>
      </c>
      <c r="D409">
        <f>B409/C409</f>
        <v/>
      </c>
      <c r="E409" t="n">
        <v>0.08</v>
      </c>
      <c r="F409">
        <f>A409*1024/(C409*0.000001)/1000000000*C403</f>
        <v/>
      </c>
      <c r="G409">
        <f>E409/F409</f>
        <v/>
      </c>
    </row>
    <row r="410">
      <c r="A410" t="n">
        <v>8</v>
      </c>
      <c r="B410" t="n">
        <v>105.26</v>
      </c>
      <c r="C410">
        <f>C404+A410*1024*C402</f>
        <v/>
      </c>
      <c r="D410">
        <f>B410/C410</f>
        <v/>
      </c>
      <c r="E410" t="n">
        <v>0.15</v>
      </c>
      <c r="F410">
        <f>A410*1024/(C410*0.000001)/1000000000*C403</f>
        <v/>
      </c>
      <c r="G410">
        <f>E410/F410</f>
        <v/>
      </c>
    </row>
    <row r="411">
      <c r="A411" t="n">
        <v>16</v>
      </c>
      <c r="B411" t="n">
        <v>109.46</v>
      </c>
      <c r="C411">
        <f>C404+A411*1024*C402</f>
        <v/>
      </c>
      <c r="D411">
        <f>B411/C411</f>
        <v/>
      </c>
      <c r="E411" t="n">
        <v>0.29</v>
      </c>
      <c r="F411">
        <f>A411*1024/(C411*0.000001)/1000000000*C403</f>
        <v/>
      </c>
      <c r="G411">
        <f>E411/F411</f>
        <v/>
      </c>
    </row>
    <row r="412">
      <c r="A412" t="n">
        <v>32</v>
      </c>
      <c r="B412" t="n">
        <v>114.84</v>
      </c>
      <c r="C412">
        <f>C404+A412*1024*C402</f>
        <v/>
      </c>
      <c r="D412">
        <f>B412/C412</f>
        <v/>
      </c>
      <c r="E412" t="n">
        <v>0.55</v>
      </c>
      <c r="F412">
        <f>A412*1024/(C412*0.000001)/1000000000*C403</f>
        <v/>
      </c>
      <c r="G412">
        <f>E412/F412</f>
        <v/>
      </c>
    </row>
    <row r="413">
      <c r="A413" t="n">
        <v>64</v>
      </c>
      <c r="B413" t="n">
        <v>124.49</v>
      </c>
      <c r="C413">
        <f>C404+A413*1024*C402</f>
        <v/>
      </c>
      <c r="D413">
        <f>B413/C413</f>
        <v/>
      </c>
      <c r="E413" t="n">
        <v>1.02</v>
      </c>
      <c r="F413">
        <f>A413*1024/(C413*0.000001)/1000000000*C403</f>
        <v/>
      </c>
      <c r="G413">
        <f>E413/F413</f>
        <v/>
      </c>
    </row>
    <row r="414">
      <c r="A414" t="n">
        <v>128</v>
      </c>
      <c r="B414" t="n">
        <v>142.49</v>
      </c>
      <c r="C414">
        <f>C404+A414*1024*C402</f>
        <v/>
      </c>
      <c r="D414">
        <f>B414/C414</f>
        <v/>
      </c>
      <c r="E414" t="n">
        <v>1.78</v>
      </c>
      <c r="F414">
        <f>A414*1024/(C414*0.000001)/1000000000*C403</f>
        <v/>
      </c>
      <c r="G414">
        <f>E414/F414</f>
        <v/>
      </c>
    </row>
    <row r="415">
      <c r="A415" t="n">
        <v>256</v>
      </c>
      <c r="B415" t="n">
        <v>187.64</v>
      </c>
      <c r="C415">
        <f>C404+A415*1024*C402</f>
        <v/>
      </c>
      <c r="D415">
        <f>B415/C415</f>
        <v/>
      </c>
      <c r="E415" t="n">
        <v>2.71</v>
      </c>
      <c r="F415">
        <f>A415*1024/(C415*0.000001)/1000000000*C403</f>
        <v/>
      </c>
      <c r="G415">
        <f>E415/F415</f>
        <v/>
      </c>
    </row>
    <row r="416">
      <c r="A416" t="n">
        <v>512</v>
      </c>
      <c r="B416" t="n">
        <v>231.56</v>
      </c>
      <c r="C416">
        <f>C404+A416*1024*C402</f>
        <v/>
      </c>
      <c r="D416">
        <f>B416/C416</f>
        <v/>
      </c>
      <c r="E416" t="n">
        <v>4.39</v>
      </c>
      <c r="F416">
        <f>A416*1024/(C416*0.000001)/1000000000*C403</f>
        <v/>
      </c>
      <c r="G416">
        <f>E416/F416</f>
        <v/>
      </c>
    </row>
    <row r="417">
      <c r="A417" t="n">
        <v>1024</v>
      </c>
      <c r="B417" t="n">
        <v>317.06</v>
      </c>
      <c r="C417">
        <f>C404+A417*1024*C402</f>
        <v/>
      </c>
      <c r="D417">
        <f>B417/C417</f>
        <v/>
      </c>
      <c r="E417" t="n">
        <v>6.41</v>
      </c>
      <c r="F417">
        <f>A417*1024/(C417*0.000001)/1000000000*C403</f>
        <v/>
      </c>
      <c r="G417">
        <f>E417/F417</f>
        <v/>
      </c>
    </row>
    <row r="418">
      <c r="A418" t="n">
        <v>2048</v>
      </c>
      <c r="B418" t="n">
        <v>519.23</v>
      </c>
      <c r="C418">
        <f>C404+A418*1024*C402</f>
        <v/>
      </c>
      <c r="D418">
        <f>B418/C418</f>
        <v/>
      </c>
      <c r="E418" t="n">
        <v>7.83</v>
      </c>
      <c r="F418">
        <f>A418*1024/(C418*0.000001)/1000000000*C403</f>
        <v/>
      </c>
      <c r="G418">
        <f>E418/F418</f>
        <v/>
      </c>
    </row>
    <row r="419">
      <c r="A419" t="n">
        <v>4096</v>
      </c>
      <c r="B419" t="n">
        <v>923.5599999999999</v>
      </c>
      <c r="C419">
        <f>C404+A419*1024*C402</f>
        <v/>
      </c>
      <c r="D419">
        <f>B419/C419</f>
        <v/>
      </c>
      <c r="E419" t="n">
        <v>8.800000000000001</v>
      </c>
      <c r="F419">
        <f>A419*1024/(C419*0.000001)/1000000000*C403</f>
        <v/>
      </c>
      <c r="G419">
        <f>E419/F419</f>
        <v/>
      </c>
    </row>
    <row r="420">
      <c r="A420" t="n">
        <v>8192</v>
      </c>
      <c r="B420" t="n">
        <v>1538.41</v>
      </c>
      <c r="C420">
        <f>C404+A420*1024*C402</f>
        <v/>
      </c>
      <c r="D420">
        <f>B420/C420</f>
        <v/>
      </c>
      <c r="E420" t="n">
        <v>10.56</v>
      </c>
      <c r="F420">
        <f>A420*1024/(C420*0.000001)/1000000000*C403</f>
        <v/>
      </c>
      <c r="G420">
        <f>E420/F420</f>
        <v/>
      </c>
    </row>
    <row r="421">
      <c r="A421" t="n">
        <v>16384</v>
      </c>
      <c r="B421" t="n">
        <v>2822.14</v>
      </c>
      <c r="C421">
        <f>C404+A421*1024*C402</f>
        <v/>
      </c>
      <c r="D421">
        <f>B421/C421</f>
        <v/>
      </c>
      <c r="E421" t="n">
        <v>11.52</v>
      </c>
      <c r="F421">
        <f>A421*1024/(C421*0.000001)/1000000000*C403</f>
        <v/>
      </c>
      <c r="G421">
        <f>E421/F421</f>
        <v/>
      </c>
    </row>
    <row r="422">
      <c r="A422" t="n">
        <v>32768</v>
      </c>
      <c r="B422" t="n">
        <v>5401.54</v>
      </c>
      <c r="C422">
        <f>C404+A422*1024*C402</f>
        <v/>
      </c>
      <c r="D422">
        <f>B422/C422</f>
        <v/>
      </c>
      <c r="E422" t="n">
        <v>12.04</v>
      </c>
      <c r="F422">
        <f>A422*1024/(C422*0.000001)/1000000000*C403</f>
        <v/>
      </c>
      <c r="G422">
        <f>E422/F422</f>
        <v/>
      </c>
    </row>
    <row r="423">
      <c r="A423" t="n">
        <v>65536</v>
      </c>
      <c r="B423" t="n">
        <v>10592.5</v>
      </c>
      <c r="C423">
        <f>C404+A423*1024*C402</f>
        <v/>
      </c>
      <c r="D423">
        <f>B423/C423</f>
        <v/>
      </c>
      <c r="E423" t="n">
        <v>12.28</v>
      </c>
      <c r="F423">
        <f>A423*1024/(C423*0.000001)/1000000000*C403</f>
        <v/>
      </c>
      <c r="G423">
        <f>E423/F423</f>
        <v/>
      </c>
    </row>
    <row r="424">
      <c r="A424" t="n">
        <v>131072</v>
      </c>
      <c r="B424" t="n">
        <v>21033.6</v>
      </c>
      <c r="C424">
        <f>C404+A424*1024*C402</f>
        <v/>
      </c>
      <c r="D424">
        <f>B424/C424</f>
        <v/>
      </c>
      <c r="E424" t="n">
        <v>12.36</v>
      </c>
      <c r="F424">
        <f>A424*1024/(C424*0.000001)/1000000000*C403</f>
        <v/>
      </c>
      <c r="G424">
        <f>E424/F424</f>
        <v/>
      </c>
    </row>
    <row r="425">
      <c r="A425" t="n">
        <v>262144</v>
      </c>
      <c r="B425" t="n">
        <v>41925.5</v>
      </c>
      <c r="C425">
        <f>C404+A425*1024*C402</f>
        <v/>
      </c>
      <c r="D425">
        <f>B425/C425</f>
        <v/>
      </c>
      <c r="E425" t="n">
        <v>12.41</v>
      </c>
      <c r="F425">
        <f>A425*1024/(C425*0.000001)/1000000000*C403</f>
        <v/>
      </c>
      <c r="G425">
        <f>E425/F425</f>
        <v/>
      </c>
    </row>
    <row r="426">
      <c r="A426" t="n">
        <v>524288</v>
      </c>
      <c r="B426" t="n">
        <v>83728.3</v>
      </c>
      <c r="C426">
        <f>C404+A426*1024*C402</f>
        <v/>
      </c>
      <c r="D426">
        <f>B426/C426</f>
        <v/>
      </c>
      <c r="E426" t="n">
        <v>12.42</v>
      </c>
      <c r="F426">
        <f>A426*1024/(C426*0.000001)/1000000000*C403</f>
        <v/>
      </c>
      <c r="G426">
        <f>E426/F426</f>
        <v/>
      </c>
    </row>
    <row r="427">
      <c r="A427" t="n">
        <v>1048576</v>
      </c>
      <c r="B427" t="n">
        <v>167320</v>
      </c>
      <c r="C427">
        <f>C404+A427*1024*C402</f>
        <v/>
      </c>
      <c r="D427">
        <f>B427/C427</f>
        <v/>
      </c>
      <c r="E427" t="n">
        <v>12.43</v>
      </c>
      <c r="F427">
        <f>A427*1024/(C427*0.000001)/1000000000*C403</f>
        <v/>
      </c>
      <c r="G427">
        <f>E427/F427</f>
        <v/>
      </c>
    </row>
    <row r="428"/>
    <row r="429">
      <c r="A429" t="inlineStr">
        <is>
          <t>Nodes: 4, Protocol: LL128, Channels: 2</t>
        </is>
      </c>
    </row>
    <row r="430">
      <c r="A430" t="inlineStr">
        <is>
          <t>Parameter</t>
        </is>
      </c>
      <c r="B430" t="inlineStr">
        <is>
          <t>Formula</t>
        </is>
      </c>
      <c r="C430" t="inlineStr">
        <is>
          <t>Value</t>
        </is>
      </c>
    </row>
    <row r="431">
      <c r="A431" t="inlineStr">
        <is>
          <t>N</t>
        </is>
      </c>
      <c r="B431" t="inlineStr">
        <is>
          <t>nodes</t>
        </is>
      </c>
      <c r="C431" t="n">
        <v>4</v>
      </c>
    </row>
    <row r="432">
      <c r="A432" t="inlineStr">
        <is>
          <t>n</t>
        </is>
      </c>
      <c r="B432" t="inlineStr">
        <is>
          <t>GPUs/node</t>
        </is>
      </c>
      <c r="C432" t="n">
        <v>8</v>
      </c>
    </row>
    <row r="433">
      <c r="A433" t="inlineStr">
        <is>
          <t>n_total</t>
        </is>
      </c>
      <c r="B433" t="inlineStr">
        <is>
          <t>N*n</t>
        </is>
      </c>
      <c r="C433" t="n">
        <v>32</v>
      </c>
    </row>
    <row r="434">
      <c r="A434" t="inlineStr">
        <is>
          <t>nch_raw</t>
        </is>
      </c>
      <c r="B434" t="inlineStr">
        <is>
          <t>raw channels</t>
        </is>
      </c>
      <c r="C434" t="n">
        <v>2</v>
      </c>
    </row>
    <row r="435">
      <c r="A435" t="inlineStr">
        <is>
          <t>nch_eff</t>
        </is>
      </c>
      <c r="B435" t="inlineStr">
        <is>
          <t>min(nch_raw,8)</t>
        </is>
      </c>
      <c r="C435" t="n">
        <v>2</v>
      </c>
    </row>
    <row r="436">
      <c r="A436" t="inlineStr">
        <is>
          <t>a</t>
        </is>
      </c>
      <c r="B436" t="inlineStr">
        <is>
          <t>RTT (us)</t>
        </is>
      </c>
      <c r="C436" t="n">
        <v>24.92</v>
      </c>
    </row>
    <row r="437">
      <c r="A437" t="inlineStr">
        <is>
          <t>NIC_BW</t>
        </is>
      </c>
      <c r="B437" t="inlineStr">
        <is>
          <t>bytes/us</t>
        </is>
      </c>
      <c r="C437" t="n">
        <v>48750</v>
      </c>
    </row>
    <row r="438">
      <c r="A438" t="inlineStr">
        <is>
          <t>intra_node_latency</t>
        </is>
      </c>
      <c r="B438" t="inlineStr">
        <is>
          <t>us</t>
        </is>
      </c>
      <c r="C438" t="n">
        <v>8.4</v>
      </c>
    </row>
    <row r="439">
      <c r="A439" t="inlineStr">
        <is>
          <t>NIC_BW_REAL</t>
        </is>
      </c>
      <c r="B439" t="inlineStr">
        <is>
          <t>nch_eff*(NIC_BW*15/16)/3</t>
        </is>
      </c>
      <c r="C439">
        <f>C435*(C437*15/16)/3</f>
        <v/>
      </c>
    </row>
    <row r="440">
      <c r="A440" t="inlineStr">
        <is>
          <t>G</t>
        </is>
      </c>
      <c r="B440" t="inlineStr">
        <is>
          <t>1/NIC_BW_REAL</t>
        </is>
      </c>
      <c r="C440">
        <f>1/C439</f>
        <v/>
      </c>
    </row>
    <row r="441">
      <c r="A441" t="inlineStr">
        <is>
          <t>busbw_factor</t>
        </is>
      </c>
      <c r="B441" t="inlineStr">
        <is>
          <t>2*(n_total-1)/n_total</t>
        </is>
      </c>
      <c r="C441">
        <f>2*(C433-1)/C433</f>
        <v/>
      </c>
    </row>
    <row r="442">
      <c r="A442" t="inlineStr">
        <is>
          <t>fixed_overhead</t>
        </is>
      </c>
      <c r="B442" t="inlineStr">
        <is>
          <t>(2*LOG2(N)+1)*a/2+2*intra</t>
        </is>
      </c>
      <c r="C442">
        <f>(2*LOG(C431,2)+1)*C436/2+2*C438</f>
        <v/>
      </c>
    </row>
    <row r="443"/>
    <row r="444">
      <c r="A444" t="inlineStr">
        <is>
          <t>size_KB</t>
        </is>
      </c>
      <c r="B444" t="inlineStr">
        <is>
          <t>Actual Time (us)</t>
        </is>
      </c>
      <c r="C444" t="inlineStr">
        <is>
          <t>Roofline Time (us)</t>
        </is>
      </c>
      <c r="D444" t="inlineStr">
        <is>
          <t>Actual/Roofline</t>
        </is>
      </c>
      <c r="E444" t="inlineStr">
        <is>
          <t>Actual busBW (GB/s)</t>
        </is>
      </c>
      <c r="F444" t="inlineStr">
        <is>
          <t>Roofline busBW (GB/s)</t>
        </is>
      </c>
      <c r="G444" t="inlineStr">
        <is>
          <t>Meas/Roof busBW</t>
        </is>
      </c>
    </row>
    <row r="445">
      <c r="A445" t="n">
        <v>1</v>
      </c>
      <c r="B445" t="n">
        <v>89.98</v>
      </c>
      <c r="C445">
        <f>C442+A445*1024*C440</f>
        <v/>
      </c>
      <c r="D445">
        <f>B445/C445</f>
        <v/>
      </c>
      <c r="E445" t="n">
        <v>0.02</v>
      </c>
      <c r="F445">
        <f>A445*1024/(C445*0.000001)/1000000000*C441</f>
        <v/>
      </c>
      <c r="G445">
        <f>E445/F445</f>
        <v/>
      </c>
    </row>
    <row r="446">
      <c r="A446" t="n">
        <v>2</v>
      </c>
      <c r="B446" t="n">
        <v>93.39</v>
      </c>
      <c r="C446">
        <f>C442+A446*1024*C440</f>
        <v/>
      </c>
      <c r="D446">
        <f>B446/C446</f>
        <v/>
      </c>
      <c r="E446" t="n">
        <v>0.04</v>
      </c>
      <c r="F446">
        <f>A446*1024/(C446*0.000001)/1000000000*C441</f>
        <v/>
      </c>
      <c r="G446">
        <f>E446/F446</f>
        <v/>
      </c>
    </row>
    <row r="447">
      <c r="A447" t="n">
        <v>4</v>
      </c>
      <c r="B447" t="n">
        <v>98.14</v>
      </c>
      <c r="C447">
        <f>C442+A447*1024*C440</f>
        <v/>
      </c>
      <c r="D447">
        <f>B447/C447</f>
        <v/>
      </c>
      <c r="E447" t="n">
        <v>0.08</v>
      </c>
      <c r="F447">
        <f>A447*1024/(C447*0.000001)/1000000000*C441</f>
        <v/>
      </c>
      <c r="G447">
        <f>E447/F447</f>
        <v/>
      </c>
    </row>
    <row r="448">
      <c r="A448" t="n">
        <v>8</v>
      </c>
      <c r="B448" t="n">
        <v>105.52</v>
      </c>
      <c r="C448">
        <f>C442+A448*1024*C440</f>
        <v/>
      </c>
      <c r="D448">
        <f>B448/C448</f>
        <v/>
      </c>
      <c r="E448" t="n">
        <v>0.15</v>
      </c>
      <c r="F448">
        <f>A448*1024/(C448*0.000001)/1000000000*C441</f>
        <v/>
      </c>
      <c r="G448">
        <f>E448/F448</f>
        <v/>
      </c>
    </row>
    <row r="449">
      <c r="A449" t="n">
        <v>16</v>
      </c>
      <c r="B449" t="n">
        <v>110.1</v>
      </c>
      <c r="C449">
        <f>C442+A449*1024*C440</f>
        <v/>
      </c>
      <c r="D449">
        <f>B449/C449</f>
        <v/>
      </c>
      <c r="E449" t="n">
        <v>0.29</v>
      </c>
      <c r="F449">
        <f>A449*1024/(C449*0.000001)/1000000000*C441</f>
        <v/>
      </c>
      <c r="G449">
        <f>E449/F449</f>
        <v/>
      </c>
    </row>
    <row r="450">
      <c r="A450" t="n">
        <v>32</v>
      </c>
      <c r="B450" t="n">
        <v>111.93</v>
      </c>
      <c r="C450">
        <f>C442+A450*1024*C440</f>
        <v/>
      </c>
      <c r="D450">
        <f>B450/C450</f>
        <v/>
      </c>
      <c r="E450" t="n">
        <v>0.57</v>
      </c>
      <c r="F450">
        <f>A450*1024/(C450*0.000001)/1000000000*C441</f>
        <v/>
      </c>
      <c r="G450">
        <f>E450/F450</f>
        <v/>
      </c>
    </row>
    <row r="451">
      <c r="A451" t="n">
        <v>64</v>
      </c>
      <c r="B451" t="n">
        <v>116.84</v>
      </c>
      <c r="C451">
        <f>C442+A451*1024*C440</f>
        <v/>
      </c>
      <c r="D451">
        <f>B451/C451</f>
        <v/>
      </c>
      <c r="E451" t="n">
        <v>1.09</v>
      </c>
      <c r="F451">
        <f>A451*1024/(C451*0.000001)/1000000000*C441</f>
        <v/>
      </c>
      <c r="G451">
        <f>E451/F451</f>
        <v/>
      </c>
    </row>
    <row r="452">
      <c r="A452" t="n">
        <v>128</v>
      </c>
      <c r="B452" t="n">
        <v>126.63</v>
      </c>
      <c r="C452">
        <f>C442+A452*1024*C440</f>
        <v/>
      </c>
      <c r="D452">
        <f>B452/C452</f>
        <v/>
      </c>
      <c r="E452" t="n">
        <v>2.01</v>
      </c>
      <c r="F452">
        <f>A452*1024/(C452*0.000001)/1000000000*C441</f>
        <v/>
      </c>
      <c r="G452">
        <f>E452/F452</f>
        <v/>
      </c>
    </row>
    <row r="453">
      <c r="A453" t="n">
        <v>256</v>
      </c>
      <c r="B453" t="n">
        <v>145.13</v>
      </c>
      <c r="C453">
        <f>C442+A453*1024*C440</f>
        <v/>
      </c>
      <c r="D453">
        <f>B453/C453</f>
        <v/>
      </c>
      <c r="E453" t="n">
        <v>3.5</v>
      </c>
      <c r="F453">
        <f>A453*1024/(C453*0.000001)/1000000000*C441</f>
        <v/>
      </c>
      <c r="G453">
        <f>E453/F453</f>
        <v/>
      </c>
    </row>
    <row r="454">
      <c r="A454" t="n">
        <v>512</v>
      </c>
      <c r="B454" t="n">
        <v>192.69</v>
      </c>
      <c r="C454">
        <f>C442+A454*1024*C440</f>
        <v/>
      </c>
      <c r="D454">
        <f>B454/C454</f>
        <v/>
      </c>
      <c r="E454" t="n">
        <v>5.27</v>
      </c>
      <c r="F454">
        <f>A454*1024/(C454*0.000001)/1000000000*C441</f>
        <v/>
      </c>
      <c r="G454">
        <f>E454/F454</f>
        <v/>
      </c>
    </row>
    <row r="455">
      <c r="A455" t="n">
        <v>1024</v>
      </c>
      <c r="B455" t="n">
        <v>233.49</v>
      </c>
      <c r="C455">
        <f>C442+A455*1024*C440</f>
        <v/>
      </c>
      <c r="D455">
        <f>B455/C455</f>
        <v/>
      </c>
      <c r="E455" t="n">
        <v>8.699999999999999</v>
      </c>
      <c r="F455">
        <f>A455*1024/(C455*0.000001)/1000000000*C441</f>
        <v/>
      </c>
      <c r="G455">
        <f>E455/F455</f>
        <v/>
      </c>
    </row>
    <row r="456">
      <c r="A456" t="n">
        <v>2048</v>
      </c>
      <c r="B456" t="n">
        <v>319.71</v>
      </c>
      <c r="C456">
        <f>C442+A456*1024*C440</f>
        <v/>
      </c>
      <c r="D456">
        <f>B456/C456</f>
        <v/>
      </c>
      <c r="E456" t="n">
        <v>12.71</v>
      </c>
      <c r="F456">
        <f>A456*1024/(C456*0.000001)/1000000000*C441</f>
        <v/>
      </c>
      <c r="G456">
        <f>E456/F456</f>
        <v/>
      </c>
    </row>
    <row r="457">
      <c r="A457" t="n">
        <v>4096</v>
      </c>
      <c r="B457" t="n">
        <v>521.6900000000001</v>
      </c>
      <c r="C457">
        <f>C442+A457*1024*C440</f>
        <v/>
      </c>
      <c r="D457">
        <f>B457/C457</f>
        <v/>
      </c>
      <c r="E457" t="n">
        <v>15.58</v>
      </c>
      <c r="F457">
        <f>A457*1024/(C457*0.000001)/1000000000*C441</f>
        <v/>
      </c>
      <c r="G457">
        <f>E457/F457</f>
        <v/>
      </c>
    </row>
    <row r="458">
      <c r="A458" t="n">
        <v>8192</v>
      </c>
      <c r="B458" t="n">
        <v>930</v>
      </c>
      <c r="C458">
        <f>C442+A458*1024*C440</f>
        <v/>
      </c>
      <c r="D458">
        <f>B458/C458</f>
        <v/>
      </c>
      <c r="E458" t="n">
        <v>17.48</v>
      </c>
      <c r="F458">
        <f>A458*1024/(C458*0.000001)/1000000000*C441</f>
        <v/>
      </c>
      <c r="G458">
        <f>E458/F458</f>
        <v/>
      </c>
    </row>
    <row r="459">
      <c r="A459" t="n">
        <v>16384</v>
      </c>
      <c r="B459" t="n">
        <v>1544.77</v>
      </c>
      <c r="C459">
        <f>C442+A459*1024*C440</f>
        <v/>
      </c>
      <c r="D459">
        <f>B459/C459</f>
        <v/>
      </c>
      <c r="E459" t="n">
        <v>21.04</v>
      </c>
      <c r="F459">
        <f>A459*1024/(C459*0.000001)/1000000000*C441</f>
        <v/>
      </c>
      <c r="G459">
        <f>E459/F459</f>
        <v/>
      </c>
    </row>
    <row r="460">
      <c r="A460" t="n">
        <v>32768</v>
      </c>
      <c r="B460" t="n">
        <v>2834.38</v>
      </c>
      <c r="C460">
        <f>C442+A460*1024*C440</f>
        <v/>
      </c>
      <c r="D460">
        <f>B460/C460</f>
        <v/>
      </c>
      <c r="E460" t="n">
        <v>22.94</v>
      </c>
      <c r="F460">
        <f>A460*1024/(C460*0.000001)/1000000000*C441</f>
        <v/>
      </c>
      <c r="G460">
        <f>E460/F460</f>
        <v/>
      </c>
    </row>
    <row r="461">
      <c r="A461" t="n">
        <v>65536</v>
      </c>
      <c r="B461" t="n">
        <v>5451.75</v>
      </c>
      <c r="C461">
        <f>C442+A461*1024*C440</f>
        <v/>
      </c>
      <c r="D461">
        <f>B461/C461</f>
        <v/>
      </c>
      <c r="E461" t="n">
        <v>23.85</v>
      </c>
      <c r="F461">
        <f>A461*1024/(C461*0.000001)/1000000000*C441</f>
        <v/>
      </c>
      <c r="G461">
        <f>E461/F461</f>
        <v/>
      </c>
    </row>
    <row r="462">
      <c r="A462" t="n">
        <v>131072</v>
      </c>
      <c r="B462" t="n">
        <v>10730.7</v>
      </c>
      <c r="C462">
        <f>C442+A462*1024*C440</f>
        <v/>
      </c>
      <c r="D462">
        <f>B462/C462</f>
        <v/>
      </c>
      <c r="E462" t="n">
        <v>24.23</v>
      </c>
      <c r="F462">
        <f>A462*1024/(C462*0.000001)/1000000000*C441</f>
        <v/>
      </c>
      <c r="G462">
        <f>E462/F462</f>
        <v/>
      </c>
    </row>
    <row r="463">
      <c r="A463" t="n">
        <v>262144</v>
      </c>
      <c r="B463" t="n">
        <v>21236.7</v>
      </c>
      <c r="C463">
        <f>C442+A463*1024*C440</f>
        <v/>
      </c>
      <c r="D463">
        <f>B463/C463</f>
        <v/>
      </c>
      <c r="E463" t="n">
        <v>24.49</v>
      </c>
      <c r="F463">
        <f>A463*1024/(C463*0.000001)/1000000000*C441</f>
        <v/>
      </c>
      <c r="G463">
        <f>E463/F463</f>
        <v/>
      </c>
    </row>
    <row r="464">
      <c r="A464" t="n">
        <v>524288</v>
      </c>
      <c r="B464" t="n">
        <v>42334.4</v>
      </c>
      <c r="C464">
        <f>C442+A464*1024*C440</f>
        <v/>
      </c>
      <c r="D464">
        <f>B464/C464</f>
        <v/>
      </c>
      <c r="E464" t="n">
        <v>24.57</v>
      </c>
      <c r="F464">
        <f>A464*1024/(C464*0.000001)/1000000000*C441</f>
        <v/>
      </c>
      <c r="G464">
        <f>E464/F464</f>
        <v/>
      </c>
    </row>
    <row r="465">
      <c r="A465" t="n">
        <v>1048576</v>
      </c>
      <c r="B465" t="n">
        <v>84328</v>
      </c>
      <c r="C465">
        <f>C442+A465*1024*C440</f>
        <v/>
      </c>
      <c r="D465">
        <f>B465/C465</f>
        <v/>
      </c>
      <c r="E465" t="n">
        <v>24.67</v>
      </c>
      <c r="F465">
        <f>A465*1024/(C465*0.000001)/1000000000*C441</f>
        <v/>
      </c>
      <c r="G465">
        <f>E465/F465</f>
        <v/>
      </c>
    </row>
    <row r="466"/>
    <row r="467">
      <c r="A467" t="inlineStr">
        <is>
          <t>Nodes: 4, Protocol: LL128, Channels: 4</t>
        </is>
      </c>
    </row>
    <row r="468">
      <c r="A468" t="inlineStr">
        <is>
          <t>Parameter</t>
        </is>
      </c>
      <c r="B468" t="inlineStr">
        <is>
          <t>Formula</t>
        </is>
      </c>
      <c r="C468" t="inlineStr">
        <is>
          <t>Value</t>
        </is>
      </c>
    </row>
    <row r="469">
      <c r="A469" t="inlineStr">
        <is>
          <t>N</t>
        </is>
      </c>
      <c r="B469" t="inlineStr">
        <is>
          <t>nodes</t>
        </is>
      </c>
      <c r="C469" t="n">
        <v>4</v>
      </c>
    </row>
    <row r="470">
      <c r="A470" t="inlineStr">
        <is>
          <t>n</t>
        </is>
      </c>
      <c r="B470" t="inlineStr">
        <is>
          <t>GPUs/node</t>
        </is>
      </c>
      <c r="C470" t="n">
        <v>8</v>
      </c>
    </row>
    <row r="471">
      <c r="A471" t="inlineStr">
        <is>
          <t>n_total</t>
        </is>
      </c>
      <c r="B471" t="inlineStr">
        <is>
          <t>N*n</t>
        </is>
      </c>
      <c r="C471" t="n">
        <v>32</v>
      </c>
    </row>
    <row r="472">
      <c r="A472" t="inlineStr">
        <is>
          <t>nch_raw</t>
        </is>
      </c>
      <c r="B472" t="inlineStr">
        <is>
          <t>raw channels</t>
        </is>
      </c>
      <c r="C472" t="n">
        <v>4</v>
      </c>
    </row>
    <row r="473">
      <c r="A473" t="inlineStr">
        <is>
          <t>nch_eff</t>
        </is>
      </c>
      <c r="B473" t="inlineStr">
        <is>
          <t>min(nch_raw,8)</t>
        </is>
      </c>
      <c r="C473" t="n">
        <v>4</v>
      </c>
    </row>
    <row r="474">
      <c r="A474" t="inlineStr">
        <is>
          <t>a</t>
        </is>
      </c>
      <c r="B474" t="inlineStr">
        <is>
          <t>RTT (us)</t>
        </is>
      </c>
      <c r="C474" t="n">
        <v>24.92</v>
      </c>
    </row>
    <row r="475">
      <c r="A475" t="inlineStr">
        <is>
          <t>NIC_BW</t>
        </is>
      </c>
      <c r="B475" t="inlineStr">
        <is>
          <t>bytes/us</t>
        </is>
      </c>
      <c r="C475" t="n">
        <v>48750</v>
      </c>
    </row>
    <row r="476">
      <c r="A476" t="inlineStr">
        <is>
          <t>intra_node_latency</t>
        </is>
      </c>
      <c r="B476" t="inlineStr">
        <is>
          <t>us</t>
        </is>
      </c>
      <c r="C476" t="n">
        <v>8.4</v>
      </c>
    </row>
    <row r="477">
      <c r="A477" t="inlineStr">
        <is>
          <t>NIC_BW_REAL</t>
        </is>
      </c>
      <c r="B477" t="inlineStr">
        <is>
          <t>nch_eff*(NIC_BW*15/16)/3</t>
        </is>
      </c>
      <c r="C477">
        <f>C473*(C475*15/16)/3</f>
        <v/>
      </c>
    </row>
    <row r="478">
      <c r="A478" t="inlineStr">
        <is>
          <t>G</t>
        </is>
      </c>
      <c r="B478" t="inlineStr">
        <is>
          <t>1/NIC_BW_REAL</t>
        </is>
      </c>
      <c r="C478">
        <f>1/C477</f>
        <v/>
      </c>
    </row>
    <row r="479">
      <c r="A479" t="inlineStr">
        <is>
          <t>busbw_factor</t>
        </is>
      </c>
      <c r="B479" t="inlineStr">
        <is>
          <t>2*(n_total-1)/n_total</t>
        </is>
      </c>
      <c r="C479">
        <f>2*(C471-1)/C471</f>
        <v/>
      </c>
    </row>
    <row r="480">
      <c r="A480" t="inlineStr">
        <is>
          <t>fixed_overhead</t>
        </is>
      </c>
      <c r="B480" t="inlineStr">
        <is>
          <t>(2*LOG2(N)+1)*a/2+2*intra</t>
        </is>
      </c>
      <c r="C480">
        <f>(2*LOG(C469,2)+1)*C474/2+2*C476</f>
        <v/>
      </c>
    </row>
    <row r="481"/>
    <row r="482">
      <c r="A482" t="inlineStr">
        <is>
          <t>size_KB</t>
        </is>
      </c>
      <c r="B482" t="inlineStr">
        <is>
          <t>Actual Time (us)</t>
        </is>
      </c>
      <c r="C482" t="inlineStr">
        <is>
          <t>Roofline Time (us)</t>
        </is>
      </c>
      <c r="D482" t="inlineStr">
        <is>
          <t>Actual/Roofline</t>
        </is>
      </c>
      <c r="E482" t="inlineStr">
        <is>
          <t>Actual busBW (GB/s)</t>
        </is>
      </c>
      <c r="F482" t="inlineStr">
        <is>
          <t>Roofline busBW (GB/s)</t>
        </is>
      </c>
      <c r="G482" t="inlineStr">
        <is>
          <t>Meas/Roof busBW</t>
        </is>
      </c>
    </row>
    <row r="483">
      <c r="A483" t="n">
        <v>1</v>
      </c>
      <c r="B483" t="n">
        <v>92.54000000000001</v>
      </c>
      <c r="C483">
        <f>C480+A483*1024*C478</f>
        <v/>
      </c>
      <c r="D483">
        <f>B483/C483</f>
        <v/>
      </c>
      <c r="E483" t="n">
        <v>0.02</v>
      </c>
      <c r="F483">
        <f>A483*1024/(C483*0.000001)/1000000000*C479</f>
        <v/>
      </c>
      <c r="G483">
        <f>E483/F483</f>
        <v/>
      </c>
    </row>
    <row r="484">
      <c r="A484" t="n">
        <v>2</v>
      </c>
      <c r="B484" t="n">
        <v>94.36</v>
      </c>
      <c r="C484">
        <f>C480+A484*1024*C478</f>
        <v/>
      </c>
      <c r="D484">
        <f>B484/C484</f>
        <v/>
      </c>
      <c r="E484" t="n">
        <v>0.04</v>
      </c>
      <c r="F484">
        <f>A484*1024/(C484*0.000001)/1000000000*C479</f>
        <v/>
      </c>
      <c r="G484">
        <f>E484/F484</f>
        <v/>
      </c>
    </row>
    <row r="485">
      <c r="A485" t="n">
        <v>4</v>
      </c>
      <c r="B485" t="n">
        <v>98.76000000000001</v>
      </c>
      <c r="C485">
        <f>C480+A485*1024*C478</f>
        <v/>
      </c>
      <c r="D485">
        <f>B485/C485</f>
        <v/>
      </c>
      <c r="E485" t="n">
        <v>0.08</v>
      </c>
      <c r="F485">
        <f>A485*1024/(C485*0.000001)/1000000000*C479</f>
        <v/>
      </c>
      <c r="G485">
        <f>E485/F485</f>
        <v/>
      </c>
    </row>
    <row r="486">
      <c r="A486" t="n">
        <v>8</v>
      </c>
      <c r="B486" t="n">
        <v>105.5</v>
      </c>
      <c r="C486">
        <f>C480+A486*1024*C478</f>
        <v/>
      </c>
      <c r="D486">
        <f>B486/C486</f>
        <v/>
      </c>
      <c r="E486" t="n">
        <v>0.15</v>
      </c>
      <c r="F486">
        <f>A486*1024/(C486*0.000001)/1000000000*C479</f>
        <v/>
      </c>
      <c r="G486">
        <f>E486/F486</f>
        <v/>
      </c>
    </row>
    <row r="487">
      <c r="A487" t="n">
        <v>16</v>
      </c>
      <c r="B487" t="n">
        <v>111.21</v>
      </c>
      <c r="C487">
        <f>C480+A487*1024*C478</f>
        <v/>
      </c>
      <c r="D487">
        <f>B487/C487</f>
        <v/>
      </c>
      <c r="E487" t="n">
        <v>0.29</v>
      </c>
      <c r="F487">
        <f>A487*1024/(C487*0.000001)/1000000000*C479</f>
        <v/>
      </c>
      <c r="G487">
        <f>E487/F487</f>
        <v/>
      </c>
    </row>
    <row r="488">
      <c r="A488" t="n">
        <v>32</v>
      </c>
      <c r="B488" t="n">
        <v>111.45</v>
      </c>
      <c r="C488">
        <f>C480+A488*1024*C478</f>
        <v/>
      </c>
      <c r="D488">
        <f>B488/C488</f>
        <v/>
      </c>
      <c r="E488" t="n">
        <v>0.57</v>
      </c>
      <c r="F488">
        <f>A488*1024/(C488*0.000001)/1000000000*C479</f>
        <v/>
      </c>
      <c r="G488">
        <f>E488/F488</f>
        <v/>
      </c>
    </row>
    <row r="489">
      <c r="A489" t="n">
        <v>64</v>
      </c>
      <c r="B489" t="n">
        <v>113.23</v>
      </c>
      <c r="C489">
        <f>C480+A489*1024*C478</f>
        <v/>
      </c>
      <c r="D489">
        <f>B489/C489</f>
        <v/>
      </c>
      <c r="E489" t="n">
        <v>1.12</v>
      </c>
      <c r="F489">
        <f>A489*1024/(C489*0.000001)/1000000000*C479</f>
        <v/>
      </c>
      <c r="G489">
        <f>E489/F489</f>
        <v/>
      </c>
    </row>
    <row r="490">
      <c r="A490" t="n">
        <v>128</v>
      </c>
      <c r="B490" t="n">
        <v>118.18</v>
      </c>
      <c r="C490">
        <f>C480+A490*1024*C478</f>
        <v/>
      </c>
      <c r="D490">
        <f>B490/C490</f>
        <v/>
      </c>
      <c r="E490" t="n">
        <v>2.15</v>
      </c>
      <c r="F490">
        <f>A490*1024/(C490*0.000001)/1000000000*C479</f>
        <v/>
      </c>
      <c r="G490">
        <f>E490/F490</f>
        <v/>
      </c>
    </row>
    <row r="491">
      <c r="A491" t="n">
        <v>256</v>
      </c>
      <c r="B491" t="n">
        <v>131.19</v>
      </c>
      <c r="C491">
        <f>C480+A491*1024*C478</f>
        <v/>
      </c>
      <c r="D491">
        <f>B491/C491</f>
        <v/>
      </c>
      <c r="E491" t="n">
        <v>3.87</v>
      </c>
      <c r="F491">
        <f>A491*1024/(C491*0.000001)/1000000000*C479</f>
        <v/>
      </c>
      <c r="G491">
        <f>E491/F491</f>
        <v/>
      </c>
    </row>
    <row r="492">
      <c r="A492" t="n">
        <v>512</v>
      </c>
      <c r="B492" t="n">
        <v>147.83</v>
      </c>
      <c r="C492">
        <f>C480+A492*1024*C478</f>
        <v/>
      </c>
      <c r="D492">
        <f>B492/C492</f>
        <v/>
      </c>
      <c r="E492" t="n">
        <v>6.87</v>
      </c>
      <c r="F492">
        <f>A492*1024/(C492*0.000001)/1000000000*C479</f>
        <v/>
      </c>
      <c r="G492">
        <f>E492/F492</f>
        <v/>
      </c>
    </row>
    <row r="493">
      <c r="A493" t="n">
        <v>1024</v>
      </c>
      <c r="B493" t="n">
        <v>196.12</v>
      </c>
      <c r="C493">
        <f>C480+A493*1024*C478</f>
        <v/>
      </c>
      <c r="D493">
        <f>B493/C493</f>
        <v/>
      </c>
      <c r="E493" t="n">
        <v>10.36</v>
      </c>
      <c r="F493">
        <f>A493*1024/(C493*0.000001)/1000000000*C479</f>
        <v/>
      </c>
      <c r="G493">
        <f>E493/F493</f>
        <v/>
      </c>
    </row>
    <row r="494">
      <c r="A494" t="n">
        <v>2048</v>
      </c>
      <c r="B494" t="n">
        <v>236.41</v>
      </c>
      <c r="C494">
        <f>C480+A494*1024*C478</f>
        <v/>
      </c>
      <c r="D494">
        <f>B494/C494</f>
        <v/>
      </c>
      <c r="E494" t="n">
        <v>17.19</v>
      </c>
      <c r="F494">
        <f>A494*1024/(C494*0.000001)/1000000000*C479</f>
        <v/>
      </c>
      <c r="G494">
        <f>E494/F494</f>
        <v/>
      </c>
    </row>
    <row r="495">
      <c r="A495" t="n">
        <v>4096</v>
      </c>
      <c r="B495" t="n">
        <v>322.48</v>
      </c>
      <c r="C495">
        <f>C480+A495*1024*C478</f>
        <v/>
      </c>
      <c r="D495">
        <f>B495/C495</f>
        <v/>
      </c>
      <c r="E495" t="n">
        <v>25.2</v>
      </c>
      <c r="F495">
        <f>A495*1024/(C495*0.000001)/1000000000*C479</f>
        <v/>
      </c>
      <c r="G495">
        <f>E495/F495</f>
        <v/>
      </c>
    </row>
    <row r="496">
      <c r="A496" t="n">
        <v>8192</v>
      </c>
      <c r="B496" t="n">
        <v>526.2</v>
      </c>
      <c r="C496">
        <f>C480+A496*1024*C478</f>
        <v/>
      </c>
      <c r="D496">
        <f>B496/C496</f>
        <v/>
      </c>
      <c r="E496" t="n">
        <v>30.89</v>
      </c>
      <c r="F496">
        <f>A496*1024/(C496*0.000001)/1000000000*C479</f>
        <v/>
      </c>
      <c r="G496">
        <f>E496/F496</f>
        <v/>
      </c>
    </row>
    <row r="497">
      <c r="A497" t="n">
        <v>16384</v>
      </c>
      <c r="B497" t="n">
        <v>936.26</v>
      </c>
      <c r="C497">
        <f>C480+A497*1024*C478</f>
        <v/>
      </c>
      <c r="D497">
        <f>B497/C497</f>
        <v/>
      </c>
      <c r="E497" t="n">
        <v>34.72</v>
      </c>
      <c r="F497">
        <f>A497*1024/(C497*0.000001)/1000000000*C479</f>
        <v/>
      </c>
      <c r="G497">
        <f>E497/F497</f>
        <v/>
      </c>
    </row>
    <row r="498">
      <c r="A498" t="n">
        <v>32768</v>
      </c>
      <c r="B498" t="n">
        <v>1565.88</v>
      </c>
      <c r="C498">
        <f>C480+A498*1024*C478</f>
        <v/>
      </c>
      <c r="D498">
        <f>B498/C498</f>
        <v/>
      </c>
      <c r="E498" t="n">
        <v>41.52</v>
      </c>
      <c r="F498">
        <f>A498*1024/(C498*0.000001)/1000000000*C479</f>
        <v/>
      </c>
      <c r="G498">
        <f>E498/F498</f>
        <v/>
      </c>
    </row>
    <row r="499">
      <c r="A499" t="n">
        <v>65536</v>
      </c>
      <c r="B499" t="n">
        <v>2907.84</v>
      </c>
      <c r="C499">
        <f>C480+A499*1024*C478</f>
        <v/>
      </c>
      <c r="D499">
        <f>B499/C499</f>
        <v/>
      </c>
      <c r="E499" t="n">
        <v>44.71</v>
      </c>
      <c r="F499">
        <f>A499*1024/(C499*0.000001)/1000000000*C479</f>
        <v/>
      </c>
      <c r="G499">
        <f>E499/F499</f>
        <v/>
      </c>
    </row>
    <row r="500">
      <c r="A500" t="n">
        <v>131072</v>
      </c>
      <c r="B500" t="n">
        <v>5573.5</v>
      </c>
      <c r="C500">
        <f>C480+A500*1024*C478</f>
        <v/>
      </c>
      <c r="D500">
        <f>B500/C500</f>
        <v/>
      </c>
      <c r="E500" t="n">
        <v>46.66</v>
      </c>
      <c r="F500">
        <f>A500*1024/(C500*0.000001)/1000000000*C479</f>
        <v/>
      </c>
      <c r="G500">
        <f>E500/F500</f>
        <v/>
      </c>
    </row>
    <row r="501">
      <c r="A501" t="n">
        <v>262144</v>
      </c>
      <c r="B501" t="n">
        <v>10892</v>
      </c>
      <c r="C501">
        <f>C480+A501*1024*C478</f>
        <v/>
      </c>
      <c r="D501">
        <f>B501/C501</f>
        <v/>
      </c>
      <c r="E501" t="n">
        <v>47.75</v>
      </c>
      <c r="F501">
        <f>A501*1024/(C501*0.000001)/1000000000*C479</f>
        <v/>
      </c>
      <c r="G501">
        <f>E501/F501</f>
        <v/>
      </c>
    </row>
    <row r="502">
      <c r="A502" t="n">
        <v>524288</v>
      </c>
      <c r="B502" t="n">
        <v>21529.9</v>
      </c>
      <c r="C502">
        <f>C480+A502*1024*C478</f>
        <v/>
      </c>
      <c r="D502">
        <f>B502/C502</f>
        <v/>
      </c>
      <c r="E502" t="n">
        <v>48.31</v>
      </c>
      <c r="F502">
        <f>A502*1024/(C502*0.000001)/1000000000*C479</f>
        <v/>
      </c>
      <c r="G502">
        <f>E502/F502</f>
        <v/>
      </c>
    </row>
    <row r="503">
      <c r="A503" t="n">
        <v>1048576</v>
      </c>
      <c r="B503" t="n">
        <v>42885.4</v>
      </c>
      <c r="C503">
        <f>C480+A503*1024*C478</f>
        <v/>
      </c>
      <c r="D503">
        <f>B503/C503</f>
        <v/>
      </c>
      <c r="E503" t="n">
        <v>48.51</v>
      </c>
      <c r="F503">
        <f>A503*1024/(C503*0.000001)/1000000000*C479</f>
        <v/>
      </c>
      <c r="G503">
        <f>E503/F503</f>
        <v/>
      </c>
    </row>
    <row r="504"/>
    <row r="505">
      <c r="A505" t="inlineStr">
        <is>
          <t>Nodes: 4, Protocol: LL128, Channels: 8</t>
        </is>
      </c>
    </row>
    <row r="506">
      <c r="A506" t="inlineStr">
        <is>
          <t>Parameter</t>
        </is>
      </c>
      <c r="B506" t="inlineStr">
        <is>
          <t>Formula</t>
        </is>
      </c>
      <c r="C506" t="inlineStr">
        <is>
          <t>Value</t>
        </is>
      </c>
    </row>
    <row r="507">
      <c r="A507" t="inlineStr">
        <is>
          <t>N</t>
        </is>
      </c>
      <c r="B507" t="inlineStr">
        <is>
          <t>nodes</t>
        </is>
      </c>
      <c r="C507" t="n">
        <v>4</v>
      </c>
    </row>
    <row r="508">
      <c r="A508" t="inlineStr">
        <is>
          <t>n</t>
        </is>
      </c>
      <c r="B508" t="inlineStr">
        <is>
          <t>GPUs/node</t>
        </is>
      </c>
      <c r="C508" t="n">
        <v>8</v>
      </c>
    </row>
    <row r="509">
      <c r="A509" t="inlineStr">
        <is>
          <t>n_total</t>
        </is>
      </c>
      <c r="B509" t="inlineStr">
        <is>
          <t>N*n</t>
        </is>
      </c>
      <c r="C509" t="n">
        <v>32</v>
      </c>
    </row>
    <row r="510">
      <c r="A510" t="inlineStr">
        <is>
          <t>nch_raw</t>
        </is>
      </c>
      <c r="B510" t="inlineStr">
        <is>
          <t>raw channels</t>
        </is>
      </c>
      <c r="C510" t="n">
        <v>8</v>
      </c>
    </row>
    <row r="511">
      <c r="A511" t="inlineStr">
        <is>
          <t>nch_eff</t>
        </is>
      </c>
      <c r="B511" t="inlineStr">
        <is>
          <t>min(nch_raw,8)</t>
        </is>
      </c>
      <c r="C511" t="n">
        <v>8</v>
      </c>
    </row>
    <row r="512">
      <c r="A512" t="inlineStr">
        <is>
          <t>a</t>
        </is>
      </c>
      <c r="B512" t="inlineStr">
        <is>
          <t>RTT (us)</t>
        </is>
      </c>
      <c r="C512" t="n">
        <v>24.92</v>
      </c>
    </row>
    <row r="513">
      <c r="A513" t="inlineStr">
        <is>
          <t>NIC_BW</t>
        </is>
      </c>
      <c r="B513" t="inlineStr">
        <is>
          <t>bytes/us</t>
        </is>
      </c>
      <c r="C513" t="n">
        <v>48750</v>
      </c>
    </row>
    <row r="514">
      <c r="A514" t="inlineStr">
        <is>
          <t>intra_node_latency</t>
        </is>
      </c>
      <c r="B514" t="inlineStr">
        <is>
          <t>us</t>
        </is>
      </c>
      <c r="C514" t="n">
        <v>8.4</v>
      </c>
    </row>
    <row r="515">
      <c r="A515" t="inlineStr">
        <is>
          <t>NIC_BW_REAL</t>
        </is>
      </c>
      <c r="B515" t="inlineStr">
        <is>
          <t>nch_eff*(NIC_BW*15/16)/3</t>
        </is>
      </c>
      <c r="C515">
        <f>C511*(C513*15/16)/3</f>
        <v/>
      </c>
    </row>
    <row r="516">
      <c r="A516" t="inlineStr">
        <is>
          <t>G</t>
        </is>
      </c>
      <c r="B516" t="inlineStr">
        <is>
          <t>1/NIC_BW_REAL</t>
        </is>
      </c>
      <c r="C516">
        <f>1/C515</f>
        <v/>
      </c>
    </row>
    <row r="517">
      <c r="A517" t="inlineStr">
        <is>
          <t>busbw_factor</t>
        </is>
      </c>
      <c r="B517" t="inlineStr">
        <is>
          <t>2*(n_total-1)/n_total</t>
        </is>
      </c>
      <c r="C517">
        <f>2*(C509-1)/C509</f>
        <v/>
      </c>
    </row>
    <row r="518">
      <c r="A518" t="inlineStr">
        <is>
          <t>fixed_overhead</t>
        </is>
      </c>
      <c r="B518" t="inlineStr">
        <is>
          <t>(2*LOG2(N)+1)*a/2+2*intra</t>
        </is>
      </c>
      <c r="C518">
        <f>(2*LOG(C507,2)+1)*C512/2+2*C514</f>
        <v/>
      </c>
    </row>
    <row r="519"/>
    <row r="520">
      <c r="A520" t="inlineStr">
        <is>
          <t>size_KB</t>
        </is>
      </c>
      <c r="B520" t="inlineStr">
        <is>
          <t>Actual Time (us)</t>
        </is>
      </c>
      <c r="C520" t="inlineStr">
        <is>
          <t>Roofline Time (us)</t>
        </is>
      </c>
      <c r="D520" t="inlineStr">
        <is>
          <t>Actual/Roofline</t>
        </is>
      </c>
      <c r="E520" t="inlineStr">
        <is>
          <t>Actual busBW (GB/s)</t>
        </is>
      </c>
      <c r="F520" t="inlineStr">
        <is>
          <t>Roofline busBW (GB/s)</t>
        </is>
      </c>
      <c r="G520" t="inlineStr">
        <is>
          <t>Meas/Roof busBW</t>
        </is>
      </c>
    </row>
    <row r="521">
      <c r="A521" t="n">
        <v>1</v>
      </c>
      <c r="B521" t="n">
        <v>92.19</v>
      </c>
      <c r="C521">
        <f>C518+A521*1024*C516</f>
        <v/>
      </c>
      <c r="D521">
        <f>B521/C521</f>
        <v/>
      </c>
      <c r="E521" t="n">
        <v>0.02</v>
      </c>
      <c r="F521">
        <f>A521*1024/(C521*0.000001)/1000000000*C517</f>
        <v/>
      </c>
      <c r="G521">
        <f>E521/F521</f>
        <v/>
      </c>
    </row>
    <row r="522">
      <c r="A522" t="n">
        <v>2</v>
      </c>
      <c r="B522" t="n">
        <v>94.23</v>
      </c>
      <c r="C522">
        <f>C518+A522*1024*C516</f>
        <v/>
      </c>
      <c r="D522">
        <f>B522/C522</f>
        <v/>
      </c>
      <c r="E522" t="n">
        <v>0.04</v>
      </c>
      <c r="F522">
        <f>A522*1024/(C522*0.000001)/1000000000*C517</f>
        <v/>
      </c>
      <c r="G522">
        <f>E522/F522</f>
        <v/>
      </c>
    </row>
    <row r="523">
      <c r="A523" t="n">
        <v>4</v>
      </c>
      <c r="B523" t="n">
        <v>98.56999999999999</v>
      </c>
      <c r="C523">
        <f>C518+A523*1024*C516</f>
        <v/>
      </c>
      <c r="D523">
        <f>B523/C523</f>
        <v/>
      </c>
      <c r="E523" t="n">
        <v>0.08</v>
      </c>
      <c r="F523">
        <f>A523*1024/(C523*0.000001)/1000000000*C517</f>
        <v/>
      </c>
      <c r="G523">
        <f>E523/F523</f>
        <v/>
      </c>
    </row>
    <row r="524">
      <c r="A524" t="n">
        <v>8</v>
      </c>
      <c r="B524" t="n">
        <v>105.07</v>
      </c>
      <c r="C524">
        <f>C518+A524*1024*C516</f>
        <v/>
      </c>
      <c r="D524">
        <f>B524/C524</f>
        <v/>
      </c>
      <c r="E524" t="n">
        <v>0.15</v>
      </c>
      <c r="F524">
        <f>A524*1024/(C524*0.000001)/1000000000*C517</f>
        <v/>
      </c>
      <c r="G524">
        <f>E524/F524</f>
        <v/>
      </c>
    </row>
    <row r="525">
      <c r="A525" t="n">
        <v>16</v>
      </c>
      <c r="B525" t="n">
        <v>110.59</v>
      </c>
      <c r="C525">
        <f>C518+A525*1024*C516</f>
        <v/>
      </c>
      <c r="D525">
        <f>B525/C525</f>
        <v/>
      </c>
      <c r="E525" t="n">
        <v>0.29</v>
      </c>
      <c r="F525">
        <f>A525*1024/(C525*0.000001)/1000000000*C517</f>
        <v/>
      </c>
      <c r="G525">
        <f>E525/F525</f>
        <v/>
      </c>
    </row>
    <row r="526">
      <c r="A526" t="n">
        <v>32</v>
      </c>
      <c r="B526" t="n">
        <v>111.08</v>
      </c>
      <c r="C526">
        <f>C518+A526*1024*C516</f>
        <v/>
      </c>
      <c r="D526">
        <f>B526/C526</f>
        <v/>
      </c>
      <c r="E526" t="n">
        <v>0.57</v>
      </c>
      <c r="F526">
        <f>A526*1024/(C526*0.000001)/1000000000*C517</f>
        <v/>
      </c>
      <c r="G526">
        <f>E526/F526</f>
        <v/>
      </c>
    </row>
    <row r="527">
      <c r="A527" t="n">
        <v>64</v>
      </c>
      <c r="B527" t="n">
        <v>112.47</v>
      </c>
      <c r="C527">
        <f>C518+A527*1024*C516</f>
        <v/>
      </c>
      <c r="D527">
        <f>B527/C527</f>
        <v/>
      </c>
      <c r="E527" t="n">
        <v>1.13</v>
      </c>
      <c r="F527">
        <f>A527*1024/(C527*0.000001)/1000000000*C517</f>
        <v/>
      </c>
      <c r="G527">
        <f>E527/F527</f>
        <v/>
      </c>
    </row>
    <row r="528">
      <c r="A528" t="n">
        <v>128</v>
      </c>
      <c r="B528" t="n">
        <v>113.02</v>
      </c>
      <c r="C528">
        <f>C518+A528*1024*C516</f>
        <v/>
      </c>
      <c r="D528">
        <f>B528/C528</f>
        <v/>
      </c>
      <c r="E528" t="n">
        <v>2.25</v>
      </c>
      <c r="F528">
        <f>A528*1024/(C528*0.000001)/1000000000*C517</f>
        <v/>
      </c>
      <c r="G528">
        <f>E528/F528</f>
        <v/>
      </c>
    </row>
    <row r="529">
      <c r="A529" t="n">
        <v>256</v>
      </c>
      <c r="B529" t="n">
        <v>119.32</v>
      </c>
      <c r="C529">
        <f>C518+A529*1024*C516</f>
        <v/>
      </c>
      <c r="D529">
        <f>B529/C529</f>
        <v/>
      </c>
      <c r="E529" t="n">
        <v>4.26</v>
      </c>
      <c r="F529">
        <f>A529*1024/(C529*0.000001)/1000000000*C517</f>
        <v/>
      </c>
      <c r="G529">
        <f>E529/F529</f>
        <v/>
      </c>
    </row>
    <row r="530">
      <c r="A530" t="n">
        <v>512</v>
      </c>
      <c r="B530" t="n">
        <v>135.19</v>
      </c>
      <c r="C530">
        <f>C518+A530*1024*C516</f>
        <v/>
      </c>
      <c r="D530">
        <f>B530/C530</f>
        <v/>
      </c>
      <c r="E530" t="n">
        <v>7.51</v>
      </c>
      <c r="F530">
        <f>A530*1024/(C530*0.000001)/1000000000*C517</f>
        <v/>
      </c>
      <c r="G530">
        <f>E530/F530</f>
        <v/>
      </c>
    </row>
    <row r="531">
      <c r="A531" t="n">
        <v>1024</v>
      </c>
      <c r="B531" t="n">
        <v>147.98</v>
      </c>
      <c r="C531">
        <f>C518+A531*1024*C516</f>
        <v/>
      </c>
      <c r="D531">
        <f>B531/C531</f>
        <v/>
      </c>
      <c r="E531" t="n">
        <v>13.73</v>
      </c>
      <c r="F531">
        <f>A531*1024/(C531*0.000001)/1000000000*C517</f>
        <v/>
      </c>
      <c r="G531">
        <f>E531/F531</f>
        <v/>
      </c>
    </row>
    <row r="532">
      <c r="A532" t="n">
        <v>2048</v>
      </c>
      <c r="B532" t="n">
        <v>202.46</v>
      </c>
      <c r="C532">
        <f>C518+A532*1024*C516</f>
        <v/>
      </c>
      <c r="D532">
        <f>B532/C532</f>
        <v/>
      </c>
      <c r="E532" t="n">
        <v>20.07</v>
      </c>
      <c r="F532">
        <f>A532*1024/(C532*0.000001)/1000000000*C517</f>
        <v/>
      </c>
      <c r="G532">
        <f>E532/F532</f>
        <v/>
      </c>
    </row>
    <row r="533">
      <c r="A533" t="n">
        <v>4096</v>
      </c>
      <c r="B533" t="n">
        <v>238.08</v>
      </c>
      <c r="C533">
        <f>C518+A533*1024*C516</f>
        <v/>
      </c>
      <c r="D533">
        <f>B533/C533</f>
        <v/>
      </c>
      <c r="E533" t="n">
        <v>34.13</v>
      </c>
      <c r="F533">
        <f>A533*1024/(C533*0.000001)/1000000000*C517</f>
        <v/>
      </c>
      <c r="G533">
        <f>E533/F533</f>
        <v/>
      </c>
    </row>
    <row r="534">
      <c r="A534" t="n">
        <v>8192</v>
      </c>
      <c r="B534" t="n">
        <v>324.77</v>
      </c>
      <c r="C534">
        <f>C518+A534*1024*C516</f>
        <v/>
      </c>
      <c r="D534">
        <f>B534/C534</f>
        <v/>
      </c>
      <c r="E534" t="n">
        <v>50.04</v>
      </c>
      <c r="F534">
        <f>A534*1024/(C534*0.000001)/1000000000*C517</f>
        <v/>
      </c>
      <c r="G534">
        <f>E534/F534</f>
        <v/>
      </c>
    </row>
    <row r="535">
      <c r="A535" t="n">
        <v>16384</v>
      </c>
      <c r="B535" t="n">
        <v>530.52</v>
      </c>
      <c r="C535">
        <f>C518+A535*1024*C516</f>
        <v/>
      </c>
      <c r="D535">
        <f>B535/C535</f>
        <v/>
      </c>
      <c r="E535" t="n">
        <v>61.27</v>
      </c>
      <c r="F535">
        <f>A535*1024/(C535*0.000001)/1000000000*C517</f>
        <v/>
      </c>
      <c r="G535">
        <f>E535/F535</f>
        <v/>
      </c>
    </row>
    <row r="536">
      <c r="A536" t="n">
        <v>32768</v>
      </c>
      <c r="B536" t="n">
        <v>949.39</v>
      </c>
      <c r="C536">
        <f>C518+A536*1024*C516</f>
        <v/>
      </c>
      <c r="D536">
        <f>B536/C536</f>
        <v/>
      </c>
      <c r="E536" t="n">
        <v>68.48</v>
      </c>
      <c r="F536">
        <f>A536*1024/(C536*0.000001)/1000000000*C517</f>
        <v/>
      </c>
      <c r="G536">
        <f>E536/F536</f>
        <v/>
      </c>
    </row>
    <row r="537">
      <c r="A537" t="n">
        <v>65536</v>
      </c>
      <c r="B537" t="n">
        <v>1615.57</v>
      </c>
      <c r="C537">
        <f>C518+A537*1024*C516</f>
        <v/>
      </c>
      <c r="D537">
        <f>B537/C537</f>
        <v/>
      </c>
      <c r="E537" t="n">
        <v>80.48</v>
      </c>
      <c r="F537">
        <f>A537*1024/(C537*0.000001)/1000000000*C517</f>
        <v/>
      </c>
      <c r="G537">
        <f>E537/F537</f>
        <v/>
      </c>
    </row>
    <row r="538">
      <c r="A538" t="n">
        <v>131072</v>
      </c>
      <c r="B538" t="n">
        <v>2968.14</v>
      </c>
      <c r="C538">
        <f>C518+A538*1024*C516</f>
        <v/>
      </c>
      <c r="D538">
        <f>B538/C538</f>
        <v/>
      </c>
      <c r="E538" t="n">
        <v>87.61</v>
      </c>
      <c r="F538">
        <f>A538*1024/(C538*0.000001)/1000000000*C517</f>
        <v/>
      </c>
      <c r="G538">
        <f>E538/F538</f>
        <v/>
      </c>
    </row>
    <row r="539">
      <c r="A539" t="n">
        <v>262144</v>
      </c>
      <c r="B539" t="n">
        <v>5642.68</v>
      </c>
      <c r="C539">
        <f>C518+A539*1024*C516</f>
        <v/>
      </c>
      <c r="D539">
        <f>B539/C539</f>
        <v/>
      </c>
      <c r="E539" t="n">
        <v>92.17</v>
      </c>
      <c r="F539">
        <f>A539*1024/(C539*0.000001)/1000000000*C517</f>
        <v/>
      </c>
      <c r="G539">
        <f>E539/F539</f>
        <v/>
      </c>
    </row>
    <row r="540">
      <c r="A540" t="n">
        <v>524288</v>
      </c>
      <c r="B540" t="n">
        <v>10982.8</v>
      </c>
      <c r="C540">
        <f>C518+A540*1024*C516</f>
        <v/>
      </c>
      <c r="D540">
        <f>B540/C540</f>
        <v/>
      </c>
      <c r="E540" t="n">
        <v>94.70999999999999</v>
      </c>
      <c r="F540">
        <f>A540*1024/(C540*0.000001)/1000000000*C517</f>
        <v/>
      </c>
      <c r="G540">
        <f>E540/F540</f>
        <v/>
      </c>
    </row>
    <row r="541">
      <c r="A541" t="n">
        <v>1048576</v>
      </c>
      <c r="B541" t="n">
        <v>21718.4</v>
      </c>
      <c r="C541">
        <f>C518+A541*1024*C516</f>
        <v/>
      </c>
      <c r="D541">
        <f>B541/C541</f>
        <v/>
      </c>
      <c r="E541" t="n">
        <v>95.79000000000001</v>
      </c>
      <c r="F541">
        <f>A541*1024/(C541*0.000001)/1000000000*C517</f>
        <v/>
      </c>
      <c r="G541">
        <f>E541/F541</f>
        <v/>
      </c>
    </row>
    <row r="542"/>
    <row r="543">
      <c r="A543" t="inlineStr">
        <is>
          <t>Nodes: 4, Protocol: LL128, Channels: 16</t>
        </is>
      </c>
    </row>
    <row r="544">
      <c r="A544" t="inlineStr">
        <is>
          <t>Parameter</t>
        </is>
      </c>
      <c r="B544" t="inlineStr">
        <is>
          <t>Formula</t>
        </is>
      </c>
      <c r="C544" t="inlineStr">
        <is>
          <t>Value</t>
        </is>
      </c>
    </row>
    <row r="545">
      <c r="A545" t="inlineStr">
        <is>
          <t>N</t>
        </is>
      </c>
      <c r="B545" t="inlineStr">
        <is>
          <t>nodes</t>
        </is>
      </c>
      <c r="C545" t="n">
        <v>4</v>
      </c>
    </row>
    <row r="546">
      <c r="A546" t="inlineStr">
        <is>
          <t>n</t>
        </is>
      </c>
      <c r="B546" t="inlineStr">
        <is>
          <t>GPUs/node</t>
        </is>
      </c>
      <c r="C546" t="n">
        <v>8</v>
      </c>
    </row>
    <row r="547">
      <c r="A547" t="inlineStr">
        <is>
          <t>n_total</t>
        </is>
      </c>
      <c r="B547" t="inlineStr">
        <is>
          <t>N*n</t>
        </is>
      </c>
      <c r="C547" t="n">
        <v>32</v>
      </c>
    </row>
    <row r="548">
      <c r="A548" t="inlineStr">
        <is>
          <t>nch_raw</t>
        </is>
      </c>
      <c r="B548" t="inlineStr">
        <is>
          <t>raw channels</t>
        </is>
      </c>
      <c r="C548" t="n">
        <v>16</v>
      </c>
    </row>
    <row r="549">
      <c r="A549" t="inlineStr">
        <is>
          <t>nch_eff</t>
        </is>
      </c>
      <c r="B549" t="inlineStr">
        <is>
          <t>min(nch_raw,8)</t>
        </is>
      </c>
      <c r="C549" t="n">
        <v>8</v>
      </c>
    </row>
    <row r="550">
      <c r="A550" t="inlineStr">
        <is>
          <t>a</t>
        </is>
      </c>
      <c r="B550" t="inlineStr">
        <is>
          <t>RTT (us)</t>
        </is>
      </c>
      <c r="C550" t="n">
        <v>24.92</v>
      </c>
    </row>
    <row r="551">
      <c r="A551" t="inlineStr">
        <is>
          <t>NIC_BW</t>
        </is>
      </c>
      <c r="B551" t="inlineStr">
        <is>
          <t>bytes/us</t>
        </is>
      </c>
      <c r="C551" t="n">
        <v>48750</v>
      </c>
    </row>
    <row r="552">
      <c r="A552" t="inlineStr">
        <is>
          <t>intra_node_latency</t>
        </is>
      </c>
      <c r="B552" t="inlineStr">
        <is>
          <t>us</t>
        </is>
      </c>
      <c r="C552" t="n">
        <v>8.4</v>
      </c>
    </row>
    <row r="553">
      <c r="A553" t="inlineStr">
        <is>
          <t>NIC_BW_REAL</t>
        </is>
      </c>
      <c r="B553" t="inlineStr">
        <is>
          <t>nch_eff*(NIC_BW*15/16)/3</t>
        </is>
      </c>
      <c r="C553">
        <f>C549*(C551*15/16)/3</f>
        <v/>
      </c>
    </row>
    <row r="554">
      <c r="A554" t="inlineStr">
        <is>
          <t>G</t>
        </is>
      </c>
      <c r="B554" t="inlineStr">
        <is>
          <t>1/NIC_BW_REAL</t>
        </is>
      </c>
      <c r="C554">
        <f>1/C553</f>
        <v/>
      </c>
    </row>
    <row r="555">
      <c r="A555" t="inlineStr">
        <is>
          <t>busbw_factor</t>
        </is>
      </c>
      <c r="B555" t="inlineStr">
        <is>
          <t>2*(n_total-1)/n_total</t>
        </is>
      </c>
      <c r="C555">
        <f>2*(C547-1)/C547</f>
        <v/>
      </c>
    </row>
    <row r="556">
      <c r="A556" t="inlineStr">
        <is>
          <t>fixed_overhead</t>
        </is>
      </c>
      <c r="B556" t="inlineStr">
        <is>
          <t>(2*LOG2(N)+1)*a/2+2*intra</t>
        </is>
      </c>
      <c r="C556">
        <f>(2*LOG(C545,2)+1)*C550/2+2*C552</f>
        <v/>
      </c>
    </row>
    <row r="557"/>
    <row r="558">
      <c r="A558" t="inlineStr">
        <is>
          <t>size_KB</t>
        </is>
      </c>
      <c r="B558" t="inlineStr">
        <is>
          <t>Actual Time (us)</t>
        </is>
      </c>
      <c r="C558" t="inlineStr">
        <is>
          <t>Roofline Time (us)</t>
        </is>
      </c>
      <c r="D558" t="inlineStr">
        <is>
          <t>Actual/Roofline</t>
        </is>
      </c>
      <c r="E558" t="inlineStr">
        <is>
          <t>Actual busBW (GB/s)</t>
        </is>
      </c>
      <c r="F558" t="inlineStr">
        <is>
          <t>Roofline busBW (GB/s)</t>
        </is>
      </c>
      <c r="G558" t="inlineStr">
        <is>
          <t>Meas/Roof busBW</t>
        </is>
      </c>
    </row>
    <row r="559">
      <c r="A559" t="n">
        <v>1</v>
      </c>
      <c r="B559" t="n">
        <v>91.23999999999999</v>
      </c>
      <c r="C559">
        <f>C556+A559*1024*C554</f>
        <v/>
      </c>
      <c r="D559">
        <f>B559/C559</f>
        <v/>
      </c>
      <c r="E559" t="n">
        <v>0.02</v>
      </c>
      <c r="F559">
        <f>A559*1024/(C559*0.000001)/1000000000*C555</f>
        <v/>
      </c>
      <c r="G559">
        <f>E559/F559</f>
        <v/>
      </c>
    </row>
    <row r="560">
      <c r="A560" t="n">
        <v>2</v>
      </c>
      <c r="B560" t="n">
        <v>94.69</v>
      </c>
      <c r="C560">
        <f>C556+A560*1024*C554</f>
        <v/>
      </c>
      <c r="D560">
        <f>B560/C560</f>
        <v/>
      </c>
      <c r="E560" t="n">
        <v>0.04</v>
      </c>
      <c r="F560">
        <f>A560*1024/(C560*0.000001)/1000000000*C555</f>
        <v/>
      </c>
      <c r="G560">
        <f>E560/F560</f>
        <v/>
      </c>
    </row>
    <row r="561">
      <c r="A561" t="n">
        <v>4</v>
      </c>
      <c r="B561" t="n">
        <v>99.42</v>
      </c>
      <c r="C561">
        <f>C556+A561*1024*C554</f>
        <v/>
      </c>
      <c r="D561">
        <f>B561/C561</f>
        <v/>
      </c>
      <c r="E561" t="n">
        <v>0.08</v>
      </c>
      <c r="F561">
        <f>A561*1024/(C561*0.000001)/1000000000*C555</f>
        <v/>
      </c>
      <c r="G561">
        <f>E561/F561</f>
        <v/>
      </c>
    </row>
    <row r="562">
      <c r="A562" t="n">
        <v>8</v>
      </c>
      <c r="B562" t="n">
        <v>105.1</v>
      </c>
      <c r="C562">
        <f>C556+A562*1024*C554</f>
        <v/>
      </c>
      <c r="D562">
        <f>B562/C562</f>
        <v/>
      </c>
      <c r="E562" t="n">
        <v>0.15</v>
      </c>
      <c r="F562">
        <f>A562*1024/(C562*0.000001)/1000000000*C555</f>
        <v/>
      </c>
      <c r="G562">
        <f>E562/F562</f>
        <v/>
      </c>
    </row>
    <row r="563">
      <c r="A563" t="n">
        <v>16</v>
      </c>
      <c r="B563" t="n">
        <v>110.08</v>
      </c>
      <c r="C563">
        <f>C556+A563*1024*C554</f>
        <v/>
      </c>
      <c r="D563">
        <f>B563/C563</f>
        <v/>
      </c>
      <c r="E563" t="n">
        <v>0.29</v>
      </c>
      <c r="F563">
        <f>A563*1024/(C563*0.000001)/1000000000*C555</f>
        <v/>
      </c>
      <c r="G563">
        <f>E563/F563</f>
        <v/>
      </c>
    </row>
    <row r="564">
      <c r="A564" t="n">
        <v>32</v>
      </c>
      <c r="B564" t="n">
        <v>111.38</v>
      </c>
      <c r="C564">
        <f>C556+A564*1024*C554</f>
        <v/>
      </c>
      <c r="D564">
        <f>B564/C564</f>
        <v/>
      </c>
      <c r="E564" t="n">
        <v>0.57</v>
      </c>
      <c r="F564">
        <f>A564*1024/(C564*0.000001)/1000000000*C555</f>
        <v/>
      </c>
      <c r="G564">
        <f>E564/F564</f>
        <v/>
      </c>
    </row>
    <row r="565">
      <c r="A565" t="n">
        <v>64</v>
      </c>
      <c r="B565" t="n">
        <v>112.12</v>
      </c>
      <c r="C565">
        <f>C556+A565*1024*C554</f>
        <v/>
      </c>
      <c r="D565">
        <f>B565/C565</f>
        <v/>
      </c>
      <c r="E565" t="n">
        <v>1.13</v>
      </c>
      <c r="F565">
        <f>A565*1024/(C565*0.000001)/1000000000*C555</f>
        <v/>
      </c>
      <c r="G565">
        <f>E565/F565</f>
        <v/>
      </c>
    </row>
    <row r="566">
      <c r="A566" t="n">
        <v>128</v>
      </c>
      <c r="B566" t="n">
        <v>112.98</v>
      </c>
      <c r="C566">
        <f>C556+A566*1024*C554</f>
        <v/>
      </c>
      <c r="D566">
        <f>B566/C566</f>
        <v/>
      </c>
      <c r="E566" t="n">
        <v>2.25</v>
      </c>
      <c r="F566">
        <f>A566*1024/(C566*0.000001)/1000000000*C555</f>
        <v/>
      </c>
      <c r="G566">
        <f>E566/F566</f>
        <v/>
      </c>
    </row>
    <row r="567">
      <c r="A567" t="n">
        <v>256</v>
      </c>
      <c r="B567" t="n">
        <v>115.61</v>
      </c>
      <c r="C567">
        <f>C556+A567*1024*C554</f>
        <v/>
      </c>
      <c r="D567">
        <f>B567/C567</f>
        <v/>
      </c>
      <c r="E567" t="n">
        <v>4.39</v>
      </c>
      <c r="F567">
        <f>A567*1024/(C567*0.000001)/1000000000*C555</f>
        <v/>
      </c>
      <c r="G567">
        <f>E567/F567</f>
        <v/>
      </c>
    </row>
    <row r="568">
      <c r="A568" t="n">
        <v>512</v>
      </c>
      <c r="B568" t="n">
        <v>118.84</v>
      </c>
      <c r="C568">
        <f>C556+A568*1024*C554</f>
        <v/>
      </c>
      <c r="D568">
        <f>B568/C568</f>
        <v/>
      </c>
      <c r="E568" t="n">
        <v>8.550000000000001</v>
      </c>
      <c r="F568">
        <f>A568*1024/(C568*0.000001)/1000000000*C555</f>
        <v/>
      </c>
      <c r="G568">
        <f>E568/F568</f>
        <v/>
      </c>
    </row>
    <row r="569">
      <c r="A569" t="n">
        <v>1024</v>
      </c>
      <c r="B569" t="n">
        <v>129.94</v>
      </c>
      <c r="C569">
        <f>C556+A569*1024*C554</f>
        <v/>
      </c>
      <c r="D569">
        <f>B569/C569</f>
        <v/>
      </c>
      <c r="E569" t="n">
        <v>15.63</v>
      </c>
      <c r="F569">
        <f>A569*1024/(C569*0.000001)/1000000000*C555</f>
        <v/>
      </c>
      <c r="G569">
        <f>E569/F569</f>
        <v/>
      </c>
    </row>
    <row r="570">
      <c r="A570" t="n">
        <v>2048</v>
      </c>
      <c r="B570" t="n">
        <v>164.2</v>
      </c>
      <c r="C570">
        <f>C556+A570*1024*C554</f>
        <v/>
      </c>
      <c r="D570">
        <f>B570/C570</f>
        <v/>
      </c>
      <c r="E570" t="n">
        <v>24.75</v>
      </c>
      <c r="F570">
        <f>A570*1024/(C570*0.000001)/1000000000*C555</f>
        <v/>
      </c>
      <c r="G570">
        <f>E570/F570</f>
        <v/>
      </c>
    </row>
    <row r="571">
      <c r="A571" t="n">
        <v>4096</v>
      </c>
      <c r="B571" t="n">
        <v>204.84</v>
      </c>
      <c r="C571">
        <f>C556+A571*1024*C554</f>
        <v/>
      </c>
      <c r="D571">
        <f>B571/C571</f>
        <v/>
      </c>
      <c r="E571" t="n">
        <v>39.67</v>
      </c>
      <c r="F571">
        <f>A571*1024/(C571*0.000001)/1000000000*C555</f>
        <v/>
      </c>
      <c r="G571">
        <f>E571/F571</f>
        <v/>
      </c>
    </row>
    <row r="572">
      <c r="A572" t="n">
        <v>8192</v>
      </c>
      <c r="B572" t="n">
        <v>243.64</v>
      </c>
      <c r="C572">
        <f>C556+A572*1024*C554</f>
        <v/>
      </c>
      <c r="D572">
        <f>B572/C572</f>
        <v/>
      </c>
      <c r="E572" t="n">
        <v>66.70999999999999</v>
      </c>
      <c r="F572">
        <f>A572*1024/(C572*0.000001)/1000000000*C555</f>
        <v/>
      </c>
      <c r="G572">
        <f>E572/F572</f>
        <v/>
      </c>
    </row>
    <row r="573">
      <c r="A573" t="n">
        <v>16384</v>
      </c>
      <c r="B573" t="n">
        <v>337.31</v>
      </c>
      <c r="C573">
        <f>C556+A573*1024*C554</f>
        <v/>
      </c>
      <c r="D573">
        <f>B573/C573</f>
        <v/>
      </c>
      <c r="E573" t="n">
        <v>96.37</v>
      </c>
      <c r="F573">
        <f>A573*1024/(C573*0.000001)/1000000000*C555</f>
        <v/>
      </c>
      <c r="G573">
        <f>E573/F573</f>
        <v/>
      </c>
    </row>
    <row r="574">
      <c r="A574" t="n">
        <v>32768</v>
      </c>
      <c r="B574" t="n">
        <v>548.25</v>
      </c>
      <c r="C574">
        <f>C556+A574*1024*C554</f>
        <v/>
      </c>
      <c r="D574">
        <f>B574/C574</f>
        <v/>
      </c>
      <c r="E574" t="n">
        <v>118.58</v>
      </c>
      <c r="F574">
        <f>A574*1024/(C574*0.000001)/1000000000*C555</f>
        <v/>
      </c>
      <c r="G574">
        <f>E574/F574</f>
        <v/>
      </c>
    </row>
    <row r="575">
      <c r="A575" t="n">
        <v>65536</v>
      </c>
      <c r="B575" t="n">
        <v>984.12</v>
      </c>
      <c r="C575">
        <f>C556+A575*1024*C554</f>
        <v/>
      </c>
      <c r="D575">
        <f>B575/C575</f>
        <v/>
      </c>
      <c r="E575" t="n">
        <v>132.12</v>
      </c>
      <c r="F575">
        <f>A575*1024/(C575*0.000001)/1000000000*C555</f>
        <v/>
      </c>
      <c r="G575">
        <f>E575/F575</f>
        <v/>
      </c>
    </row>
    <row r="576">
      <c r="A576" t="n">
        <v>131072</v>
      </c>
      <c r="B576" t="n">
        <v>1656.09</v>
      </c>
      <c r="C576">
        <f>C556+A576*1024*C554</f>
        <v/>
      </c>
      <c r="D576">
        <f>B576/C576</f>
        <v/>
      </c>
      <c r="E576" t="n">
        <v>157.02</v>
      </c>
      <c r="F576">
        <f>A576*1024/(C576*0.000001)/1000000000*C555</f>
        <v/>
      </c>
      <c r="G576">
        <f>E576/F576</f>
        <v/>
      </c>
    </row>
    <row r="577">
      <c r="A577" t="n">
        <v>262144</v>
      </c>
      <c r="B577" t="n">
        <v>3016.83</v>
      </c>
      <c r="C577">
        <f>C556+A577*1024*C554</f>
        <v/>
      </c>
      <c r="D577">
        <f>B577/C577</f>
        <v/>
      </c>
      <c r="E577" t="n">
        <v>172.4</v>
      </c>
      <c r="F577">
        <f>A577*1024/(C577*0.000001)/1000000000*C555</f>
        <v/>
      </c>
      <c r="G577">
        <f>E577/F577</f>
        <v/>
      </c>
    </row>
    <row r="578">
      <c r="A578" t="n">
        <v>524288</v>
      </c>
      <c r="B578" t="n">
        <v>5720.2</v>
      </c>
      <c r="C578">
        <f>C556+A578*1024*C554</f>
        <v/>
      </c>
      <c r="D578">
        <f>B578/C578</f>
        <v/>
      </c>
      <c r="E578" t="n">
        <v>181.84</v>
      </c>
      <c r="F578">
        <f>A578*1024/(C578*0.000001)/1000000000*C555</f>
        <v/>
      </c>
      <c r="G578">
        <f>E578/F578</f>
        <v/>
      </c>
    </row>
    <row r="579">
      <c r="A579" t="n">
        <v>1048576</v>
      </c>
      <c r="B579" t="n">
        <v>11139.3</v>
      </c>
      <c r="C579">
        <f>C556+A579*1024*C554</f>
        <v/>
      </c>
      <c r="D579">
        <f>B579/C579</f>
        <v/>
      </c>
      <c r="E579" t="n">
        <v>186.76</v>
      </c>
      <c r="F579">
        <f>A579*1024/(C579*0.000001)/1000000000*C555</f>
        <v/>
      </c>
      <c r="G579">
        <f>E579/F579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Nodes: 8, Protocol: Simple, Channels: 1</t>
        </is>
      </c>
    </row>
    <row r="2">
      <c r="A2" t="inlineStr">
        <is>
          <t>Parameter</t>
        </is>
      </c>
      <c r="B2" t="inlineStr">
        <is>
          <t>Formula</t>
        </is>
      </c>
      <c r="C2" t="inlineStr">
        <is>
          <t>Value</t>
        </is>
      </c>
    </row>
    <row r="3">
      <c r="A3" t="inlineStr">
        <is>
          <t>n</t>
        </is>
      </c>
      <c r="B3" t="inlineStr">
        <is>
          <t>nodes on ring</t>
        </is>
      </c>
      <c r="C3" t="n">
        <v>8</v>
      </c>
    </row>
    <row r="4">
      <c r="A4" t="inlineStr">
        <is>
          <t>nch</t>
        </is>
      </c>
      <c r="B4" t="inlineStr">
        <is>
          <t>channels</t>
        </is>
      </c>
      <c r="C4" t="n">
        <v>1</v>
      </c>
    </row>
    <row r="5">
      <c r="A5" t="inlineStr">
        <is>
          <t>a</t>
        </is>
      </c>
      <c r="B5" t="inlineStr">
        <is>
          <t>RTT (us)</t>
        </is>
      </c>
      <c r="C5" t="n">
        <v>25.8107</v>
      </c>
    </row>
    <row r="6">
      <c r="A6" t="inlineStr">
        <is>
          <t>NIC_BW</t>
        </is>
      </c>
      <c r="B6" t="inlineStr">
        <is>
          <t>bytes/us</t>
        </is>
      </c>
      <c r="C6" t="n">
        <v>48750</v>
      </c>
    </row>
    <row r="7">
      <c r="A7" t="inlineStr">
        <is>
          <t>G</t>
        </is>
      </c>
      <c r="B7" t="inlineStr">
        <is>
          <t>2*(n-1)/(n*NIC_BW)</t>
        </is>
      </c>
      <c r="C7">
        <f>2*(C3-1)/(C3*C6)</f>
        <v/>
      </c>
    </row>
    <row r="8">
      <c r="A8" t="inlineStr">
        <is>
          <t>busbw_factor</t>
        </is>
      </c>
      <c r="B8" t="inlineStr">
        <is>
          <t>2*(n-1)/n</t>
        </is>
      </c>
      <c r="C8">
        <f>2*(C3-1)/C3</f>
        <v/>
      </c>
    </row>
    <row r="9">
      <c r="A9" t="inlineStr">
        <is>
          <t>fixed_per_step</t>
        </is>
      </c>
      <c r="B9" t="inlineStr">
        <is>
          <t>(2*n-2)*(a/2)</t>
        </is>
      </c>
      <c r="C9">
        <f>(2*C3-2)*(C5/2)</f>
        <v/>
      </c>
    </row>
    <row r="10"/>
    <row r="11">
      <c r="A11" t="inlineStr">
        <is>
          <t>size_KB</t>
        </is>
      </c>
      <c r="B11" t="inlineStr">
        <is>
          <t>Actual Time (us)</t>
        </is>
      </c>
      <c r="C11" t="inlineStr">
        <is>
          <t>Roofline Time (us)</t>
        </is>
      </c>
      <c r="D11" t="inlineStr">
        <is>
          <t>Actual/Roofline</t>
        </is>
      </c>
      <c r="E11" t="inlineStr">
        <is>
          <t>Actual busBW (GB/s)</t>
        </is>
      </c>
      <c r="F11" t="inlineStr">
        <is>
          <t>Roofline busBW (GB/s)</t>
        </is>
      </c>
      <c r="G11" t="inlineStr">
        <is>
          <t>Meas/Roof busBW</t>
        </is>
      </c>
    </row>
    <row r="12">
      <c r="A12" t="n">
        <v>1</v>
      </c>
      <c r="B12" t="n">
        <v>301.39</v>
      </c>
      <c r="C12">
        <f>C9*CEILING(A12*1024/(C3*C4*MIN(4*1024*1024,A12*1024/(C3*C4))),1)+A12*1024*C7</f>
        <v/>
      </c>
      <c r="D12">
        <f>B12/C12</f>
        <v/>
      </c>
      <c r="E12" t="n">
        <v>0.01</v>
      </c>
      <c r="F12">
        <f>A12*1024/(C12*0.000001)/1000000000*C8</f>
        <v/>
      </c>
      <c r="G12">
        <f>E12/F12</f>
        <v/>
      </c>
    </row>
    <row r="13">
      <c r="A13" t="n">
        <v>2</v>
      </c>
      <c r="B13" t="n">
        <v>299.98</v>
      </c>
      <c r="C13">
        <f>C9*CEILING(A13*1024/(C3*C4*MIN(4*1024*1024,A13*1024/(C3*C4))),1)+A13*1024*C7</f>
        <v/>
      </c>
      <c r="D13">
        <f>B13/C13</f>
        <v/>
      </c>
      <c r="E13" t="n">
        <v>0.01</v>
      </c>
      <c r="F13">
        <f>A13*1024/(C13*0.000001)/1000000000*C8</f>
        <v/>
      </c>
      <c r="G13">
        <f>E13/F13</f>
        <v/>
      </c>
    </row>
    <row r="14">
      <c r="A14" t="n">
        <v>4</v>
      </c>
      <c r="B14" t="n">
        <v>299.71</v>
      </c>
      <c r="C14">
        <f>C9*CEILING(A14*1024/(C3*C4*MIN(4*1024*1024,A14*1024/(C3*C4))),1)+A14*1024*C7</f>
        <v/>
      </c>
      <c r="D14">
        <f>B14/C14</f>
        <v/>
      </c>
      <c r="E14" t="n">
        <v>0.02</v>
      </c>
      <c r="F14">
        <f>A14*1024/(C14*0.000001)/1000000000*C8</f>
        <v/>
      </c>
      <c r="G14">
        <f>E14/F14</f>
        <v/>
      </c>
    </row>
    <row r="15">
      <c r="A15" t="n">
        <v>8</v>
      </c>
      <c r="B15" t="n">
        <v>300.85</v>
      </c>
      <c r="C15">
        <f>C9*CEILING(A15*1024/(C3*C4*MIN(4*1024*1024,A15*1024/(C3*C4))),1)+A15*1024*C7</f>
        <v/>
      </c>
      <c r="D15">
        <f>B15/C15</f>
        <v/>
      </c>
      <c r="E15" t="n">
        <v>0.05</v>
      </c>
      <c r="F15">
        <f>A15*1024/(C15*0.000001)/1000000000*C8</f>
        <v/>
      </c>
      <c r="G15">
        <f>E15/F15</f>
        <v/>
      </c>
    </row>
    <row r="16">
      <c r="A16" t="n">
        <v>16</v>
      </c>
      <c r="B16" t="n">
        <v>304.75</v>
      </c>
      <c r="C16">
        <f>C9*CEILING(A16*1024/(C3*C4*MIN(4*1024*1024,A16*1024/(C3*C4))),1)+A16*1024*C7</f>
        <v/>
      </c>
      <c r="D16">
        <f>B16/C16</f>
        <v/>
      </c>
      <c r="E16" t="n">
        <v>0.09</v>
      </c>
      <c r="F16">
        <f>A16*1024/(C16*0.000001)/1000000000*C8</f>
        <v/>
      </c>
      <c r="G16">
        <f>E16/F16</f>
        <v/>
      </c>
    </row>
    <row r="17">
      <c r="A17" t="n">
        <v>32</v>
      </c>
      <c r="B17" t="n">
        <v>317.31</v>
      </c>
      <c r="C17">
        <f>C9*CEILING(A17*1024/(C3*C4*MIN(4*1024*1024,A17*1024/(C3*C4))),1)+A17*1024*C7</f>
        <v/>
      </c>
      <c r="D17">
        <f>B17/C17</f>
        <v/>
      </c>
      <c r="E17" t="n">
        <v>0.18</v>
      </c>
      <c r="F17">
        <f>A17*1024/(C17*0.000001)/1000000000*C8</f>
        <v/>
      </c>
      <c r="G17">
        <f>E17/F17</f>
        <v/>
      </c>
    </row>
    <row r="18">
      <c r="A18" t="n">
        <v>64</v>
      </c>
      <c r="B18" t="n">
        <v>342.45</v>
      </c>
      <c r="C18">
        <f>C9*CEILING(A18*1024/(C3*C4*MIN(4*1024*1024,A18*1024/(C3*C4))),1)+A18*1024*C7</f>
        <v/>
      </c>
      <c r="D18">
        <f>B18/C18</f>
        <v/>
      </c>
      <c r="E18" t="n">
        <v>0.33</v>
      </c>
      <c r="F18">
        <f>A18*1024/(C18*0.000001)/1000000000*C8</f>
        <v/>
      </c>
      <c r="G18">
        <f>E18/F18</f>
        <v/>
      </c>
    </row>
    <row r="19">
      <c r="A19" t="n">
        <v>128</v>
      </c>
      <c r="B19" t="n">
        <v>402.65</v>
      </c>
      <c r="C19">
        <f>C9*CEILING(A19*1024/(C3*C4*MIN(4*1024*1024,A19*1024/(C3*C4))),1)+A19*1024*C7</f>
        <v/>
      </c>
      <c r="D19">
        <f>B19/C19</f>
        <v/>
      </c>
      <c r="E19" t="n">
        <v>0.57</v>
      </c>
      <c r="F19">
        <f>A19*1024/(C19*0.000001)/1000000000*C8</f>
        <v/>
      </c>
      <c r="G19">
        <f>E19/F19</f>
        <v/>
      </c>
    </row>
    <row r="20">
      <c r="A20" t="n">
        <v>256</v>
      </c>
      <c r="B20" t="n">
        <v>444.22</v>
      </c>
      <c r="C20">
        <f>C9*CEILING(A20*1024/(C3*C4*MIN(4*1024*1024,A20*1024/(C3*C4))),1)+A20*1024*C7</f>
        <v/>
      </c>
      <c r="D20">
        <f>B20/C20</f>
        <v/>
      </c>
      <c r="E20" t="n">
        <v>1.03</v>
      </c>
      <c r="F20">
        <f>A20*1024/(C20*0.000001)/1000000000*C8</f>
        <v/>
      </c>
      <c r="G20">
        <f>E20/F20</f>
        <v/>
      </c>
    </row>
    <row r="21">
      <c r="A21" t="n">
        <v>512</v>
      </c>
      <c r="B21" t="n">
        <v>489.03</v>
      </c>
      <c r="C21">
        <f>C9*CEILING(A21*1024/(C3*C4*MIN(4*1024*1024,A21*1024/(C3*C4))),1)+A21*1024*C7</f>
        <v/>
      </c>
      <c r="D21">
        <f>B21/C21</f>
        <v/>
      </c>
      <c r="E21" t="n">
        <v>1.88</v>
      </c>
      <c r="F21">
        <f>A21*1024/(C21*0.000001)/1000000000*C8</f>
        <v/>
      </c>
      <c r="G21">
        <f>E21/F21</f>
        <v/>
      </c>
    </row>
    <row r="22">
      <c r="A22" t="n">
        <v>1024</v>
      </c>
      <c r="B22" t="n">
        <v>500.37</v>
      </c>
      <c r="C22">
        <f>C9*CEILING(A22*1024/(C3*C4*MIN(4*1024*1024,A22*1024/(C3*C4))),1)+A22*1024*C7</f>
        <v/>
      </c>
      <c r="D22">
        <f>B22/C22</f>
        <v/>
      </c>
      <c r="E22" t="n">
        <v>3.67</v>
      </c>
      <c r="F22">
        <f>A22*1024/(C22*0.000001)/1000000000*C8</f>
        <v/>
      </c>
      <c r="G22">
        <f>E22/F22</f>
        <v/>
      </c>
    </row>
    <row r="23">
      <c r="A23" t="n">
        <v>2048</v>
      </c>
      <c r="B23" t="n">
        <v>596.59</v>
      </c>
      <c r="C23">
        <f>C9*CEILING(A23*1024/(C3*C4*MIN(4*1024*1024,A23*1024/(C3*C4))),1)+A23*1024*C7</f>
        <v/>
      </c>
      <c r="D23">
        <f>B23/C23</f>
        <v/>
      </c>
      <c r="E23" t="n">
        <v>6.15</v>
      </c>
      <c r="F23">
        <f>A23*1024/(C23*0.000001)/1000000000*C8</f>
        <v/>
      </c>
      <c r="G23">
        <f>E23/F23</f>
        <v/>
      </c>
    </row>
    <row r="24">
      <c r="A24" t="n">
        <v>4096</v>
      </c>
      <c r="B24" t="n">
        <v>686.4299999999999</v>
      </c>
      <c r="C24">
        <f>C9*CEILING(A24*1024/(C3*C4*MIN(4*1024*1024,A24*1024/(C3*C4))),1)+A24*1024*C7</f>
        <v/>
      </c>
      <c r="D24">
        <f>B24/C24</f>
        <v/>
      </c>
      <c r="E24" t="n">
        <v>10.69</v>
      </c>
      <c r="F24">
        <f>A24*1024/(C24*0.000001)/1000000000*C8</f>
        <v/>
      </c>
      <c r="G24">
        <f>E24/F24</f>
        <v/>
      </c>
    </row>
    <row r="25">
      <c r="A25" t="n">
        <v>8192</v>
      </c>
      <c r="B25" t="n">
        <v>941.22</v>
      </c>
      <c r="C25">
        <f>C9*CEILING(A25*1024/(C3*C4*MIN(4*1024*1024,A25*1024/(C3*C4))),1)+A25*1024*C7</f>
        <v/>
      </c>
      <c r="D25">
        <f>B25/C25</f>
        <v/>
      </c>
      <c r="E25" t="n">
        <v>15.6</v>
      </c>
      <c r="F25">
        <f>A25*1024/(C25*0.000001)/1000000000*C8</f>
        <v/>
      </c>
      <c r="G25">
        <f>E25/F25</f>
        <v/>
      </c>
    </row>
    <row r="26">
      <c r="A26" t="n">
        <v>16384</v>
      </c>
      <c r="B26" t="n">
        <v>1414.98</v>
      </c>
      <c r="C26">
        <f>C9*CEILING(A26*1024/(C3*C4*MIN(4*1024*1024,A26*1024/(C3*C4))),1)+A26*1024*C7</f>
        <v/>
      </c>
      <c r="D26">
        <f>B26/C26</f>
        <v/>
      </c>
      <c r="E26" t="n">
        <v>20.75</v>
      </c>
      <c r="F26">
        <f>A26*1024/(C26*0.000001)/1000000000*C8</f>
        <v/>
      </c>
      <c r="G26">
        <f>E26/F26</f>
        <v/>
      </c>
    </row>
    <row r="27">
      <c r="A27" t="n">
        <v>32768</v>
      </c>
      <c r="B27" t="n">
        <v>2355.05</v>
      </c>
      <c r="C27">
        <f>C9*CEILING(A27*1024/(C3*C4*MIN(4*1024*1024,A27*1024/(C3*C4))),1)+A27*1024*C7</f>
        <v/>
      </c>
      <c r="D27">
        <f>B27/C27</f>
        <v/>
      </c>
      <c r="E27" t="n">
        <v>24.93</v>
      </c>
      <c r="F27">
        <f>A27*1024/(C27*0.000001)/1000000000*C8</f>
        <v/>
      </c>
      <c r="G27">
        <f>E27/F27</f>
        <v/>
      </c>
    </row>
    <row r="28">
      <c r="A28" t="n">
        <v>65536</v>
      </c>
      <c r="B28" t="n">
        <v>4662.31</v>
      </c>
      <c r="C28">
        <f>C9*CEILING(A28*1024/(C3*C4*MIN(4*1024*1024,A28*1024/(C3*C4))),1)+A28*1024*C7</f>
        <v/>
      </c>
      <c r="D28">
        <f>B28/C28</f>
        <v/>
      </c>
      <c r="E28" t="n">
        <v>25.19</v>
      </c>
      <c r="F28">
        <f>A28*1024/(C28*0.000001)/1000000000*C8</f>
        <v/>
      </c>
      <c r="G28">
        <f>E28/F28</f>
        <v/>
      </c>
    </row>
    <row r="29">
      <c r="A29" t="n">
        <v>131072</v>
      </c>
      <c r="B29" t="n">
        <v>9310.110000000001</v>
      </c>
      <c r="C29">
        <f>C9*CEILING(A29*1024/(C3*C4*MIN(4*1024*1024,A29*1024/(C3*C4))),1)+A29*1024*C7</f>
        <v/>
      </c>
      <c r="D29">
        <f>B29/C29</f>
        <v/>
      </c>
      <c r="E29" t="n">
        <v>25.23</v>
      </c>
      <c r="F29">
        <f>A29*1024/(C29*0.000001)/1000000000*C8</f>
        <v/>
      </c>
      <c r="G29">
        <f>E29/F29</f>
        <v/>
      </c>
    </row>
    <row r="30">
      <c r="A30" t="n">
        <v>262144</v>
      </c>
      <c r="B30" t="n">
        <v>18566.8</v>
      </c>
      <c r="C30">
        <f>C9*CEILING(A30*1024/(C3*C4*MIN(4*1024*1024,A30*1024/(C3*C4))),1)+A30*1024*C7</f>
        <v/>
      </c>
      <c r="D30">
        <f>B30/C30</f>
        <v/>
      </c>
      <c r="E30" t="n">
        <v>25.3</v>
      </c>
      <c r="F30">
        <f>A30*1024/(C30*0.000001)/1000000000*C8</f>
        <v/>
      </c>
      <c r="G30">
        <f>E30/F30</f>
        <v/>
      </c>
    </row>
    <row r="31">
      <c r="A31" t="n">
        <v>524288</v>
      </c>
      <c r="B31" t="n">
        <v>37289.2</v>
      </c>
      <c r="C31">
        <f>C9*CEILING(A31*1024/(C3*C4*MIN(4*1024*1024,A31*1024/(C3*C4))),1)+A31*1024*C7</f>
        <v/>
      </c>
      <c r="D31">
        <f>B31/C31</f>
        <v/>
      </c>
      <c r="E31" t="n">
        <v>25.2</v>
      </c>
      <c r="F31">
        <f>A31*1024/(C31*0.000001)/1000000000*C8</f>
        <v/>
      </c>
      <c r="G31">
        <f>E31/F31</f>
        <v/>
      </c>
    </row>
    <row r="32">
      <c r="A32" t="n">
        <v>1048576</v>
      </c>
      <c r="B32" t="n">
        <v>74117.8</v>
      </c>
      <c r="C32">
        <f>C9*CEILING(A32*1024/(C3*C4*MIN(4*1024*1024,A32*1024/(C3*C4))),1)+A32*1024*C7</f>
        <v/>
      </c>
      <c r="D32">
        <f>B32/C32</f>
        <v/>
      </c>
      <c r="E32" t="n">
        <v>25.35</v>
      </c>
      <c r="F32">
        <f>A32*1024/(C32*0.000001)/1000000000*C8</f>
        <v/>
      </c>
      <c r="G32">
        <f>E32/F32</f>
        <v/>
      </c>
    </row>
    <row r="33">
      <c r="A33" t="n">
        <v>2097152</v>
      </c>
      <c r="B33" t="n">
        <v>148093</v>
      </c>
      <c r="C33">
        <f>C9*CEILING(A33*1024/(C3*C4*MIN(4*1024*1024,A33*1024/(C3*C4))),1)+A33*1024*C7</f>
        <v/>
      </c>
      <c r="D33">
        <f>B33/C33</f>
        <v/>
      </c>
      <c r="E33" t="n">
        <v>25.38</v>
      </c>
      <c r="F33">
        <f>A33*1024/(C33*0.000001)/1000000000*C8</f>
        <v/>
      </c>
      <c r="G33">
        <f>E33/F33</f>
        <v/>
      </c>
    </row>
    <row r="34">
      <c r="A34" t="n">
        <v>4194304</v>
      </c>
      <c r="B34" t="n">
        <v>296345</v>
      </c>
      <c r="C34">
        <f>C9*CEILING(A34*1024/(C3*C4*MIN(4*1024*1024,A34*1024/(C3*C4))),1)+A34*1024*C7</f>
        <v/>
      </c>
      <c r="D34">
        <f>B34/C34</f>
        <v/>
      </c>
      <c r="E34" t="n">
        <v>25.36</v>
      </c>
      <c r="F34">
        <f>A34*1024/(C34*0.000001)/1000000000*C8</f>
        <v/>
      </c>
      <c r="G34">
        <f>E34/F34</f>
        <v/>
      </c>
    </row>
    <row r="35"/>
    <row r="36">
      <c r="A36" t="inlineStr">
        <is>
          <t>Nodes: 8, Protocol: Simple, Channels: 2</t>
        </is>
      </c>
    </row>
    <row r="37">
      <c r="A37" t="inlineStr">
        <is>
          <t>Parameter</t>
        </is>
      </c>
      <c r="B37" t="inlineStr">
        <is>
          <t>Formula</t>
        </is>
      </c>
      <c r="C37" t="inlineStr">
        <is>
          <t>Value</t>
        </is>
      </c>
    </row>
    <row r="38">
      <c r="A38" t="inlineStr">
        <is>
          <t>n</t>
        </is>
      </c>
      <c r="B38" t="inlineStr">
        <is>
          <t>nodes on ring</t>
        </is>
      </c>
      <c r="C38" t="n">
        <v>8</v>
      </c>
    </row>
    <row r="39">
      <c r="A39" t="inlineStr">
        <is>
          <t>nch</t>
        </is>
      </c>
      <c r="B39" t="inlineStr">
        <is>
          <t>channels</t>
        </is>
      </c>
      <c r="C39" t="n">
        <v>2</v>
      </c>
    </row>
    <row r="40">
      <c r="A40" t="inlineStr">
        <is>
          <t>a</t>
        </is>
      </c>
      <c r="B40" t="inlineStr">
        <is>
          <t>RTT (us)</t>
        </is>
      </c>
      <c r="C40" t="n">
        <v>25.8107</v>
      </c>
    </row>
    <row r="41">
      <c r="A41" t="inlineStr">
        <is>
          <t>NIC_BW</t>
        </is>
      </c>
      <c r="B41" t="inlineStr">
        <is>
          <t>bytes/us</t>
        </is>
      </c>
      <c r="C41" t="n">
        <v>48750</v>
      </c>
    </row>
    <row r="42">
      <c r="A42" t="inlineStr">
        <is>
          <t>G</t>
        </is>
      </c>
      <c r="B42" t="inlineStr">
        <is>
          <t>2*(n-1)/(n*NIC_BW)</t>
        </is>
      </c>
      <c r="C42">
        <f>2*(C38-1)/(C38*C41)</f>
        <v/>
      </c>
    </row>
    <row r="43">
      <c r="A43" t="inlineStr">
        <is>
          <t>busbw_factor</t>
        </is>
      </c>
      <c r="B43" t="inlineStr">
        <is>
          <t>2*(n-1)/n</t>
        </is>
      </c>
      <c r="C43">
        <f>2*(C38-1)/C38</f>
        <v/>
      </c>
    </row>
    <row r="44">
      <c r="A44" t="inlineStr">
        <is>
          <t>fixed_per_step</t>
        </is>
      </c>
      <c r="B44" t="inlineStr">
        <is>
          <t>(2*n-2)*(a/2)</t>
        </is>
      </c>
      <c r="C44">
        <f>(2*C38-2)*(C40/2)</f>
        <v/>
      </c>
    </row>
    <row r="45"/>
    <row r="46">
      <c r="A46" t="inlineStr">
        <is>
          <t>size_KB</t>
        </is>
      </c>
      <c r="B46" t="inlineStr">
        <is>
          <t>Actual Time (us)</t>
        </is>
      </c>
      <c r="C46" t="inlineStr">
        <is>
          <t>Roofline Time (us)</t>
        </is>
      </c>
      <c r="D46" t="inlineStr">
        <is>
          <t>Actual/Roofline</t>
        </is>
      </c>
      <c r="E46" t="inlineStr">
        <is>
          <t>Actual busBW (GB/s)</t>
        </is>
      </c>
      <c r="F46" t="inlineStr">
        <is>
          <t>Roofline busBW (GB/s)</t>
        </is>
      </c>
      <c r="G46" t="inlineStr">
        <is>
          <t>Meas/Roof busBW</t>
        </is>
      </c>
    </row>
    <row r="47">
      <c r="A47" t="n">
        <v>1</v>
      </c>
      <c r="B47" t="n">
        <v>301.57</v>
      </c>
      <c r="C47">
        <f>C44*CEILING(A47*1024/(C38*C39*MIN(4*1024*1024,A47*1024/(C38*C39))),1)+A47*1024*C42</f>
        <v/>
      </c>
      <c r="D47">
        <f>B47/C47</f>
        <v/>
      </c>
      <c r="E47" t="n">
        <v>0.01</v>
      </c>
      <c r="F47">
        <f>A47*1024/(C47*0.000001)/1000000000*C43</f>
        <v/>
      </c>
      <c r="G47">
        <f>E47/F47</f>
        <v/>
      </c>
    </row>
    <row r="48">
      <c r="A48" t="n">
        <v>2</v>
      </c>
      <c r="B48" t="n">
        <v>299.35</v>
      </c>
      <c r="C48">
        <f>C44*CEILING(A48*1024/(C38*C39*MIN(4*1024*1024,A48*1024/(C38*C39))),1)+A48*1024*C42</f>
        <v/>
      </c>
      <c r="D48">
        <f>B48/C48</f>
        <v/>
      </c>
      <c r="E48" t="n">
        <v>0.01</v>
      </c>
      <c r="F48">
        <f>A48*1024/(C48*0.000001)/1000000000*C43</f>
        <v/>
      </c>
      <c r="G48">
        <f>E48/F48</f>
        <v/>
      </c>
    </row>
    <row r="49">
      <c r="A49" t="n">
        <v>4</v>
      </c>
      <c r="B49" t="n">
        <v>299.07</v>
      </c>
      <c r="C49">
        <f>C44*CEILING(A49*1024/(C38*C39*MIN(4*1024*1024,A49*1024/(C38*C39))),1)+A49*1024*C42</f>
        <v/>
      </c>
      <c r="D49">
        <f>B49/C49</f>
        <v/>
      </c>
      <c r="E49" t="n">
        <v>0.02</v>
      </c>
      <c r="F49">
        <f>A49*1024/(C49*0.000001)/1000000000*C43</f>
        <v/>
      </c>
      <c r="G49">
        <f>E49/F49</f>
        <v/>
      </c>
    </row>
    <row r="50">
      <c r="A50" t="n">
        <v>8</v>
      </c>
      <c r="B50" t="n">
        <v>300.62</v>
      </c>
      <c r="C50">
        <f>C44*CEILING(A50*1024/(C38*C39*MIN(4*1024*1024,A50*1024/(C38*C39))),1)+A50*1024*C42</f>
        <v/>
      </c>
      <c r="D50">
        <f>B50/C50</f>
        <v/>
      </c>
      <c r="E50" t="n">
        <v>0.05</v>
      </c>
      <c r="F50">
        <f>A50*1024/(C50*0.000001)/1000000000*C43</f>
        <v/>
      </c>
      <c r="G50">
        <f>E50/F50</f>
        <v/>
      </c>
    </row>
    <row r="51">
      <c r="A51" t="n">
        <v>16</v>
      </c>
      <c r="B51" t="n">
        <v>303.63</v>
      </c>
      <c r="C51">
        <f>C44*CEILING(A51*1024/(C38*C39*MIN(4*1024*1024,A51*1024/(C38*C39))),1)+A51*1024*C42</f>
        <v/>
      </c>
      <c r="D51">
        <f>B51/C51</f>
        <v/>
      </c>
      <c r="E51" t="n">
        <v>0.09</v>
      </c>
      <c r="F51">
        <f>A51*1024/(C51*0.000001)/1000000000*C43</f>
        <v/>
      </c>
      <c r="G51">
        <f>E51/F51</f>
        <v/>
      </c>
    </row>
    <row r="52">
      <c r="A52" t="n">
        <v>32</v>
      </c>
      <c r="B52" t="n">
        <v>317.97</v>
      </c>
      <c r="C52">
        <f>C44*CEILING(A52*1024/(C38*C39*MIN(4*1024*1024,A52*1024/(C38*C39))),1)+A52*1024*C42</f>
        <v/>
      </c>
      <c r="D52">
        <f>B52/C52</f>
        <v/>
      </c>
      <c r="E52" t="n">
        <v>0.18</v>
      </c>
      <c r="F52">
        <f>A52*1024/(C52*0.000001)/1000000000*C43</f>
        <v/>
      </c>
      <c r="G52">
        <f>E52/F52</f>
        <v/>
      </c>
    </row>
    <row r="53">
      <c r="A53" t="n">
        <v>64</v>
      </c>
      <c r="B53" t="n">
        <v>330.96</v>
      </c>
      <c r="C53">
        <f>C44*CEILING(A53*1024/(C38*C39*MIN(4*1024*1024,A53*1024/(C38*C39))),1)+A53*1024*C42</f>
        <v/>
      </c>
      <c r="D53">
        <f>B53/C53</f>
        <v/>
      </c>
      <c r="E53" t="n">
        <v>0.35</v>
      </c>
      <c r="F53">
        <f>A53*1024/(C53*0.000001)/1000000000*C43</f>
        <v/>
      </c>
      <c r="G53">
        <f>E53/F53</f>
        <v/>
      </c>
    </row>
    <row r="54">
      <c r="A54" t="n">
        <v>128</v>
      </c>
      <c r="B54" t="n">
        <v>356.55</v>
      </c>
      <c r="C54">
        <f>C44*CEILING(A54*1024/(C38*C39*MIN(4*1024*1024,A54*1024/(C38*C39))),1)+A54*1024*C42</f>
        <v/>
      </c>
      <c r="D54">
        <f>B54/C54</f>
        <v/>
      </c>
      <c r="E54" t="n">
        <v>0.64</v>
      </c>
      <c r="F54">
        <f>A54*1024/(C54*0.000001)/1000000000*C43</f>
        <v/>
      </c>
      <c r="G54">
        <f>E54/F54</f>
        <v/>
      </c>
    </row>
    <row r="55">
      <c r="A55" t="n">
        <v>256</v>
      </c>
      <c r="B55" t="n">
        <v>416.88</v>
      </c>
      <c r="C55">
        <f>C44*CEILING(A55*1024/(C38*C39*MIN(4*1024*1024,A55*1024/(C38*C39))),1)+A55*1024*C42</f>
        <v/>
      </c>
      <c r="D55">
        <f>B55/C55</f>
        <v/>
      </c>
      <c r="E55" t="n">
        <v>1.1</v>
      </c>
      <c r="F55">
        <f>A55*1024/(C55*0.000001)/1000000000*C43</f>
        <v/>
      </c>
      <c r="G55">
        <f>E55/F55</f>
        <v/>
      </c>
    </row>
    <row r="56">
      <c r="A56" t="n">
        <v>512</v>
      </c>
      <c r="B56" t="n">
        <v>461.51</v>
      </c>
      <c r="C56">
        <f>C44*CEILING(A56*1024/(C38*C39*MIN(4*1024*1024,A56*1024/(C38*C39))),1)+A56*1024*C42</f>
        <v/>
      </c>
      <c r="D56">
        <f>B56/C56</f>
        <v/>
      </c>
      <c r="E56" t="n">
        <v>1.99</v>
      </c>
      <c r="F56">
        <f>A56*1024/(C56*0.000001)/1000000000*C43</f>
        <v/>
      </c>
      <c r="G56">
        <f>E56/F56</f>
        <v/>
      </c>
    </row>
    <row r="57">
      <c r="A57" t="n">
        <v>1024</v>
      </c>
      <c r="B57" t="n">
        <v>508.43</v>
      </c>
      <c r="C57">
        <f>C44*CEILING(A57*1024/(C38*C39*MIN(4*1024*1024,A57*1024/(C38*C39))),1)+A57*1024*C42</f>
        <v/>
      </c>
      <c r="D57">
        <f>B57/C57</f>
        <v/>
      </c>
      <c r="E57" t="n">
        <v>3.61</v>
      </c>
      <c r="F57">
        <f>A57*1024/(C57*0.000001)/1000000000*C43</f>
        <v/>
      </c>
      <c r="G57">
        <f>E57/F57</f>
        <v/>
      </c>
    </row>
    <row r="58">
      <c r="A58" t="n">
        <v>2048</v>
      </c>
      <c r="B58" t="n">
        <v>529.33</v>
      </c>
      <c r="C58">
        <f>C44*CEILING(A58*1024/(C38*C39*MIN(4*1024*1024,A58*1024/(C38*C39))),1)+A58*1024*C42</f>
        <v/>
      </c>
      <c r="D58">
        <f>B58/C58</f>
        <v/>
      </c>
      <c r="E58" t="n">
        <v>6.93</v>
      </c>
      <c r="F58">
        <f>A58*1024/(C58*0.000001)/1000000000*C43</f>
        <v/>
      </c>
      <c r="G58">
        <f>E58/F58</f>
        <v/>
      </c>
    </row>
    <row r="59">
      <c r="A59" t="n">
        <v>4096</v>
      </c>
      <c r="B59" t="n">
        <v>645.61</v>
      </c>
      <c r="C59">
        <f>C44*CEILING(A59*1024/(C38*C39*MIN(4*1024*1024,A59*1024/(C38*C39))),1)+A59*1024*C42</f>
        <v/>
      </c>
      <c r="D59">
        <f>B59/C59</f>
        <v/>
      </c>
      <c r="E59" t="n">
        <v>11.37</v>
      </c>
      <c r="F59">
        <f>A59*1024/(C59*0.000001)/1000000000*C43</f>
        <v/>
      </c>
      <c r="G59">
        <f>E59/F59</f>
        <v/>
      </c>
    </row>
    <row r="60">
      <c r="A60" t="n">
        <v>8192</v>
      </c>
      <c r="B60" t="n">
        <v>757.13</v>
      </c>
      <c r="C60">
        <f>C44*CEILING(A60*1024/(C38*C39*MIN(4*1024*1024,A60*1024/(C38*C39))),1)+A60*1024*C42</f>
        <v/>
      </c>
      <c r="D60">
        <f>B60/C60</f>
        <v/>
      </c>
      <c r="E60" t="n">
        <v>19.39</v>
      </c>
      <c r="F60">
        <f>A60*1024/(C60*0.000001)/1000000000*C43</f>
        <v/>
      </c>
      <c r="G60">
        <f>E60/F60</f>
        <v/>
      </c>
    </row>
    <row r="61">
      <c r="A61" t="n">
        <v>16384</v>
      </c>
      <c r="B61" t="n">
        <v>1065.56</v>
      </c>
      <c r="C61">
        <f>C44*CEILING(A61*1024/(C38*C39*MIN(4*1024*1024,A61*1024/(C38*C39))),1)+A61*1024*C42</f>
        <v/>
      </c>
      <c r="D61">
        <f>B61/C61</f>
        <v/>
      </c>
      <c r="E61" t="n">
        <v>27.55</v>
      </c>
      <c r="F61">
        <f>A61*1024/(C61*0.000001)/1000000000*C43</f>
        <v/>
      </c>
      <c r="G61">
        <f>E61/F61</f>
        <v/>
      </c>
    </row>
    <row r="62">
      <c r="A62" t="n">
        <v>32768</v>
      </c>
      <c r="B62" t="n">
        <v>1662.39</v>
      </c>
      <c r="C62">
        <f>C44*CEILING(A62*1024/(C38*C39*MIN(4*1024*1024,A62*1024/(C38*C39))),1)+A62*1024*C42</f>
        <v/>
      </c>
      <c r="D62">
        <f>B62/C62</f>
        <v/>
      </c>
      <c r="E62" t="n">
        <v>35.32</v>
      </c>
      <c r="F62">
        <f>A62*1024/(C62*0.000001)/1000000000*C43</f>
        <v/>
      </c>
      <c r="G62">
        <f>E62/F62</f>
        <v/>
      </c>
    </row>
    <row r="63">
      <c r="A63" t="n">
        <v>65536</v>
      </c>
      <c r="B63" t="n">
        <v>2873.85</v>
      </c>
      <c r="C63">
        <f>C44*CEILING(A63*1024/(C38*C39*MIN(4*1024*1024,A63*1024/(C38*C39))),1)+A63*1024*C42</f>
        <v/>
      </c>
      <c r="D63">
        <f>B63/C63</f>
        <v/>
      </c>
      <c r="E63" t="n">
        <v>40.87</v>
      </c>
      <c r="F63">
        <f>A63*1024/(C63*0.000001)/1000000000*C43</f>
        <v/>
      </c>
      <c r="G63">
        <f>E63/F63</f>
        <v/>
      </c>
    </row>
    <row r="64">
      <c r="A64" t="n">
        <v>131072</v>
      </c>
      <c r="B64" t="n">
        <v>5701.25</v>
      </c>
      <c r="C64">
        <f>C44*CEILING(A64*1024/(C38*C39*MIN(4*1024*1024,A64*1024/(C38*C39))),1)+A64*1024*C42</f>
        <v/>
      </c>
      <c r="D64">
        <f>B64/C64</f>
        <v/>
      </c>
      <c r="E64" t="n">
        <v>41.2</v>
      </c>
      <c r="F64">
        <f>A64*1024/(C64*0.000001)/1000000000*C43</f>
        <v/>
      </c>
      <c r="G64">
        <f>E64/F64</f>
        <v/>
      </c>
    </row>
    <row r="65">
      <c r="A65" t="n">
        <v>262144</v>
      </c>
      <c r="B65" t="n">
        <v>11353.8</v>
      </c>
      <c r="C65">
        <f>C44*CEILING(A65*1024/(C38*C39*MIN(4*1024*1024,A65*1024/(C38*C39))),1)+A65*1024*C42</f>
        <v/>
      </c>
      <c r="D65">
        <f>B65/C65</f>
        <v/>
      </c>
      <c r="E65" t="n">
        <v>41.37</v>
      </c>
      <c r="F65">
        <f>A65*1024/(C65*0.000001)/1000000000*C43</f>
        <v/>
      </c>
      <c r="G65">
        <f>E65/F65</f>
        <v/>
      </c>
    </row>
    <row r="66">
      <c r="A66" t="n">
        <v>524288</v>
      </c>
      <c r="B66" t="n">
        <v>22671.6</v>
      </c>
      <c r="C66">
        <f>C44*CEILING(A66*1024/(C38*C39*MIN(4*1024*1024,A66*1024/(C38*C39))),1)+A66*1024*C42</f>
        <v/>
      </c>
      <c r="D66">
        <f>B66/C66</f>
        <v/>
      </c>
      <c r="E66" t="n">
        <v>41.44</v>
      </c>
      <c r="F66">
        <f>A66*1024/(C66*0.000001)/1000000000*C43</f>
        <v/>
      </c>
      <c r="G66">
        <f>E66/F66</f>
        <v/>
      </c>
    </row>
    <row r="67">
      <c r="A67" t="n">
        <v>1048576</v>
      </c>
      <c r="B67" t="n">
        <v>45260.1</v>
      </c>
      <c r="C67">
        <f>C44*CEILING(A67*1024/(C38*C39*MIN(4*1024*1024,A67*1024/(C38*C39))),1)+A67*1024*C42</f>
        <v/>
      </c>
      <c r="D67">
        <f>B67/C67</f>
        <v/>
      </c>
      <c r="E67" t="n">
        <v>41.52</v>
      </c>
      <c r="F67">
        <f>A67*1024/(C67*0.000001)/1000000000*C43</f>
        <v/>
      </c>
      <c r="G67">
        <f>E67/F67</f>
        <v/>
      </c>
    </row>
    <row r="68">
      <c r="A68" t="n">
        <v>2097152</v>
      </c>
      <c r="B68" t="n">
        <v>90326.3</v>
      </c>
      <c r="C68">
        <f>C44*CEILING(A68*1024/(C38*C39*MIN(4*1024*1024,A68*1024/(C38*C39))),1)+A68*1024*C42</f>
        <v/>
      </c>
      <c r="D68">
        <f>B68/C68</f>
        <v/>
      </c>
      <c r="E68" t="n">
        <v>41.61</v>
      </c>
      <c r="F68">
        <f>A68*1024/(C68*0.000001)/1000000000*C43</f>
        <v/>
      </c>
      <c r="G68">
        <f>E68/F68</f>
        <v/>
      </c>
    </row>
    <row r="69">
      <c r="A69" t="n">
        <v>4194304</v>
      </c>
      <c r="B69" t="n">
        <v>180636</v>
      </c>
      <c r="C69">
        <f>C44*CEILING(A69*1024/(C38*C39*MIN(4*1024*1024,A69*1024/(C38*C39))),1)+A69*1024*C42</f>
        <v/>
      </c>
      <c r="D69">
        <f>B69/C69</f>
        <v/>
      </c>
      <c r="E69" t="n">
        <v>41.61</v>
      </c>
      <c r="F69">
        <f>A69*1024/(C69*0.000001)/1000000000*C43</f>
        <v/>
      </c>
      <c r="G69">
        <f>E69/F69</f>
        <v/>
      </c>
    </row>
    <row r="70"/>
    <row r="71">
      <c r="A71" t="inlineStr">
        <is>
          <t>Nodes: 8, Protocol: Simple, Channels: 4</t>
        </is>
      </c>
    </row>
    <row r="72">
      <c r="A72" t="inlineStr">
        <is>
          <t>Parameter</t>
        </is>
      </c>
      <c r="B72" t="inlineStr">
        <is>
          <t>Formula</t>
        </is>
      </c>
      <c r="C72" t="inlineStr">
        <is>
          <t>Value</t>
        </is>
      </c>
    </row>
    <row r="73">
      <c r="A73" t="inlineStr">
        <is>
          <t>n</t>
        </is>
      </c>
      <c r="B73" t="inlineStr">
        <is>
          <t>nodes on ring</t>
        </is>
      </c>
      <c r="C73" t="n">
        <v>8</v>
      </c>
    </row>
    <row r="74">
      <c r="A74" t="inlineStr">
        <is>
          <t>nch</t>
        </is>
      </c>
      <c r="B74" t="inlineStr">
        <is>
          <t>channels</t>
        </is>
      </c>
      <c r="C74" t="n">
        <v>4</v>
      </c>
    </row>
    <row r="75">
      <c r="A75" t="inlineStr">
        <is>
          <t>a</t>
        </is>
      </c>
      <c r="B75" t="inlineStr">
        <is>
          <t>RTT (us)</t>
        </is>
      </c>
      <c r="C75" t="n">
        <v>25.8107</v>
      </c>
    </row>
    <row r="76">
      <c r="A76" t="inlineStr">
        <is>
          <t>NIC_BW</t>
        </is>
      </c>
      <c r="B76" t="inlineStr">
        <is>
          <t>bytes/us</t>
        </is>
      </c>
      <c r="C76" t="n">
        <v>48750</v>
      </c>
    </row>
    <row r="77">
      <c r="A77" t="inlineStr">
        <is>
          <t>G</t>
        </is>
      </c>
      <c r="B77" t="inlineStr">
        <is>
          <t>2*(n-1)/(n*NIC_BW)</t>
        </is>
      </c>
      <c r="C77">
        <f>2*(C73-1)/(C73*C76)</f>
        <v/>
      </c>
    </row>
    <row r="78">
      <c r="A78" t="inlineStr">
        <is>
          <t>busbw_factor</t>
        </is>
      </c>
      <c r="B78" t="inlineStr">
        <is>
          <t>2*(n-1)/n</t>
        </is>
      </c>
      <c r="C78">
        <f>2*(C73-1)/C73</f>
        <v/>
      </c>
    </row>
    <row r="79">
      <c r="A79" t="inlineStr">
        <is>
          <t>fixed_per_step</t>
        </is>
      </c>
      <c r="B79" t="inlineStr">
        <is>
          <t>(2*n-2)*(a/2)</t>
        </is>
      </c>
      <c r="C79">
        <f>(2*C73-2)*(C75/2)</f>
        <v/>
      </c>
    </row>
    <row r="80"/>
    <row r="81">
      <c r="A81" t="inlineStr">
        <is>
          <t>size_KB</t>
        </is>
      </c>
      <c r="B81" t="inlineStr">
        <is>
          <t>Actual Time (us)</t>
        </is>
      </c>
      <c r="C81" t="inlineStr">
        <is>
          <t>Roofline Time (us)</t>
        </is>
      </c>
      <c r="D81" t="inlineStr">
        <is>
          <t>Actual/Roofline</t>
        </is>
      </c>
      <c r="E81" t="inlineStr">
        <is>
          <t>Actual busBW (GB/s)</t>
        </is>
      </c>
      <c r="F81" t="inlineStr">
        <is>
          <t>Roofline busBW (GB/s)</t>
        </is>
      </c>
      <c r="G81" t="inlineStr">
        <is>
          <t>Meas/Roof busBW</t>
        </is>
      </c>
    </row>
    <row r="82">
      <c r="A82" t="n">
        <v>1</v>
      </c>
      <c r="B82" t="n">
        <v>300.79</v>
      </c>
      <c r="C82">
        <f>C79*CEILING(A82*1024/(C73*C74*MIN(4*1024*1024,A82*1024/(C73*C74))),1)+A82*1024*C77</f>
        <v/>
      </c>
      <c r="D82">
        <f>B82/C82</f>
        <v/>
      </c>
      <c r="E82" t="n">
        <v>0.01</v>
      </c>
      <c r="F82">
        <f>A82*1024/(C82*0.000001)/1000000000*C78</f>
        <v/>
      </c>
      <c r="G82">
        <f>E82/F82</f>
        <v/>
      </c>
    </row>
    <row r="83">
      <c r="A83" t="n">
        <v>2</v>
      </c>
      <c r="B83" t="n">
        <v>300.95</v>
      </c>
      <c r="C83">
        <f>C79*CEILING(A83*1024/(C73*C74*MIN(4*1024*1024,A83*1024/(C73*C74))),1)+A83*1024*C77</f>
        <v/>
      </c>
      <c r="D83">
        <f>B83/C83</f>
        <v/>
      </c>
      <c r="E83" t="n">
        <v>0.01</v>
      </c>
      <c r="F83">
        <f>A83*1024/(C83*0.000001)/1000000000*C78</f>
        <v/>
      </c>
      <c r="G83">
        <f>E83/F83</f>
        <v/>
      </c>
    </row>
    <row r="84">
      <c r="A84" t="n">
        <v>4</v>
      </c>
      <c r="B84" t="n">
        <v>299.92</v>
      </c>
      <c r="C84">
        <f>C79*CEILING(A84*1024/(C73*C74*MIN(4*1024*1024,A84*1024/(C73*C74))),1)+A84*1024*C77</f>
        <v/>
      </c>
      <c r="D84">
        <f>B84/C84</f>
        <v/>
      </c>
      <c r="E84" t="n">
        <v>0.02</v>
      </c>
      <c r="F84">
        <f>A84*1024/(C84*0.000001)/1000000000*C78</f>
        <v/>
      </c>
      <c r="G84">
        <f>E84/F84</f>
        <v/>
      </c>
    </row>
    <row r="85">
      <c r="A85" t="n">
        <v>8</v>
      </c>
      <c r="B85" t="n">
        <v>301.67</v>
      </c>
      <c r="C85">
        <f>C79*CEILING(A85*1024/(C73*C74*MIN(4*1024*1024,A85*1024/(C73*C74))),1)+A85*1024*C77</f>
        <v/>
      </c>
      <c r="D85">
        <f>B85/C85</f>
        <v/>
      </c>
      <c r="E85" t="n">
        <v>0.05</v>
      </c>
      <c r="F85">
        <f>A85*1024/(C85*0.000001)/1000000000*C78</f>
        <v/>
      </c>
      <c r="G85">
        <f>E85/F85</f>
        <v/>
      </c>
    </row>
    <row r="86">
      <c r="A86" t="n">
        <v>16</v>
      </c>
      <c r="B86" t="n">
        <v>304.92</v>
      </c>
      <c r="C86">
        <f>C79*CEILING(A86*1024/(C73*C74*MIN(4*1024*1024,A86*1024/(C73*C74))),1)+A86*1024*C77</f>
        <v/>
      </c>
      <c r="D86">
        <f>B86/C86</f>
        <v/>
      </c>
      <c r="E86" t="n">
        <v>0.09</v>
      </c>
      <c r="F86">
        <f>A86*1024/(C86*0.000001)/1000000000*C78</f>
        <v/>
      </c>
      <c r="G86">
        <f>E86/F86</f>
        <v/>
      </c>
    </row>
    <row r="87">
      <c r="A87" t="n">
        <v>32</v>
      </c>
      <c r="B87" t="n">
        <v>318.78</v>
      </c>
      <c r="C87">
        <f>C79*CEILING(A87*1024/(C73*C74*MIN(4*1024*1024,A87*1024/(C73*C74))),1)+A87*1024*C77</f>
        <v/>
      </c>
      <c r="D87">
        <f>B87/C87</f>
        <v/>
      </c>
      <c r="E87" t="n">
        <v>0.18</v>
      </c>
      <c r="F87">
        <f>A87*1024/(C87*0.000001)/1000000000*C78</f>
        <v/>
      </c>
      <c r="G87">
        <f>E87/F87</f>
        <v/>
      </c>
    </row>
    <row r="88">
      <c r="A88" t="n">
        <v>64</v>
      </c>
      <c r="B88" t="n">
        <v>334.26</v>
      </c>
      <c r="C88">
        <f>C79*CEILING(A88*1024/(C73*C74*MIN(4*1024*1024,A88*1024/(C73*C74))),1)+A88*1024*C77</f>
        <v/>
      </c>
      <c r="D88">
        <f>B88/C88</f>
        <v/>
      </c>
      <c r="E88" t="n">
        <v>0.34</v>
      </c>
      <c r="F88">
        <f>A88*1024/(C88*0.000001)/1000000000*C78</f>
        <v/>
      </c>
      <c r="G88">
        <f>E88/F88</f>
        <v/>
      </c>
    </row>
    <row r="89">
      <c r="A89" t="n">
        <v>128</v>
      </c>
      <c r="B89" t="n">
        <v>367.17</v>
      </c>
      <c r="C89">
        <f>C79*CEILING(A89*1024/(C73*C74*MIN(4*1024*1024,A89*1024/(C73*C74))),1)+A89*1024*C77</f>
        <v/>
      </c>
      <c r="D89">
        <f>B89/C89</f>
        <v/>
      </c>
      <c r="E89" t="n">
        <v>0.62</v>
      </c>
      <c r="F89">
        <f>A89*1024/(C89*0.000001)/1000000000*C78</f>
        <v/>
      </c>
      <c r="G89">
        <f>E89/F89</f>
        <v/>
      </c>
    </row>
    <row r="90">
      <c r="A90" t="n">
        <v>256</v>
      </c>
      <c r="B90" t="n">
        <v>392.89</v>
      </c>
      <c r="C90">
        <f>C79*CEILING(A90*1024/(C73*C74*MIN(4*1024*1024,A90*1024/(C73*C74))),1)+A90*1024*C77</f>
        <v/>
      </c>
      <c r="D90">
        <f>B90/C90</f>
        <v/>
      </c>
      <c r="E90" t="n">
        <v>1.17</v>
      </c>
      <c r="F90">
        <f>A90*1024/(C90*0.000001)/1000000000*C78</f>
        <v/>
      </c>
      <c r="G90">
        <f>E90/F90</f>
        <v/>
      </c>
    </row>
    <row r="91">
      <c r="A91" t="n">
        <v>512</v>
      </c>
      <c r="B91" t="n">
        <v>454.23</v>
      </c>
      <c r="C91">
        <f>C79*CEILING(A91*1024/(C73*C74*MIN(4*1024*1024,A91*1024/(C73*C74))),1)+A91*1024*C77</f>
        <v/>
      </c>
      <c r="D91">
        <f>B91/C91</f>
        <v/>
      </c>
      <c r="E91" t="n">
        <v>2.02</v>
      </c>
      <c r="F91">
        <f>A91*1024/(C91*0.000001)/1000000000*C78</f>
        <v/>
      </c>
      <c r="G91">
        <f>E91/F91</f>
        <v/>
      </c>
    </row>
    <row r="92">
      <c r="A92" t="n">
        <v>1024</v>
      </c>
      <c r="B92" t="n">
        <v>500.56</v>
      </c>
      <c r="C92">
        <f>C79*CEILING(A92*1024/(C73*C74*MIN(4*1024*1024,A92*1024/(C73*C74))),1)+A92*1024*C77</f>
        <v/>
      </c>
      <c r="D92">
        <f>B92/C92</f>
        <v/>
      </c>
      <c r="E92" t="n">
        <v>3.67</v>
      </c>
      <c r="F92">
        <f>A92*1024/(C92*0.000001)/1000000000*C78</f>
        <v/>
      </c>
      <c r="G92">
        <f>E92/F92</f>
        <v/>
      </c>
    </row>
    <row r="93">
      <c r="A93" t="n">
        <v>2048</v>
      </c>
      <c r="B93" t="n">
        <v>554.41</v>
      </c>
      <c r="C93">
        <f>C79*CEILING(A93*1024/(C73*C74*MIN(4*1024*1024,A93*1024/(C73*C74))),1)+A93*1024*C77</f>
        <v/>
      </c>
      <c r="D93">
        <f>B93/C93</f>
        <v/>
      </c>
      <c r="E93" t="n">
        <v>6.62</v>
      </c>
      <c r="F93">
        <f>A93*1024/(C93*0.000001)/1000000000*C78</f>
        <v/>
      </c>
      <c r="G93">
        <f>E93/F93</f>
        <v/>
      </c>
    </row>
    <row r="94">
      <c r="A94" t="n">
        <v>4096</v>
      </c>
      <c r="B94" t="n">
        <v>581.1</v>
      </c>
      <c r="C94">
        <f>C79*CEILING(A94*1024/(C73*C74*MIN(4*1024*1024,A94*1024/(C73*C74))),1)+A94*1024*C77</f>
        <v/>
      </c>
      <c r="D94">
        <f>B94/C94</f>
        <v/>
      </c>
      <c r="E94" t="n">
        <v>12.63</v>
      </c>
      <c r="F94">
        <f>A94*1024/(C94*0.000001)/1000000000*C78</f>
        <v/>
      </c>
      <c r="G94">
        <f>E94/F94</f>
        <v/>
      </c>
    </row>
    <row r="95">
      <c r="A95" t="n">
        <v>8192</v>
      </c>
      <c r="B95" t="n">
        <v>754.45</v>
      </c>
      <c r="C95">
        <f>C79*CEILING(A95*1024/(C73*C74*MIN(4*1024*1024,A95*1024/(C73*C74))),1)+A95*1024*C77</f>
        <v/>
      </c>
      <c r="D95">
        <f>B95/C95</f>
        <v/>
      </c>
      <c r="E95" t="n">
        <v>19.46</v>
      </c>
      <c r="F95">
        <f>A95*1024/(C95*0.000001)/1000000000*C78</f>
        <v/>
      </c>
      <c r="G95">
        <f>E95/F95</f>
        <v/>
      </c>
    </row>
    <row r="96">
      <c r="A96" t="n">
        <v>16384</v>
      </c>
      <c r="B96" t="n">
        <v>935.01</v>
      </c>
      <c r="C96">
        <f>C79*CEILING(A96*1024/(C73*C74*MIN(4*1024*1024,A96*1024/(C73*C74))),1)+A96*1024*C77</f>
        <v/>
      </c>
      <c r="D96">
        <f>B96/C96</f>
        <v/>
      </c>
      <c r="E96" t="n">
        <v>31.4</v>
      </c>
      <c r="F96">
        <f>A96*1024/(C96*0.000001)/1000000000*C78</f>
        <v/>
      </c>
      <c r="G96">
        <f>E96/F96</f>
        <v/>
      </c>
    </row>
    <row r="97">
      <c r="A97" t="n">
        <v>32768</v>
      </c>
      <c r="B97" t="n">
        <v>1459.29</v>
      </c>
      <c r="C97">
        <f>C79*CEILING(A97*1024/(C73*C74*MIN(4*1024*1024,A97*1024/(C73*C74))),1)+A97*1024*C77</f>
        <v/>
      </c>
      <c r="D97">
        <f>B97/C97</f>
        <v/>
      </c>
      <c r="E97" t="n">
        <v>40.24</v>
      </c>
      <c r="F97">
        <f>A97*1024/(C97*0.000001)/1000000000*C78</f>
        <v/>
      </c>
      <c r="G97">
        <f>E97/F97</f>
        <v/>
      </c>
    </row>
    <row r="98">
      <c r="A98" t="n">
        <v>65536</v>
      </c>
      <c r="B98" t="n">
        <v>2700.84</v>
      </c>
      <c r="C98">
        <f>C79*CEILING(A98*1024/(C73*C74*MIN(4*1024*1024,A98*1024/(C73*C74))),1)+A98*1024*C77</f>
        <v/>
      </c>
      <c r="D98">
        <f>B98/C98</f>
        <v/>
      </c>
      <c r="E98" t="n">
        <v>43.48</v>
      </c>
      <c r="F98">
        <f>A98*1024/(C98*0.000001)/1000000000*C78</f>
        <v/>
      </c>
      <c r="G98">
        <f>E98/F98</f>
        <v/>
      </c>
    </row>
    <row r="99">
      <c r="A99" t="n">
        <v>131072</v>
      </c>
      <c r="B99" t="n">
        <v>5302.34</v>
      </c>
      <c r="C99">
        <f>C79*CEILING(A99*1024/(C73*C74*MIN(4*1024*1024,A99*1024/(C73*C74))),1)+A99*1024*C77</f>
        <v/>
      </c>
      <c r="D99">
        <f>B99/C99</f>
        <v/>
      </c>
      <c r="E99" t="n">
        <v>44.3</v>
      </c>
      <c r="F99">
        <f>A99*1024/(C99*0.000001)/1000000000*C78</f>
        <v/>
      </c>
      <c r="G99">
        <f>E99/F99</f>
        <v/>
      </c>
    </row>
    <row r="100">
      <c r="A100" t="n">
        <v>262144</v>
      </c>
      <c r="B100" t="n">
        <v>10450.8</v>
      </c>
      <c r="C100">
        <f>C79*CEILING(A100*1024/(C73*C74*MIN(4*1024*1024,A100*1024/(C73*C74))),1)+A100*1024*C77</f>
        <v/>
      </c>
      <c r="D100">
        <f>B100/C100</f>
        <v/>
      </c>
      <c r="E100" t="n">
        <v>44.95</v>
      </c>
      <c r="F100">
        <f>A100*1024/(C100*0.000001)/1000000000*C78</f>
        <v/>
      </c>
      <c r="G100">
        <f>E100/F100</f>
        <v/>
      </c>
    </row>
    <row r="101">
      <c r="A101" t="n">
        <v>524288</v>
      </c>
      <c r="B101" t="n">
        <v>20675.3</v>
      </c>
      <c r="C101">
        <f>C79*CEILING(A101*1024/(C73*C74*MIN(4*1024*1024,A101*1024/(C73*C74))),1)+A101*1024*C77</f>
        <v/>
      </c>
      <c r="D101">
        <f>B101/C101</f>
        <v/>
      </c>
      <c r="E101" t="n">
        <v>45.44</v>
      </c>
      <c r="F101">
        <f>A101*1024/(C101*0.000001)/1000000000*C78</f>
        <v/>
      </c>
      <c r="G101">
        <f>E101/F101</f>
        <v/>
      </c>
    </row>
    <row r="102">
      <c r="A102" t="n">
        <v>1048576</v>
      </c>
      <c r="B102" t="n">
        <v>41041.2</v>
      </c>
      <c r="C102">
        <f>C79*CEILING(A102*1024/(C73*C74*MIN(4*1024*1024,A102*1024/(C73*C74))),1)+A102*1024*C77</f>
        <v/>
      </c>
      <c r="D102">
        <f>B102/C102</f>
        <v/>
      </c>
      <c r="E102" t="n">
        <v>45.78</v>
      </c>
      <c r="F102">
        <f>A102*1024/(C102*0.000001)/1000000000*C78</f>
        <v/>
      </c>
      <c r="G102">
        <f>E102/F102</f>
        <v/>
      </c>
    </row>
    <row r="103">
      <c r="A103" t="n">
        <v>2097152</v>
      </c>
      <c r="B103" t="n">
        <v>81710.60000000001</v>
      </c>
      <c r="C103">
        <f>C79*CEILING(A103*1024/(C73*C74*MIN(4*1024*1024,A103*1024/(C73*C74))),1)+A103*1024*C77</f>
        <v/>
      </c>
      <c r="D103">
        <f>B103/C103</f>
        <v/>
      </c>
      <c r="E103" t="n">
        <v>45.99</v>
      </c>
      <c r="F103">
        <f>A103*1024/(C103*0.000001)/1000000000*C78</f>
        <v/>
      </c>
      <c r="G103">
        <f>E103/F103</f>
        <v/>
      </c>
    </row>
    <row r="104">
      <c r="A104" t="n">
        <v>4194304</v>
      </c>
      <c r="B104" t="n">
        <v>162960</v>
      </c>
      <c r="C104">
        <f>C79*CEILING(A104*1024/(C73*C74*MIN(4*1024*1024,A104*1024/(C73*C74))),1)+A104*1024*C77</f>
        <v/>
      </c>
      <c r="D104">
        <f>B104/C104</f>
        <v/>
      </c>
      <c r="E104" t="n">
        <v>46.12</v>
      </c>
      <c r="F104">
        <f>A104*1024/(C104*0.000001)/1000000000*C78</f>
        <v/>
      </c>
      <c r="G104">
        <f>E104/F104</f>
        <v/>
      </c>
    </row>
    <row r="105"/>
    <row r="106">
      <c r="A106" t="inlineStr">
        <is>
          <t>Nodes: 8, Protocol: Simple, Channels: 8</t>
        </is>
      </c>
    </row>
    <row r="107">
      <c r="A107" t="inlineStr">
        <is>
          <t>Parameter</t>
        </is>
      </c>
      <c r="B107" t="inlineStr">
        <is>
          <t>Formula</t>
        </is>
      </c>
      <c r="C107" t="inlineStr">
        <is>
          <t>Value</t>
        </is>
      </c>
    </row>
    <row r="108">
      <c r="A108" t="inlineStr">
        <is>
          <t>n</t>
        </is>
      </c>
      <c r="B108" t="inlineStr">
        <is>
          <t>nodes on ring</t>
        </is>
      </c>
      <c r="C108" t="n">
        <v>8</v>
      </c>
    </row>
    <row r="109">
      <c r="A109" t="inlineStr">
        <is>
          <t>nch</t>
        </is>
      </c>
      <c r="B109" t="inlineStr">
        <is>
          <t>channels</t>
        </is>
      </c>
      <c r="C109" t="n">
        <v>8</v>
      </c>
    </row>
    <row r="110">
      <c r="A110" t="inlineStr">
        <is>
          <t>a</t>
        </is>
      </c>
      <c r="B110" t="inlineStr">
        <is>
          <t>RTT (us)</t>
        </is>
      </c>
      <c r="C110" t="n">
        <v>25.8107</v>
      </c>
    </row>
    <row r="111">
      <c r="A111" t="inlineStr">
        <is>
          <t>NIC_BW</t>
        </is>
      </c>
      <c r="B111" t="inlineStr">
        <is>
          <t>bytes/us</t>
        </is>
      </c>
      <c r="C111" t="n">
        <v>48750</v>
      </c>
    </row>
    <row r="112">
      <c r="A112" t="inlineStr">
        <is>
          <t>G</t>
        </is>
      </c>
      <c r="B112" t="inlineStr">
        <is>
          <t>2*(n-1)/(n*NIC_BW)</t>
        </is>
      </c>
      <c r="C112">
        <f>2*(C108-1)/(C108*C111)</f>
        <v/>
      </c>
    </row>
    <row r="113">
      <c r="A113" t="inlineStr">
        <is>
          <t>busbw_factor</t>
        </is>
      </c>
      <c r="B113" t="inlineStr">
        <is>
          <t>2*(n-1)/n</t>
        </is>
      </c>
      <c r="C113">
        <f>2*(C108-1)/C108</f>
        <v/>
      </c>
    </row>
    <row r="114">
      <c r="A114" t="inlineStr">
        <is>
          <t>fixed_per_step</t>
        </is>
      </c>
      <c r="B114" t="inlineStr">
        <is>
          <t>(2*n-2)*(a/2)</t>
        </is>
      </c>
      <c r="C114">
        <f>(2*C108-2)*(C110/2)</f>
        <v/>
      </c>
    </row>
    <row r="115"/>
    <row r="116">
      <c r="A116" t="inlineStr">
        <is>
          <t>size_KB</t>
        </is>
      </c>
      <c r="B116" t="inlineStr">
        <is>
          <t>Actual Time (us)</t>
        </is>
      </c>
      <c r="C116" t="inlineStr">
        <is>
          <t>Roofline Time (us)</t>
        </is>
      </c>
      <c r="D116" t="inlineStr">
        <is>
          <t>Actual/Roofline</t>
        </is>
      </c>
      <c r="E116" t="inlineStr">
        <is>
          <t>Actual busBW (GB/s)</t>
        </is>
      </c>
      <c r="F116" t="inlineStr">
        <is>
          <t>Roofline busBW (GB/s)</t>
        </is>
      </c>
      <c r="G116" t="inlineStr">
        <is>
          <t>Meas/Roof busBW</t>
        </is>
      </c>
    </row>
    <row r="117">
      <c r="A117" t="n">
        <v>1</v>
      </c>
      <c r="B117" t="n">
        <v>300.21</v>
      </c>
      <c r="C117">
        <f>C114*CEILING(A117*1024/(C108*C109*MIN(4*1024*1024,A117*1024/(C108*C109))),1)+A117*1024*C112</f>
        <v/>
      </c>
      <c r="D117">
        <f>B117/C117</f>
        <v/>
      </c>
      <c r="E117" t="n">
        <v>0.01</v>
      </c>
      <c r="F117">
        <f>A117*1024/(C117*0.000001)/1000000000*C113</f>
        <v/>
      </c>
      <c r="G117">
        <f>E117/F117</f>
        <v/>
      </c>
    </row>
    <row r="118">
      <c r="A118" t="n">
        <v>2</v>
      </c>
      <c r="B118" t="n">
        <v>299.31</v>
      </c>
      <c r="C118">
        <f>C114*CEILING(A118*1024/(C108*C109*MIN(4*1024*1024,A118*1024/(C108*C109))),1)+A118*1024*C112</f>
        <v/>
      </c>
      <c r="D118">
        <f>B118/C118</f>
        <v/>
      </c>
      <c r="E118" t="n">
        <v>0.01</v>
      </c>
      <c r="F118">
        <f>A118*1024/(C118*0.000001)/1000000000*C113</f>
        <v/>
      </c>
      <c r="G118">
        <f>E118/F118</f>
        <v/>
      </c>
    </row>
    <row r="119">
      <c r="A119" t="n">
        <v>4</v>
      </c>
      <c r="B119" t="n">
        <v>300.48</v>
      </c>
      <c r="C119">
        <f>C114*CEILING(A119*1024/(C108*C109*MIN(4*1024*1024,A119*1024/(C108*C109))),1)+A119*1024*C112</f>
        <v/>
      </c>
      <c r="D119">
        <f>B119/C119</f>
        <v/>
      </c>
      <c r="E119" t="n">
        <v>0.02</v>
      </c>
      <c r="F119">
        <f>A119*1024/(C119*0.000001)/1000000000*C113</f>
        <v/>
      </c>
      <c r="G119">
        <f>E119/F119</f>
        <v/>
      </c>
    </row>
    <row r="120">
      <c r="A120" t="n">
        <v>8</v>
      </c>
      <c r="B120" t="n">
        <v>300.94</v>
      </c>
      <c r="C120">
        <f>C114*CEILING(A120*1024/(C108*C109*MIN(4*1024*1024,A120*1024/(C108*C109))),1)+A120*1024*C112</f>
        <v/>
      </c>
      <c r="D120">
        <f>B120/C120</f>
        <v/>
      </c>
      <c r="E120" t="n">
        <v>0.05</v>
      </c>
      <c r="F120">
        <f>A120*1024/(C120*0.000001)/1000000000*C113</f>
        <v/>
      </c>
      <c r="G120">
        <f>E120/F120</f>
        <v/>
      </c>
    </row>
    <row r="121">
      <c r="A121" t="n">
        <v>16</v>
      </c>
      <c r="B121" t="n">
        <v>303.9</v>
      </c>
      <c r="C121">
        <f>C114*CEILING(A121*1024/(C108*C109*MIN(4*1024*1024,A121*1024/(C108*C109))),1)+A121*1024*C112</f>
        <v/>
      </c>
      <c r="D121">
        <f>B121/C121</f>
        <v/>
      </c>
      <c r="E121" t="n">
        <v>0.09</v>
      </c>
      <c r="F121">
        <f>A121*1024/(C121*0.000001)/1000000000*C113</f>
        <v/>
      </c>
      <c r="G121">
        <f>E121/F121</f>
        <v/>
      </c>
    </row>
    <row r="122">
      <c r="A122" t="n">
        <v>32</v>
      </c>
      <c r="B122" t="n">
        <v>318.5</v>
      </c>
      <c r="C122">
        <f>C114*CEILING(A122*1024/(C108*C109*MIN(4*1024*1024,A122*1024/(C108*C109))),1)+A122*1024*C112</f>
        <v/>
      </c>
      <c r="D122">
        <f>B122/C122</f>
        <v/>
      </c>
      <c r="E122" t="n">
        <v>0.18</v>
      </c>
      <c r="F122">
        <f>A122*1024/(C122*0.000001)/1000000000*C113</f>
        <v/>
      </c>
      <c r="G122">
        <f>E122/F122</f>
        <v/>
      </c>
    </row>
    <row r="123">
      <c r="A123" t="n">
        <v>64</v>
      </c>
      <c r="B123" t="n">
        <v>330.96</v>
      </c>
      <c r="C123">
        <f>C114*CEILING(A123*1024/(C108*C109*MIN(4*1024*1024,A123*1024/(C108*C109))),1)+A123*1024*C112</f>
        <v/>
      </c>
      <c r="D123">
        <f>B123/C123</f>
        <v/>
      </c>
      <c r="E123" t="n">
        <v>0.35</v>
      </c>
      <c r="F123">
        <f>A123*1024/(C123*0.000001)/1000000000*C113</f>
        <v/>
      </c>
      <c r="G123">
        <f>E123/F123</f>
        <v/>
      </c>
    </row>
    <row r="124">
      <c r="A124" t="n">
        <v>128</v>
      </c>
      <c r="B124" t="n">
        <v>367.79</v>
      </c>
      <c r="C124">
        <f>C114*CEILING(A124*1024/(C108*C109*MIN(4*1024*1024,A124*1024/(C108*C109))),1)+A124*1024*C112</f>
        <v/>
      </c>
      <c r="D124">
        <f>B124/C124</f>
        <v/>
      </c>
      <c r="E124" t="n">
        <v>0.62</v>
      </c>
      <c r="F124">
        <f>A124*1024/(C124*0.000001)/1000000000*C113</f>
        <v/>
      </c>
      <c r="G124">
        <f>E124/F124</f>
        <v/>
      </c>
    </row>
    <row r="125">
      <c r="A125" t="n">
        <v>256</v>
      </c>
      <c r="B125" t="n">
        <v>479.86</v>
      </c>
      <c r="C125">
        <f>C114*CEILING(A125*1024/(C108*C109*MIN(4*1024*1024,A125*1024/(C108*C109))),1)+A125*1024*C112</f>
        <v/>
      </c>
      <c r="D125">
        <f>B125/C125</f>
        <v/>
      </c>
      <c r="E125" t="n">
        <v>0.96</v>
      </c>
      <c r="F125">
        <f>A125*1024/(C125*0.000001)/1000000000*C113</f>
        <v/>
      </c>
      <c r="G125">
        <f>E125/F125</f>
        <v/>
      </c>
    </row>
    <row r="126">
      <c r="A126" t="n">
        <v>512</v>
      </c>
      <c r="B126" t="n">
        <v>495.08</v>
      </c>
      <c r="C126">
        <f>C114*CEILING(A126*1024/(C108*C109*MIN(4*1024*1024,A126*1024/(C108*C109))),1)+A126*1024*C112</f>
        <v/>
      </c>
      <c r="D126">
        <f>B126/C126</f>
        <v/>
      </c>
      <c r="E126" t="n">
        <v>1.85</v>
      </c>
      <c r="F126">
        <f>A126*1024/(C126*0.000001)/1000000000*C113</f>
        <v/>
      </c>
      <c r="G126">
        <f>E126/F126</f>
        <v/>
      </c>
    </row>
    <row r="127">
      <c r="A127" t="n">
        <v>1024</v>
      </c>
      <c r="B127" t="n">
        <v>548.96</v>
      </c>
      <c r="C127">
        <f>C114*CEILING(A127*1024/(C108*C109*MIN(4*1024*1024,A127*1024/(C108*C109))),1)+A127*1024*C112</f>
        <v/>
      </c>
      <c r="D127">
        <f>B127/C127</f>
        <v/>
      </c>
      <c r="E127" t="n">
        <v>3.34</v>
      </c>
      <c r="F127">
        <f>A127*1024/(C127*0.000001)/1000000000*C113</f>
        <v/>
      </c>
      <c r="G127">
        <f>E127/F127</f>
        <v/>
      </c>
    </row>
    <row r="128">
      <c r="A128" t="n">
        <v>2048</v>
      </c>
      <c r="B128" t="n">
        <v>591.67</v>
      </c>
      <c r="C128">
        <f>C114*CEILING(A128*1024/(C108*C109*MIN(4*1024*1024,A128*1024/(C108*C109))),1)+A128*1024*C112</f>
        <v/>
      </c>
      <c r="D128">
        <f>B128/C128</f>
        <v/>
      </c>
      <c r="E128" t="n">
        <v>6.2</v>
      </c>
      <c r="F128">
        <f>A128*1024/(C128*0.000001)/1000000000*C113</f>
        <v/>
      </c>
      <c r="G128">
        <f>E128/F128</f>
        <v/>
      </c>
    </row>
    <row r="129">
      <c r="A129" t="n">
        <v>4096</v>
      </c>
      <c r="B129" t="n">
        <v>652.72</v>
      </c>
      <c r="C129">
        <f>C114*CEILING(A129*1024/(C108*C109*MIN(4*1024*1024,A129*1024/(C108*C109))),1)+A129*1024*C112</f>
        <v/>
      </c>
      <c r="D129">
        <f>B129/C129</f>
        <v/>
      </c>
      <c r="E129" t="n">
        <v>11.25</v>
      </c>
      <c r="F129">
        <f>A129*1024/(C129*0.000001)/1000000000*C113</f>
        <v/>
      </c>
      <c r="G129">
        <f>E129/F129</f>
        <v/>
      </c>
    </row>
    <row r="130">
      <c r="A130" t="n">
        <v>8192</v>
      </c>
      <c r="B130" t="n">
        <v>695.59</v>
      </c>
      <c r="C130">
        <f>C114*CEILING(A130*1024/(C108*C109*MIN(4*1024*1024,A130*1024/(C108*C109))),1)+A130*1024*C112</f>
        <v/>
      </c>
      <c r="D130">
        <f>B130/C130</f>
        <v/>
      </c>
      <c r="E130" t="n">
        <v>21.1</v>
      </c>
      <c r="F130">
        <f>A130*1024/(C130*0.000001)/1000000000*C113</f>
        <v/>
      </c>
      <c r="G130">
        <f>E130/F130</f>
        <v/>
      </c>
    </row>
    <row r="131">
      <c r="A131" t="n">
        <v>16384</v>
      </c>
      <c r="B131" t="n">
        <v>960.53</v>
      </c>
      <c r="C131">
        <f>C114*CEILING(A131*1024/(C108*C109*MIN(4*1024*1024,A131*1024/(C108*C109))),1)+A131*1024*C112</f>
        <v/>
      </c>
      <c r="D131">
        <f>B131/C131</f>
        <v/>
      </c>
      <c r="E131" t="n">
        <v>30.57</v>
      </c>
      <c r="F131">
        <f>A131*1024/(C131*0.000001)/1000000000*C113</f>
        <v/>
      </c>
      <c r="G131">
        <f>E131/F131</f>
        <v/>
      </c>
    </row>
    <row r="132">
      <c r="A132" t="n">
        <v>32768</v>
      </c>
      <c r="B132" t="n">
        <v>1417.53</v>
      </c>
      <c r="C132">
        <f>C114*CEILING(A132*1024/(C108*C109*MIN(4*1024*1024,A132*1024/(C108*C109))),1)+A132*1024*C112</f>
        <v/>
      </c>
      <c r="D132">
        <f>B132/C132</f>
        <v/>
      </c>
      <c r="E132" t="n">
        <v>41.42</v>
      </c>
      <c r="F132">
        <f>A132*1024/(C132*0.000001)/1000000000*C113</f>
        <v/>
      </c>
      <c r="G132">
        <f>E132/F132</f>
        <v/>
      </c>
    </row>
    <row r="133">
      <c r="A133" t="n">
        <v>65536</v>
      </c>
      <c r="B133" t="n">
        <v>2703.34</v>
      </c>
      <c r="C133">
        <f>C114*CEILING(A133*1024/(C108*C109*MIN(4*1024*1024,A133*1024/(C108*C109))),1)+A133*1024*C112</f>
        <v/>
      </c>
      <c r="D133">
        <f>B133/C133</f>
        <v/>
      </c>
      <c r="E133" t="n">
        <v>43.44</v>
      </c>
      <c r="F133">
        <f>A133*1024/(C133*0.000001)/1000000000*C113</f>
        <v/>
      </c>
      <c r="G133">
        <f>E133/F133</f>
        <v/>
      </c>
    </row>
    <row r="134">
      <c r="A134" t="n">
        <v>131072</v>
      </c>
      <c r="B134" t="n">
        <v>5268.25</v>
      </c>
      <c r="C134">
        <f>C114*CEILING(A134*1024/(C108*C109*MIN(4*1024*1024,A134*1024/(C108*C109))),1)+A134*1024*C112</f>
        <v/>
      </c>
      <c r="D134">
        <f>B134/C134</f>
        <v/>
      </c>
      <c r="E134" t="n">
        <v>44.58</v>
      </c>
      <c r="F134">
        <f>A134*1024/(C134*0.000001)/1000000000*C113</f>
        <v/>
      </c>
      <c r="G134">
        <f>E134/F134</f>
        <v/>
      </c>
    </row>
    <row r="135">
      <c r="A135" t="n">
        <v>262144</v>
      </c>
      <c r="B135" t="n">
        <v>10363.4</v>
      </c>
      <c r="C135">
        <f>C114*CEILING(A135*1024/(C108*C109*MIN(4*1024*1024,A135*1024/(C108*C109))),1)+A135*1024*C112</f>
        <v/>
      </c>
      <c r="D135">
        <f>B135/C135</f>
        <v/>
      </c>
      <c r="E135" t="n">
        <v>45.33</v>
      </c>
      <c r="F135">
        <f>A135*1024/(C135*0.000001)/1000000000*C113</f>
        <v/>
      </c>
      <c r="G135">
        <f>E135/F135</f>
        <v/>
      </c>
    </row>
    <row r="136">
      <c r="A136" t="n">
        <v>524288</v>
      </c>
      <c r="B136" t="n">
        <v>20456</v>
      </c>
      <c r="C136">
        <f>C114*CEILING(A136*1024/(C108*C109*MIN(4*1024*1024,A136*1024/(C108*C109))),1)+A136*1024*C112</f>
        <v/>
      </c>
      <c r="D136">
        <f>B136/C136</f>
        <v/>
      </c>
      <c r="E136" t="n">
        <v>45.93</v>
      </c>
      <c r="F136">
        <f>A136*1024/(C136*0.000001)/1000000000*C113</f>
        <v/>
      </c>
      <c r="G136">
        <f>E136/F136</f>
        <v/>
      </c>
    </row>
    <row r="137">
      <c r="A137" t="n">
        <v>1048576</v>
      </c>
      <c r="B137" t="n">
        <v>40651</v>
      </c>
      <c r="C137">
        <f>C114*CEILING(A137*1024/(C108*C109*MIN(4*1024*1024,A137*1024/(C108*C109))),1)+A137*1024*C112</f>
        <v/>
      </c>
      <c r="D137">
        <f>B137/C137</f>
        <v/>
      </c>
      <c r="E137" t="n">
        <v>46.22</v>
      </c>
      <c r="F137">
        <f>A137*1024/(C137*0.000001)/1000000000*C113</f>
        <v/>
      </c>
      <c r="G137">
        <f>E137/F137</f>
        <v/>
      </c>
    </row>
    <row r="138">
      <c r="A138" t="n">
        <v>2097152</v>
      </c>
      <c r="B138" t="n">
        <v>81126.10000000001</v>
      </c>
      <c r="C138">
        <f>C114*CEILING(A138*1024/(C108*C109*MIN(4*1024*1024,A138*1024/(C108*C109))),1)+A138*1024*C112</f>
        <v/>
      </c>
      <c r="D138">
        <f>B138/C138</f>
        <v/>
      </c>
      <c r="E138" t="n">
        <v>46.32</v>
      </c>
      <c r="F138">
        <f>A138*1024/(C138*0.000001)/1000000000*C113</f>
        <v/>
      </c>
      <c r="G138">
        <f>E138/F138</f>
        <v/>
      </c>
    </row>
    <row r="139">
      <c r="A139" t="n">
        <v>4194304</v>
      </c>
      <c r="B139" t="n">
        <v>161774</v>
      </c>
      <c r="C139">
        <f>C114*CEILING(A139*1024/(C108*C109*MIN(4*1024*1024,A139*1024/(C108*C109))),1)+A139*1024*C112</f>
        <v/>
      </c>
      <c r="D139">
        <f>B139/C139</f>
        <v/>
      </c>
      <c r="E139" t="n">
        <v>46.46</v>
      </c>
      <c r="F139">
        <f>A139*1024/(C139*0.000001)/1000000000*C113</f>
        <v/>
      </c>
      <c r="G139">
        <f>E139/F139</f>
        <v/>
      </c>
    </row>
    <row r="140"/>
    <row r="141">
      <c r="A141" t="inlineStr">
        <is>
          <t>Nodes: 8, Protocol: Simple, Channels: 16</t>
        </is>
      </c>
    </row>
    <row r="142">
      <c r="A142" t="inlineStr">
        <is>
          <t>Parameter</t>
        </is>
      </c>
      <c r="B142" t="inlineStr">
        <is>
          <t>Formula</t>
        </is>
      </c>
      <c r="C142" t="inlineStr">
        <is>
          <t>Value</t>
        </is>
      </c>
    </row>
    <row r="143">
      <c r="A143" t="inlineStr">
        <is>
          <t>n</t>
        </is>
      </c>
      <c r="B143" t="inlineStr">
        <is>
          <t>nodes on ring</t>
        </is>
      </c>
      <c r="C143" t="n">
        <v>8</v>
      </c>
    </row>
    <row r="144">
      <c r="A144" t="inlineStr">
        <is>
          <t>nch</t>
        </is>
      </c>
      <c r="B144" t="inlineStr">
        <is>
          <t>channels</t>
        </is>
      </c>
      <c r="C144" t="n">
        <v>16</v>
      </c>
    </row>
    <row r="145">
      <c r="A145" t="inlineStr">
        <is>
          <t>a</t>
        </is>
      </c>
      <c r="B145" t="inlineStr">
        <is>
          <t>RTT (us)</t>
        </is>
      </c>
      <c r="C145" t="n">
        <v>25.8107</v>
      </c>
    </row>
    <row r="146">
      <c r="A146" t="inlineStr">
        <is>
          <t>NIC_BW</t>
        </is>
      </c>
      <c r="B146" t="inlineStr">
        <is>
          <t>bytes/us</t>
        </is>
      </c>
      <c r="C146" t="n">
        <v>48750</v>
      </c>
    </row>
    <row r="147">
      <c r="A147" t="inlineStr">
        <is>
          <t>G</t>
        </is>
      </c>
      <c r="B147" t="inlineStr">
        <is>
          <t>2*(n-1)/(n*NIC_BW)</t>
        </is>
      </c>
      <c r="C147">
        <f>2*(C143-1)/(C143*C146)</f>
        <v/>
      </c>
    </row>
    <row r="148">
      <c r="A148" t="inlineStr">
        <is>
          <t>busbw_factor</t>
        </is>
      </c>
      <c r="B148" t="inlineStr">
        <is>
          <t>2*(n-1)/n</t>
        </is>
      </c>
      <c r="C148">
        <f>2*(C143-1)/C143</f>
        <v/>
      </c>
    </row>
    <row r="149">
      <c r="A149" t="inlineStr">
        <is>
          <t>fixed_per_step</t>
        </is>
      </c>
      <c r="B149" t="inlineStr">
        <is>
          <t>(2*n-2)*(a/2)</t>
        </is>
      </c>
      <c r="C149">
        <f>(2*C143-2)*(C145/2)</f>
        <v/>
      </c>
    </row>
    <row r="150"/>
    <row r="151">
      <c r="A151" t="inlineStr">
        <is>
          <t>size_KB</t>
        </is>
      </c>
      <c r="B151" t="inlineStr">
        <is>
          <t>Actual Time (us)</t>
        </is>
      </c>
      <c r="C151" t="inlineStr">
        <is>
          <t>Roofline Time (us)</t>
        </is>
      </c>
      <c r="D151" t="inlineStr">
        <is>
          <t>Actual/Roofline</t>
        </is>
      </c>
      <c r="E151" t="inlineStr">
        <is>
          <t>Actual busBW (GB/s)</t>
        </is>
      </c>
      <c r="F151" t="inlineStr">
        <is>
          <t>Roofline busBW (GB/s)</t>
        </is>
      </c>
      <c r="G151" t="inlineStr">
        <is>
          <t>Meas/Roof busBW</t>
        </is>
      </c>
    </row>
    <row r="152">
      <c r="A152" t="n">
        <v>1</v>
      </c>
      <c r="B152" t="n">
        <v>300.37</v>
      </c>
      <c r="C152">
        <f>C149*CEILING(A152*1024/(C143*C144*MIN(4*1024*1024,A152*1024/(C143*C144))),1)+A152*1024*C147</f>
        <v/>
      </c>
      <c r="D152">
        <f>B152/C152</f>
        <v/>
      </c>
      <c r="E152" t="n">
        <v>0.01</v>
      </c>
      <c r="F152">
        <f>A152*1024/(C152*0.000001)/1000000000*C148</f>
        <v/>
      </c>
      <c r="G152">
        <f>E152/F152</f>
        <v/>
      </c>
    </row>
    <row r="153">
      <c r="A153" t="n">
        <v>2</v>
      </c>
      <c r="B153" t="n">
        <v>298.81</v>
      </c>
      <c r="C153">
        <f>C149*CEILING(A153*1024/(C143*C144*MIN(4*1024*1024,A153*1024/(C143*C144))),1)+A153*1024*C147</f>
        <v/>
      </c>
      <c r="D153">
        <f>B153/C153</f>
        <v/>
      </c>
      <c r="E153" t="n">
        <v>0.01</v>
      </c>
      <c r="F153">
        <f>A153*1024/(C153*0.000001)/1000000000*C148</f>
        <v/>
      </c>
      <c r="G153">
        <f>E153/F153</f>
        <v/>
      </c>
    </row>
    <row r="154">
      <c r="A154" t="n">
        <v>4</v>
      </c>
      <c r="B154" t="n">
        <v>298.9</v>
      </c>
      <c r="C154">
        <f>C149*CEILING(A154*1024/(C143*C144*MIN(4*1024*1024,A154*1024/(C143*C144))),1)+A154*1024*C147</f>
        <v/>
      </c>
      <c r="D154">
        <f>B154/C154</f>
        <v/>
      </c>
      <c r="E154" t="n">
        <v>0.02</v>
      </c>
      <c r="F154">
        <f>A154*1024/(C154*0.000001)/1000000000*C148</f>
        <v/>
      </c>
      <c r="G154">
        <f>E154/F154</f>
        <v/>
      </c>
    </row>
    <row r="155">
      <c r="A155" t="n">
        <v>8</v>
      </c>
      <c r="B155" t="n">
        <v>300.68</v>
      </c>
      <c r="C155">
        <f>C149*CEILING(A155*1024/(C143*C144*MIN(4*1024*1024,A155*1024/(C143*C144))),1)+A155*1024*C147</f>
        <v/>
      </c>
      <c r="D155">
        <f>B155/C155</f>
        <v/>
      </c>
      <c r="E155" t="n">
        <v>0.05</v>
      </c>
      <c r="F155">
        <f>A155*1024/(C155*0.000001)/1000000000*C148</f>
        <v/>
      </c>
      <c r="G155">
        <f>E155/F155</f>
        <v/>
      </c>
    </row>
    <row r="156">
      <c r="A156" t="n">
        <v>16</v>
      </c>
      <c r="B156" t="n">
        <v>302.86</v>
      </c>
      <c r="C156">
        <f>C149*CEILING(A156*1024/(C143*C144*MIN(4*1024*1024,A156*1024/(C143*C144))),1)+A156*1024*C147</f>
        <v/>
      </c>
      <c r="D156">
        <f>B156/C156</f>
        <v/>
      </c>
      <c r="E156" t="n">
        <v>0.09</v>
      </c>
      <c r="F156">
        <f>A156*1024/(C156*0.000001)/1000000000*C148</f>
        <v/>
      </c>
      <c r="G156">
        <f>E156/F156</f>
        <v/>
      </c>
    </row>
    <row r="157">
      <c r="A157" t="n">
        <v>32</v>
      </c>
      <c r="B157" t="n">
        <v>317.55</v>
      </c>
      <c r="C157">
        <f>C149*CEILING(A157*1024/(C143*C144*MIN(4*1024*1024,A157*1024/(C143*C144))),1)+A157*1024*C147</f>
        <v/>
      </c>
      <c r="D157">
        <f>B157/C157</f>
        <v/>
      </c>
      <c r="E157" t="n">
        <v>0.18</v>
      </c>
      <c r="F157">
        <f>A157*1024/(C157*0.000001)/1000000000*C148</f>
        <v/>
      </c>
      <c r="G157">
        <f>E157/F157</f>
        <v/>
      </c>
    </row>
    <row r="158">
      <c r="A158" t="n">
        <v>64</v>
      </c>
      <c r="B158" t="n">
        <v>330.85</v>
      </c>
      <c r="C158">
        <f>C149*CEILING(A158*1024/(C143*C144*MIN(4*1024*1024,A158*1024/(C143*C144))),1)+A158*1024*C147</f>
        <v/>
      </c>
      <c r="D158">
        <f>B158/C158</f>
        <v/>
      </c>
      <c r="E158" t="n">
        <v>0.35</v>
      </c>
      <c r="F158">
        <f>A158*1024/(C158*0.000001)/1000000000*C148</f>
        <v/>
      </c>
      <c r="G158">
        <f>E158/F158</f>
        <v/>
      </c>
    </row>
    <row r="159">
      <c r="A159" t="n">
        <v>128</v>
      </c>
      <c r="B159" t="n">
        <v>367.04</v>
      </c>
      <c r="C159">
        <f>C149*CEILING(A159*1024/(C143*C144*MIN(4*1024*1024,A159*1024/(C143*C144))),1)+A159*1024*C147</f>
        <v/>
      </c>
      <c r="D159">
        <f>B159/C159</f>
        <v/>
      </c>
      <c r="E159" t="n">
        <v>0.62</v>
      </c>
      <c r="F159">
        <f>A159*1024/(C159*0.000001)/1000000000*C148</f>
        <v/>
      </c>
      <c r="G159">
        <f>E159/F159</f>
        <v/>
      </c>
    </row>
    <row r="160">
      <c r="A160" t="n">
        <v>256</v>
      </c>
      <c r="B160" t="n">
        <v>478.74</v>
      </c>
      <c r="C160">
        <f>C149*CEILING(A160*1024/(C143*C144*MIN(4*1024*1024,A160*1024/(C143*C144))),1)+A160*1024*C147</f>
        <v/>
      </c>
      <c r="D160">
        <f>B160/C160</f>
        <v/>
      </c>
      <c r="E160" t="n">
        <v>0.96</v>
      </c>
      <c r="F160">
        <f>A160*1024/(C160*0.000001)/1000000000*C148</f>
        <v/>
      </c>
      <c r="G160">
        <f>E160/F160</f>
        <v/>
      </c>
    </row>
    <row r="161">
      <c r="A161" t="n">
        <v>512</v>
      </c>
      <c r="B161" t="n">
        <v>801.67</v>
      </c>
      <c r="C161">
        <f>C149*CEILING(A161*1024/(C143*C144*MIN(4*1024*1024,A161*1024/(C143*C144))),1)+A161*1024*C147</f>
        <v/>
      </c>
      <c r="D161">
        <f>B161/C161</f>
        <v/>
      </c>
      <c r="E161" t="n">
        <v>1.14</v>
      </c>
      <c r="F161">
        <f>A161*1024/(C161*0.000001)/1000000000*C148</f>
        <v/>
      </c>
      <c r="G161">
        <f>E161/F161</f>
        <v/>
      </c>
    </row>
    <row r="162">
      <c r="A162" t="n">
        <v>1024</v>
      </c>
      <c r="B162" t="n">
        <v>808.75</v>
      </c>
      <c r="C162">
        <f>C149*CEILING(A162*1024/(C143*C144*MIN(4*1024*1024,A162*1024/(C143*C144))),1)+A162*1024*C147</f>
        <v/>
      </c>
      <c r="D162">
        <f>B162/C162</f>
        <v/>
      </c>
      <c r="E162" t="n">
        <v>2.27</v>
      </c>
      <c r="F162">
        <f>A162*1024/(C162*0.000001)/1000000000*C148</f>
        <v/>
      </c>
      <c r="G162">
        <f>E162/F162</f>
        <v/>
      </c>
    </row>
    <row r="163">
      <c r="A163" t="n">
        <v>2048</v>
      </c>
      <c r="B163" t="n">
        <v>801.09</v>
      </c>
      <c r="C163">
        <f>C149*CEILING(A163*1024/(C143*C144*MIN(4*1024*1024,A163*1024/(C143*C144))),1)+A163*1024*C147</f>
        <v/>
      </c>
      <c r="D163">
        <f>B163/C163</f>
        <v/>
      </c>
      <c r="E163" t="n">
        <v>4.58</v>
      </c>
      <c r="F163">
        <f>A163*1024/(C163*0.000001)/1000000000*C148</f>
        <v/>
      </c>
      <c r="G163">
        <f>E163/F163</f>
        <v/>
      </c>
    </row>
    <row r="164">
      <c r="A164" t="n">
        <v>4096</v>
      </c>
      <c r="B164" t="n">
        <v>840.8099999999999</v>
      </c>
      <c r="C164">
        <f>C149*CEILING(A164*1024/(C143*C144*MIN(4*1024*1024,A164*1024/(C143*C144))),1)+A164*1024*C147</f>
        <v/>
      </c>
      <c r="D164">
        <f>B164/C164</f>
        <v/>
      </c>
      <c r="E164" t="n">
        <v>8.73</v>
      </c>
      <c r="F164">
        <f>A164*1024/(C164*0.000001)/1000000000*C148</f>
        <v/>
      </c>
      <c r="G164">
        <f>E164/F164</f>
        <v/>
      </c>
    </row>
    <row r="165">
      <c r="A165" t="n">
        <v>8192</v>
      </c>
      <c r="B165" t="n">
        <v>915.2</v>
      </c>
      <c r="C165">
        <f>C149*CEILING(A165*1024/(C143*C144*MIN(4*1024*1024,A165*1024/(C143*C144))),1)+A165*1024*C147</f>
        <v/>
      </c>
      <c r="D165">
        <f>B165/C165</f>
        <v/>
      </c>
      <c r="E165" t="n">
        <v>16.04</v>
      </c>
      <c r="F165">
        <f>A165*1024/(C165*0.000001)/1000000000*C148</f>
        <v/>
      </c>
      <c r="G165">
        <f>E165/F165</f>
        <v/>
      </c>
    </row>
    <row r="166">
      <c r="A166" t="n">
        <v>16384</v>
      </c>
      <c r="B166" t="n">
        <v>982.73</v>
      </c>
      <c r="C166">
        <f>C149*CEILING(A166*1024/(C143*C144*MIN(4*1024*1024,A166*1024/(C143*C144))),1)+A166*1024*C147</f>
        <v/>
      </c>
      <c r="D166">
        <f>B166/C166</f>
        <v/>
      </c>
      <c r="E166" t="n">
        <v>29.88</v>
      </c>
      <c r="F166">
        <f>A166*1024/(C166*0.000001)/1000000000*C148</f>
        <v/>
      </c>
      <c r="G166">
        <f>E166/F166</f>
        <v/>
      </c>
    </row>
    <row r="167">
      <c r="A167" t="n">
        <v>32768</v>
      </c>
      <c r="B167" t="n">
        <v>1485.61</v>
      </c>
      <c r="C167">
        <f>C149*CEILING(A167*1024/(C143*C144*MIN(4*1024*1024,A167*1024/(C143*C144))),1)+A167*1024*C147</f>
        <v/>
      </c>
      <c r="D167">
        <f>B167/C167</f>
        <v/>
      </c>
      <c r="E167" t="n">
        <v>39.53</v>
      </c>
      <c r="F167">
        <f>A167*1024/(C167*0.000001)/1000000000*C148</f>
        <v/>
      </c>
      <c r="G167">
        <f>E167/F167</f>
        <v/>
      </c>
    </row>
    <row r="168">
      <c r="A168" t="n">
        <v>65536</v>
      </c>
      <c r="B168" t="n">
        <v>2712.89</v>
      </c>
      <c r="C168">
        <f>C149*CEILING(A168*1024/(C143*C144*MIN(4*1024*1024,A168*1024/(C143*C144))),1)+A168*1024*C147</f>
        <v/>
      </c>
      <c r="D168">
        <f>B168/C168</f>
        <v/>
      </c>
      <c r="E168" t="n">
        <v>43.29</v>
      </c>
      <c r="F168">
        <f>A168*1024/(C168*0.000001)/1000000000*C148</f>
        <v/>
      </c>
      <c r="G168">
        <f>E168/F168</f>
        <v/>
      </c>
    </row>
    <row r="169">
      <c r="A169" t="n">
        <v>131072</v>
      </c>
      <c r="B169" t="n">
        <v>5254.38</v>
      </c>
      <c r="C169">
        <f>C149*CEILING(A169*1024/(C143*C144*MIN(4*1024*1024,A169*1024/(C143*C144))),1)+A169*1024*C147</f>
        <v/>
      </c>
      <c r="D169">
        <f>B169/C169</f>
        <v/>
      </c>
      <c r="E169" t="n">
        <v>44.7</v>
      </c>
      <c r="F169">
        <f>A169*1024/(C169*0.000001)/1000000000*C148</f>
        <v/>
      </c>
      <c r="G169">
        <f>E169/F169</f>
        <v/>
      </c>
    </row>
    <row r="170">
      <c r="A170" t="n">
        <v>262144</v>
      </c>
      <c r="B170" t="n">
        <v>10331.4</v>
      </c>
      <c r="C170">
        <f>C149*CEILING(A170*1024/(C143*C144*MIN(4*1024*1024,A170*1024/(C143*C144))),1)+A170*1024*C147</f>
        <v/>
      </c>
      <c r="D170">
        <f>B170/C170</f>
        <v/>
      </c>
      <c r="E170" t="n">
        <v>45.47</v>
      </c>
      <c r="F170">
        <f>A170*1024/(C170*0.000001)/1000000000*C148</f>
        <v/>
      </c>
      <c r="G170">
        <f>E170/F170</f>
        <v/>
      </c>
    </row>
    <row r="171">
      <c r="A171" t="n">
        <v>524288</v>
      </c>
      <c r="B171" t="n">
        <v>20472.6</v>
      </c>
      <c r="C171">
        <f>C149*CEILING(A171*1024/(C143*C144*MIN(4*1024*1024,A171*1024/(C143*C144))),1)+A171*1024*C147</f>
        <v/>
      </c>
      <c r="D171">
        <f>B171/C171</f>
        <v/>
      </c>
      <c r="E171" t="n">
        <v>45.89</v>
      </c>
      <c r="F171">
        <f>A171*1024/(C171*0.000001)/1000000000*C148</f>
        <v/>
      </c>
      <c r="G171">
        <f>E171/F171</f>
        <v/>
      </c>
    </row>
    <row r="172">
      <c r="A172" t="n">
        <v>1048576</v>
      </c>
      <c r="B172" t="n">
        <v>40643.2</v>
      </c>
      <c r="C172">
        <f>C149*CEILING(A172*1024/(C143*C144*MIN(4*1024*1024,A172*1024/(C143*C144))),1)+A172*1024*C147</f>
        <v/>
      </c>
      <c r="D172">
        <f>B172/C172</f>
        <v/>
      </c>
      <c r="E172" t="n">
        <v>46.23</v>
      </c>
      <c r="F172">
        <f>A172*1024/(C172*0.000001)/1000000000*C148</f>
        <v/>
      </c>
      <c r="G172">
        <f>E172/F172</f>
        <v/>
      </c>
    </row>
    <row r="173">
      <c r="A173" t="n">
        <v>2097152</v>
      </c>
      <c r="B173" t="n">
        <v>81020.89999999999</v>
      </c>
      <c r="C173">
        <f>C149*CEILING(A173*1024/(C143*C144*MIN(4*1024*1024,A173*1024/(C143*C144))),1)+A173*1024*C147</f>
        <v/>
      </c>
      <c r="D173">
        <f>B173/C173</f>
        <v/>
      </c>
      <c r="E173" t="n">
        <v>46.38</v>
      </c>
      <c r="F173">
        <f>A173*1024/(C173*0.000001)/1000000000*C148</f>
        <v/>
      </c>
      <c r="G173">
        <f>E173/F173</f>
        <v/>
      </c>
    </row>
    <row r="174">
      <c r="A174" t="n">
        <v>4194304</v>
      </c>
      <c r="B174" t="n">
        <v>161758</v>
      </c>
      <c r="C174">
        <f>C149*CEILING(A174*1024/(C143*C144*MIN(4*1024*1024,A174*1024/(C143*C144))),1)+A174*1024*C147</f>
        <v/>
      </c>
      <c r="D174">
        <f>B174/C174</f>
        <v/>
      </c>
      <c r="E174" t="n">
        <v>46.47</v>
      </c>
      <c r="F174">
        <f>A174*1024/(C174*0.000001)/1000000000*C148</f>
        <v/>
      </c>
      <c r="G174">
        <f>E174/F174</f>
        <v/>
      </c>
    </row>
    <row r="175"/>
    <row r="176">
      <c r="A176" t="inlineStr">
        <is>
          <t>Nodes: 8, Protocol: LL, Channels: 1</t>
        </is>
      </c>
    </row>
    <row r="177">
      <c r="A177" t="inlineStr">
        <is>
          <t>Parameter</t>
        </is>
      </c>
      <c r="B177" t="inlineStr">
        <is>
          <t>Formula</t>
        </is>
      </c>
      <c r="C177" t="inlineStr">
        <is>
          <t>Value</t>
        </is>
      </c>
    </row>
    <row r="178">
      <c r="A178" t="inlineStr">
        <is>
          <t>n</t>
        </is>
      </c>
      <c r="B178" t="inlineStr">
        <is>
          <t>nodes on ring</t>
        </is>
      </c>
      <c r="C178" t="n">
        <v>8</v>
      </c>
    </row>
    <row r="179">
      <c r="A179" t="inlineStr">
        <is>
          <t>nch</t>
        </is>
      </c>
      <c r="B179" t="inlineStr">
        <is>
          <t>channels</t>
        </is>
      </c>
      <c r="C179" t="n">
        <v>1</v>
      </c>
    </row>
    <row r="180">
      <c r="A180" t="inlineStr">
        <is>
          <t>a</t>
        </is>
      </c>
      <c r="B180" t="inlineStr">
        <is>
          <t>RTT (us)</t>
        </is>
      </c>
      <c r="C180" t="n">
        <v>25.8107</v>
      </c>
    </row>
    <row r="181">
      <c r="A181" t="inlineStr">
        <is>
          <t>NIC_BW</t>
        </is>
      </c>
      <c r="B181" t="inlineStr">
        <is>
          <t>bytes/us</t>
        </is>
      </c>
      <c r="C181" t="n">
        <v>48750</v>
      </c>
    </row>
    <row r="182">
      <c r="A182" t="inlineStr">
        <is>
          <t>NIC_BW_single_efa</t>
        </is>
      </c>
      <c r="B182" t="inlineStr">
        <is>
          <t>50/2*1e3*0.975</t>
        </is>
      </c>
      <c r="C182" t="n">
        <v>24375</v>
      </c>
    </row>
    <row r="183">
      <c r="A183" t="inlineStr">
        <is>
          <t>chunk_size</t>
        </is>
      </c>
      <c r="B183" t="inlineStr">
        <is>
          <t>32KB (bytes)</t>
        </is>
      </c>
      <c r="C183" t="n">
        <v>32768</v>
      </c>
    </row>
    <row r="184">
      <c r="A184" t="inlineStr">
        <is>
          <t>G</t>
        </is>
      </c>
      <c r="B184" t="inlineStr">
        <is>
          <t>2*2*(n-1)/(n*NIC_BW)</t>
        </is>
      </c>
      <c r="C184">
        <f>2*2*(C178-1)/(C178*C181)</f>
        <v/>
      </c>
    </row>
    <row r="185">
      <c r="A185" t="inlineStr">
        <is>
          <t>busbw_factor</t>
        </is>
      </c>
      <c r="B185" t="inlineStr">
        <is>
          <t>2*(n-1)/n</t>
        </is>
      </c>
      <c r="C185">
        <f>2*(C178-1)/C178</f>
        <v/>
      </c>
    </row>
    <row r="186">
      <c r="A186" t="inlineStr">
        <is>
          <t>fixed_per_step</t>
        </is>
      </c>
      <c r="B186" t="inlineStr">
        <is>
          <t>2*(n-1)*a/2</t>
        </is>
      </c>
      <c r="C186">
        <f>2*(C178-1)*C180/2</f>
        <v/>
      </c>
    </row>
    <row r="187"/>
    <row r="188">
      <c r="A188" t="inlineStr">
        <is>
          <t>size_KB</t>
        </is>
      </c>
      <c r="B188" t="inlineStr">
        <is>
          <t>Actual Time (us)</t>
        </is>
      </c>
      <c r="C188" t="inlineStr">
        <is>
          <t>Roofline Time (us)</t>
        </is>
      </c>
      <c r="D188" t="inlineStr">
        <is>
          <t>Actual/Roofline</t>
        </is>
      </c>
      <c r="E188" t="inlineStr">
        <is>
          <t>Actual busBW (GB/s)</t>
        </is>
      </c>
      <c r="F188" t="inlineStr">
        <is>
          <t>Roofline busBW (GB/s)</t>
        </is>
      </c>
      <c r="G188" t="inlineStr">
        <is>
          <t>Meas/Roof busBW</t>
        </is>
      </c>
    </row>
    <row r="189">
      <c r="A189" t="n">
        <v>1</v>
      </c>
      <c r="B189" t="n">
        <v>199.19</v>
      </c>
      <c r="C189">
        <f>C186*CEILING(A189*1024/(C179*C183*C178),1)+A189*1024*C184</f>
        <v/>
      </c>
      <c r="D189">
        <f>B189/C189</f>
        <v/>
      </c>
      <c r="E189" t="n">
        <v>0.01</v>
      </c>
      <c r="F189">
        <f>A189*1024/(C189*0.000001)/1000000000*C185</f>
        <v/>
      </c>
      <c r="G189">
        <f>E189/F189</f>
        <v/>
      </c>
    </row>
    <row r="190">
      <c r="A190" t="n">
        <v>2</v>
      </c>
      <c r="B190" t="n">
        <v>199.61</v>
      </c>
      <c r="C190">
        <f>C186*CEILING(A190*1024/(C179*C183*C178),1)+A190*1024*C184</f>
        <v/>
      </c>
      <c r="D190">
        <f>B190/C190</f>
        <v/>
      </c>
      <c r="E190" t="n">
        <v>0.02</v>
      </c>
      <c r="F190">
        <f>A190*1024/(C190*0.000001)/1000000000*C185</f>
        <v/>
      </c>
      <c r="G190">
        <f>E190/F190</f>
        <v/>
      </c>
    </row>
    <row r="191">
      <c r="A191" t="n">
        <v>4</v>
      </c>
      <c r="B191" t="n">
        <v>200.56</v>
      </c>
      <c r="C191">
        <f>C186*CEILING(A191*1024/(C179*C183*C178),1)+A191*1024*C184</f>
        <v/>
      </c>
      <c r="D191">
        <f>B191/C191</f>
        <v/>
      </c>
      <c r="E191" t="n">
        <v>0.04</v>
      </c>
      <c r="F191">
        <f>A191*1024/(C191*0.000001)/1000000000*C185</f>
        <v/>
      </c>
      <c r="G191">
        <f>E191/F191</f>
        <v/>
      </c>
    </row>
    <row r="192">
      <c r="A192" t="n">
        <v>8</v>
      </c>
      <c r="B192" t="n">
        <v>203.39</v>
      </c>
      <c r="C192">
        <f>C186*CEILING(A192*1024/(C179*C183*C178),1)+A192*1024*C184</f>
        <v/>
      </c>
      <c r="D192">
        <f>B192/C192</f>
        <v/>
      </c>
      <c r="E192" t="n">
        <v>0.07000000000000001</v>
      </c>
      <c r="F192">
        <f>A192*1024/(C192*0.000001)/1000000000*C185</f>
        <v/>
      </c>
      <c r="G192">
        <f>E192/F192</f>
        <v/>
      </c>
    </row>
    <row r="193">
      <c r="A193" t="n">
        <v>16</v>
      </c>
      <c r="B193" t="n">
        <v>213</v>
      </c>
      <c r="C193">
        <f>C186*CEILING(A193*1024/(C179*C183*C178),1)+A193*1024*C184</f>
        <v/>
      </c>
      <c r="D193">
        <f>B193/C193</f>
        <v/>
      </c>
      <c r="E193" t="n">
        <v>0.13</v>
      </c>
      <c r="F193">
        <f>A193*1024/(C193*0.000001)/1000000000*C185</f>
        <v/>
      </c>
      <c r="G193">
        <f>E193/F193</f>
        <v/>
      </c>
    </row>
    <row r="194">
      <c r="A194" t="n">
        <v>32</v>
      </c>
      <c r="B194" t="n">
        <v>238.77</v>
      </c>
      <c r="C194">
        <f>C186*CEILING(A194*1024/(C179*C183*C178),1)+A194*1024*C184</f>
        <v/>
      </c>
      <c r="D194">
        <f>B194/C194</f>
        <v/>
      </c>
      <c r="E194" t="n">
        <v>0.24</v>
      </c>
      <c r="F194">
        <f>A194*1024/(C194*0.000001)/1000000000*C185</f>
        <v/>
      </c>
      <c r="G194">
        <f>E194/F194</f>
        <v/>
      </c>
    </row>
    <row r="195">
      <c r="A195" t="n">
        <v>64</v>
      </c>
      <c r="B195" t="n">
        <v>258.19</v>
      </c>
      <c r="C195">
        <f>C186*CEILING(A195*1024/(C179*C183*C178),1)+A195*1024*C184</f>
        <v/>
      </c>
      <c r="D195">
        <f>B195/C195</f>
        <v/>
      </c>
      <c r="E195" t="n">
        <v>0.44</v>
      </c>
      <c r="F195">
        <f>A195*1024/(C195*0.000001)/1000000000*C185</f>
        <v/>
      </c>
      <c r="G195">
        <f>E195/F195</f>
        <v/>
      </c>
    </row>
    <row r="196">
      <c r="A196" t="n">
        <v>128</v>
      </c>
      <c r="B196" t="n">
        <v>286.72</v>
      </c>
      <c r="C196">
        <f>C186*CEILING(A196*1024/(C179*C183*C178),1)+A196*1024*C184</f>
        <v/>
      </c>
      <c r="D196">
        <f>B196/C196</f>
        <v/>
      </c>
      <c r="E196" t="n">
        <v>0.8</v>
      </c>
      <c r="F196">
        <f>A196*1024/(C196*0.000001)/1000000000*C185</f>
        <v/>
      </c>
      <c r="G196">
        <f>E196/F196</f>
        <v/>
      </c>
    </row>
    <row r="197">
      <c r="A197" t="n">
        <v>256</v>
      </c>
      <c r="B197" t="n">
        <v>345.2</v>
      </c>
      <c r="C197">
        <f>C186*CEILING(A197*1024/(C179*C183*C178),1)+A197*1024*C184</f>
        <v/>
      </c>
      <c r="D197">
        <f>B197/C197</f>
        <v/>
      </c>
      <c r="E197" t="n">
        <v>1.33</v>
      </c>
      <c r="F197">
        <f>A197*1024/(C197*0.000001)/1000000000*C185</f>
        <v/>
      </c>
      <c r="G197">
        <f>E197/F197</f>
        <v/>
      </c>
    </row>
    <row r="198">
      <c r="A198" t="n">
        <v>512</v>
      </c>
      <c r="B198" t="n">
        <v>684.04</v>
      </c>
      <c r="C198">
        <f>C186*CEILING(A198*1024/(C179*C183*C178),1)+A198*1024*C184</f>
        <v/>
      </c>
      <c r="D198">
        <f>B198/C198</f>
        <v/>
      </c>
      <c r="E198" t="n">
        <v>1.34</v>
      </c>
      <c r="F198">
        <f>A198*1024/(C198*0.000001)/1000000000*C185</f>
        <v/>
      </c>
      <c r="G198">
        <f>E198/F198</f>
        <v/>
      </c>
    </row>
    <row r="199">
      <c r="A199" t="n">
        <v>1024</v>
      </c>
      <c r="B199" t="n">
        <v>1356.32</v>
      </c>
      <c r="C199">
        <f>C186*CEILING(A199*1024/(C179*C183*C178),1)+A199*1024*C184</f>
        <v/>
      </c>
      <c r="D199">
        <f>B199/C199</f>
        <v/>
      </c>
      <c r="E199" t="n">
        <v>1.35</v>
      </c>
      <c r="F199">
        <f>A199*1024/(C199*0.000001)/1000000000*C185</f>
        <v/>
      </c>
      <c r="G199">
        <f>E199/F199</f>
        <v/>
      </c>
    </row>
    <row r="200">
      <c r="A200" t="n">
        <v>2048</v>
      </c>
      <c r="B200" t="n">
        <v>2702.06</v>
      </c>
      <c r="C200">
        <f>C186*CEILING(A200*1024/(C179*C183*C178),1)+A200*1024*C184</f>
        <v/>
      </c>
      <c r="D200">
        <f>B200/C200</f>
        <v/>
      </c>
      <c r="E200" t="n">
        <v>1.36</v>
      </c>
      <c r="F200">
        <f>A200*1024/(C200*0.000001)/1000000000*C185</f>
        <v/>
      </c>
      <c r="G200">
        <f>E200/F200</f>
        <v/>
      </c>
    </row>
    <row r="201">
      <c r="A201" t="n">
        <v>4096</v>
      </c>
      <c r="B201" t="n">
        <v>5391.92</v>
      </c>
      <c r="C201">
        <f>C186*CEILING(A201*1024/(C179*C183*C178),1)+A201*1024*C184</f>
        <v/>
      </c>
      <c r="D201">
        <f>B201/C201</f>
        <v/>
      </c>
      <c r="E201" t="n">
        <v>1.36</v>
      </c>
      <c r="F201">
        <f>A201*1024/(C201*0.000001)/1000000000*C185</f>
        <v/>
      </c>
      <c r="G201">
        <f>E201/F201</f>
        <v/>
      </c>
    </row>
    <row r="202">
      <c r="A202" t="n">
        <v>8192</v>
      </c>
      <c r="B202" t="n">
        <v>10771.6</v>
      </c>
      <c r="C202">
        <f>C186*CEILING(A202*1024/(C179*C183*C178),1)+A202*1024*C184</f>
        <v/>
      </c>
      <c r="D202">
        <f>B202/C202</f>
        <v/>
      </c>
      <c r="E202" t="n">
        <v>1.36</v>
      </c>
      <c r="F202">
        <f>A202*1024/(C202*0.000001)/1000000000*C185</f>
        <v/>
      </c>
      <c r="G202">
        <f>E202/F202</f>
        <v/>
      </c>
    </row>
    <row r="203">
      <c r="A203" t="n">
        <v>16384</v>
      </c>
      <c r="B203" t="n">
        <v>21545.7</v>
      </c>
      <c r="C203">
        <f>C186*CEILING(A203*1024/(C179*C183*C178),1)+A203*1024*C184</f>
        <v/>
      </c>
      <c r="D203">
        <f>B203/C203</f>
        <v/>
      </c>
      <c r="E203" t="n">
        <v>1.36</v>
      </c>
      <c r="F203">
        <f>A203*1024/(C203*0.000001)/1000000000*C185</f>
        <v/>
      </c>
      <c r="G203">
        <f>E203/F203</f>
        <v/>
      </c>
    </row>
    <row r="204">
      <c r="A204" t="n">
        <v>32768</v>
      </c>
      <c r="B204" t="n">
        <v>43030.8</v>
      </c>
      <c r="C204">
        <f>C186*CEILING(A204*1024/(C179*C183*C178),1)+A204*1024*C184</f>
        <v/>
      </c>
      <c r="D204">
        <f>B204/C204</f>
        <v/>
      </c>
      <c r="E204" t="n">
        <v>1.36</v>
      </c>
      <c r="F204">
        <f>A204*1024/(C204*0.000001)/1000000000*C185</f>
        <v/>
      </c>
      <c r="G204">
        <f>E204/F204</f>
        <v/>
      </c>
    </row>
    <row r="205">
      <c r="A205" t="n">
        <v>65536</v>
      </c>
      <c r="B205" t="n">
        <v>86034.3</v>
      </c>
      <c r="C205">
        <f>C186*CEILING(A205*1024/(C179*C183*C178),1)+A205*1024*C184</f>
        <v/>
      </c>
      <c r="D205">
        <f>B205/C205</f>
        <v/>
      </c>
      <c r="E205" t="n">
        <v>1.37</v>
      </c>
      <c r="F205">
        <f>A205*1024/(C205*0.000001)/1000000000*C185</f>
        <v/>
      </c>
      <c r="G205">
        <f>E205/F205</f>
        <v/>
      </c>
    </row>
    <row r="206">
      <c r="A206" t="n">
        <v>131072</v>
      </c>
      <c r="B206" t="n">
        <v>172162</v>
      </c>
      <c r="C206">
        <f>C186*CEILING(A206*1024/(C179*C183*C178),1)+A206*1024*C184</f>
        <v/>
      </c>
      <c r="D206">
        <f>B206/C206</f>
        <v/>
      </c>
      <c r="E206" t="n">
        <v>1.36</v>
      </c>
      <c r="F206">
        <f>A206*1024/(C206*0.000001)/1000000000*C185</f>
        <v/>
      </c>
      <c r="G206">
        <f>E206/F206</f>
        <v/>
      </c>
    </row>
    <row r="207">
      <c r="A207" t="n">
        <v>262144</v>
      </c>
      <c r="B207" t="n">
        <v>344278</v>
      </c>
      <c r="C207">
        <f>C186*CEILING(A207*1024/(C179*C183*C178),1)+A207*1024*C184</f>
        <v/>
      </c>
      <c r="D207">
        <f>B207/C207</f>
        <v/>
      </c>
      <c r="E207" t="n">
        <v>1.36</v>
      </c>
      <c r="F207">
        <f>A207*1024/(C207*0.000001)/1000000000*C185</f>
        <v/>
      </c>
      <c r="G207">
        <f>E207/F207</f>
        <v/>
      </c>
    </row>
    <row r="208">
      <c r="A208" t="n">
        <v>524288</v>
      </c>
      <c r="B208" t="n">
        <v>688088</v>
      </c>
      <c r="C208">
        <f>C186*CEILING(A208*1024/(C179*C183*C178),1)+A208*1024*C184</f>
        <v/>
      </c>
      <c r="D208">
        <f>B208/C208</f>
        <v/>
      </c>
      <c r="E208" t="n">
        <v>1.37</v>
      </c>
      <c r="F208">
        <f>A208*1024/(C208*0.000001)/1000000000*C185</f>
        <v/>
      </c>
      <c r="G208">
        <f>E208/F208</f>
        <v/>
      </c>
    </row>
    <row r="209">
      <c r="A209" t="n">
        <v>1048576</v>
      </c>
      <c r="B209" t="n">
        <v>1378437</v>
      </c>
      <c r="C209">
        <f>C186*CEILING(A209*1024/(C179*C183*C178),1)+A209*1024*C184</f>
        <v/>
      </c>
      <c r="D209">
        <f>B209/C209</f>
        <v/>
      </c>
      <c r="E209" t="n">
        <v>1.36</v>
      </c>
      <c r="F209">
        <f>A209*1024/(C209*0.000001)/1000000000*C185</f>
        <v/>
      </c>
      <c r="G209">
        <f>E209/F209</f>
        <v/>
      </c>
    </row>
    <row r="210"/>
    <row r="211">
      <c r="A211" t="inlineStr">
        <is>
          <t>Nodes: 8, Protocol: LL, Channels: 2</t>
        </is>
      </c>
    </row>
    <row r="212">
      <c r="A212" t="inlineStr">
        <is>
          <t>Parameter</t>
        </is>
      </c>
      <c r="B212" t="inlineStr">
        <is>
          <t>Formula</t>
        </is>
      </c>
      <c r="C212" t="inlineStr">
        <is>
          <t>Value</t>
        </is>
      </c>
    </row>
    <row r="213">
      <c r="A213" t="inlineStr">
        <is>
          <t>n</t>
        </is>
      </c>
      <c r="B213" t="inlineStr">
        <is>
          <t>nodes on ring</t>
        </is>
      </c>
      <c r="C213" t="n">
        <v>8</v>
      </c>
    </row>
    <row r="214">
      <c r="A214" t="inlineStr">
        <is>
          <t>nch</t>
        </is>
      </c>
      <c r="B214" t="inlineStr">
        <is>
          <t>channels</t>
        </is>
      </c>
      <c r="C214" t="n">
        <v>2</v>
      </c>
    </row>
    <row r="215">
      <c r="A215" t="inlineStr">
        <is>
          <t>a</t>
        </is>
      </c>
      <c r="B215" t="inlineStr">
        <is>
          <t>RTT (us)</t>
        </is>
      </c>
      <c r="C215" t="n">
        <v>25.8107</v>
      </c>
    </row>
    <row r="216">
      <c r="A216" t="inlineStr">
        <is>
          <t>NIC_BW</t>
        </is>
      </c>
      <c r="B216" t="inlineStr">
        <is>
          <t>bytes/us</t>
        </is>
      </c>
      <c r="C216" t="n">
        <v>48750</v>
      </c>
    </row>
    <row r="217">
      <c r="A217" t="inlineStr">
        <is>
          <t>NIC_BW_single_efa</t>
        </is>
      </c>
      <c r="B217" t="inlineStr">
        <is>
          <t>50/2*1e3*0.975</t>
        </is>
      </c>
      <c r="C217" t="n">
        <v>24375</v>
      </c>
    </row>
    <row r="218">
      <c r="A218" t="inlineStr">
        <is>
          <t>chunk_size</t>
        </is>
      </c>
      <c r="B218" t="inlineStr">
        <is>
          <t>32KB (bytes)</t>
        </is>
      </c>
      <c r="C218" t="n">
        <v>32768</v>
      </c>
    </row>
    <row r="219">
      <c r="A219" t="inlineStr">
        <is>
          <t>G</t>
        </is>
      </c>
      <c r="B219" t="inlineStr">
        <is>
          <t>2*2*(n-1)/(n*NIC_BW)</t>
        </is>
      </c>
      <c r="C219">
        <f>2*2*(C213-1)/(C213*C216)</f>
        <v/>
      </c>
    </row>
    <row r="220">
      <c r="A220" t="inlineStr">
        <is>
          <t>busbw_factor</t>
        </is>
      </c>
      <c r="B220" t="inlineStr">
        <is>
          <t>2*(n-1)/n</t>
        </is>
      </c>
      <c r="C220">
        <f>2*(C213-1)/C213</f>
        <v/>
      </c>
    </row>
    <row r="221">
      <c r="A221" t="inlineStr">
        <is>
          <t>fixed_per_step</t>
        </is>
      </c>
      <c r="B221" t="inlineStr">
        <is>
          <t>2*(n-1)*a/2</t>
        </is>
      </c>
      <c r="C221">
        <f>2*(C213-1)*C215/2</f>
        <v/>
      </c>
    </row>
    <row r="222"/>
    <row r="223">
      <c r="A223" t="inlineStr">
        <is>
          <t>size_KB</t>
        </is>
      </c>
      <c r="B223" t="inlineStr">
        <is>
          <t>Actual Time (us)</t>
        </is>
      </c>
      <c r="C223" t="inlineStr">
        <is>
          <t>Roofline Time (us)</t>
        </is>
      </c>
      <c r="D223" t="inlineStr">
        <is>
          <t>Actual/Roofline</t>
        </is>
      </c>
      <c r="E223" t="inlineStr">
        <is>
          <t>Actual busBW (GB/s)</t>
        </is>
      </c>
      <c r="F223" t="inlineStr">
        <is>
          <t>Roofline busBW (GB/s)</t>
        </is>
      </c>
      <c r="G223" t="inlineStr">
        <is>
          <t>Meas/Roof busBW</t>
        </is>
      </c>
    </row>
    <row r="224">
      <c r="A224" t="n">
        <v>1</v>
      </c>
      <c r="B224" t="n">
        <v>198.16</v>
      </c>
      <c r="C224">
        <f>C221*CEILING(A224*1024/(C214*C218*C213),1)+A224*1024*C219</f>
        <v/>
      </c>
      <c r="D224">
        <f>B224/C224</f>
        <v/>
      </c>
      <c r="E224" t="n">
        <v>0.01</v>
      </c>
      <c r="F224">
        <f>A224*1024/(C224*0.000001)/1000000000*C220</f>
        <v/>
      </c>
      <c r="G224">
        <f>E224/F224</f>
        <v/>
      </c>
    </row>
    <row r="225">
      <c r="A225" t="n">
        <v>2</v>
      </c>
      <c r="B225" t="n">
        <v>201.41</v>
      </c>
      <c r="C225">
        <f>C221*CEILING(A225*1024/(C214*C218*C213),1)+A225*1024*C219</f>
        <v/>
      </c>
      <c r="D225">
        <f>B225/C225</f>
        <v/>
      </c>
      <c r="E225" t="n">
        <v>0.02</v>
      </c>
      <c r="F225">
        <f>A225*1024/(C225*0.000001)/1000000000*C220</f>
        <v/>
      </c>
      <c r="G225">
        <f>E225/F225</f>
        <v/>
      </c>
    </row>
    <row r="226">
      <c r="A226" t="n">
        <v>4</v>
      </c>
      <c r="B226" t="n">
        <v>200.73</v>
      </c>
      <c r="C226">
        <f>C221*CEILING(A226*1024/(C214*C218*C213),1)+A226*1024*C219</f>
        <v/>
      </c>
      <c r="D226">
        <f>B226/C226</f>
        <v/>
      </c>
      <c r="E226" t="n">
        <v>0.04</v>
      </c>
      <c r="F226">
        <f>A226*1024/(C226*0.000001)/1000000000*C220</f>
        <v/>
      </c>
      <c r="G226">
        <f>E226/F226</f>
        <v/>
      </c>
    </row>
    <row r="227">
      <c r="A227" t="n">
        <v>8</v>
      </c>
      <c r="B227" t="n">
        <v>205.27</v>
      </c>
      <c r="C227">
        <f>C221*CEILING(A227*1024/(C214*C218*C213),1)+A227*1024*C219</f>
        <v/>
      </c>
      <c r="D227">
        <f>B227/C227</f>
        <v/>
      </c>
      <c r="E227" t="n">
        <v>0.07000000000000001</v>
      </c>
      <c r="F227">
        <f>A227*1024/(C227*0.000001)/1000000000*C220</f>
        <v/>
      </c>
      <c r="G227">
        <f>E227/F227</f>
        <v/>
      </c>
    </row>
    <row r="228">
      <c r="A228" t="n">
        <v>16</v>
      </c>
      <c r="B228" t="n">
        <v>213.26</v>
      </c>
      <c r="C228">
        <f>C221*CEILING(A228*1024/(C214*C218*C213),1)+A228*1024*C219</f>
        <v/>
      </c>
      <c r="D228">
        <f>B228/C228</f>
        <v/>
      </c>
      <c r="E228" t="n">
        <v>0.13</v>
      </c>
      <c r="F228">
        <f>A228*1024/(C228*0.000001)/1000000000*C220</f>
        <v/>
      </c>
      <c r="G228">
        <f>E228/F228</f>
        <v/>
      </c>
    </row>
    <row r="229">
      <c r="A229" t="n">
        <v>32</v>
      </c>
      <c r="B229" t="n">
        <v>238.91</v>
      </c>
      <c r="C229">
        <f>C221*CEILING(A229*1024/(C214*C218*C213),1)+A229*1024*C219</f>
        <v/>
      </c>
      <c r="D229">
        <f>B229/C229</f>
        <v/>
      </c>
      <c r="E229" t="n">
        <v>0.24</v>
      </c>
      <c r="F229">
        <f>A229*1024/(C229*0.000001)/1000000000*C220</f>
        <v/>
      </c>
      <c r="G229">
        <f>E229/F229</f>
        <v/>
      </c>
    </row>
    <row r="230">
      <c r="A230" t="n">
        <v>64</v>
      </c>
      <c r="B230" t="n">
        <v>244.09</v>
      </c>
      <c r="C230">
        <f>C221*CEILING(A230*1024/(C214*C218*C213),1)+A230*1024*C219</f>
        <v/>
      </c>
      <c r="D230">
        <f>B230/C230</f>
        <v/>
      </c>
      <c r="E230" t="n">
        <v>0.47</v>
      </c>
      <c r="F230">
        <f>A230*1024/(C230*0.000001)/1000000000*C220</f>
        <v/>
      </c>
      <c r="G230">
        <f>E230/F230</f>
        <v/>
      </c>
    </row>
    <row r="231">
      <c r="A231" t="n">
        <v>128</v>
      </c>
      <c r="B231" t="n">
        <v>264.76</v>
      </c>
      <c r="C231">
        <f>C221*CEILING(A231*1024/(C214*C218*C213),1)+A231*1024*C219</f>
        <v/>
      </c>
      <c r="D231">
        <f>B231/C231</f>
        <v/>
      </c>
      <c r="E231" t="n">
        <v>0.87</v>
      </c>
      <c r="F231">
        <f>A231*1024/(C231*0.000001)/1000000000*C220</f>
        <v/>
      </c>
      <c r="G231">
        <f>E231/F231</f>
        <v/>
      </c>
    </row>
    <row r="232">
      <c r="A232" t="n">
        <v>256</v>
      </c>
      <c r="B232" t="n">
        <v>300.5</v>
      </c>
      <c r="C232">
        <f>C221*CEILING(A232*1024/(C214*C218*C213),1)+A232*1024*C219</f>
        <v/>
      </c>
      <c r="D232">
        <f>B232/C232</f>
        <v/>
      </c>
      <c r="E232" t="n">
        <v>1.53</v>
      </c>
      <c r="F232">
        <f>A232*1024/(C232*0.000001)/1000000000*C220</f>
        <v/>
      </c>
      <c r="G232">
        <f>E232/F232</f>
        <v/>
      </c>
    </row>
    <row r="233">
      <c r="A233" t="n">
        <v>512</v>
      </c>
      <c r="B233" t="n">
        <v>374.32</v>
      </c>
      <c r="C233">
        <f>C221*CEILING(A233*1024/(C214*C218*C213),1)+A233*1024*C219</f>
        <v/>
      </c>
      <c r="D233">
        <f>B233/C233</f>
        <v/>
      </c>
      <c r="E233" t="n">
        <v>2.45</v>
      </c>
      <c r="F233">
        <f>A233*1024/(C233*0.000001)/1000000000*C220</f>
        <v/>
      </c>
      <c r="G233">
        <f>E233/F233</f>
        <v/>
      </c>
    </row>
    <row r="234">
      <c r="A234" t="n">
        <v>1024</v>
      </c>
      <c r="B234" t="n">
        <v>728.8</v>
      </c>
      <c r="C234">
        <f>C221*CEILING(A234*1024/(C214*C218*C213),1)+A234*1024*C219</f>
        <v/>
      </c>
      <c r="D234">
        <f>B234/C234</f>
        <v/>
      </c>
      <c r="E234" t="n">
        <v>2.52</v>
      </c>
      <c r="F234">
        <f>A234*1024/(C234*0.000001)/1000000000*C220</f>
        <v/>
      </c>
      <c r="G234">
        <f>E234/F234</f>
        <v/>
      </c>
    </row>
    <row r="235">
      <c r="A235" t="n">
        <v>2048</v>
      </c>
      <c r="B235" t="n">
        <v>1439.95</v>
      </c>
      <c r="C235">
        <f>C221*CEILING(A235*1024/(C214*C218*C213),1)+A235*1024*C219</f>
        <v/>
      </c>
      <c r="D235">
        <f>B235/C235</f>
        <v/>
      </c>
      <c r="E235" t="n">
        <v>2.55</v>
      </c>
      <c r="F235">
        <f>A235*1024/(C235*0.000001)/1000000000*C220</f>
        <v/>
      </c>
      <c r="G235">
        <f>E235/F235</f>
        <v/>
      </c>
    </row>
    <row r="236">
      <c r="A236" t="n">
        <v>4096</v>
      </c>
      <c r="B236" t="n">
        <v>2849.45</v>
      </c>
      <c r="C236">
        <f>C221*CEILING(A236*1024/(C214*C218*C213),1)+A236*1024*C219</f>
        <v/>
      </c>
      <c r="D236">
        <f>B236/C236</f>
        <v/>
      </c>
      <c r="E236" t="n">
        <v>2.58</v>
      </c>
      <c r="F236">
        <f>A236*1024/(C236*0.000001)/1000000000*C220</f>
        <v/>
      </c>
      <c r="G236">
        <f>E236/F236</f>
        <v/>
      </c>
    </row>
    <row r="237">
      <c r="A237" t="n">
        <v>8192</v>
      </c>
      <c r="B237" t="n">
        <v>5671.26</v>
      </c>
      <c r="C237">
        <f>C221*CEILING(A237*1024/(C214*C218*C213),1)+A237*1024*C219</f>
        <v/>
      </c>
      <c r="D237">
        <f>B237/C237</f>
        <v/>
      </c>
      <c r="E237" t="n">
        <v>2.59</v>
      </c>
      <c r="F237">
        <f>A237*1024/(C237*0.000001)/1000000000*C220</f>
        <v/>
      </c>
      <c r="G237">
        <f>E237/F237</f>
        <v/>
      </c>
    </row>
    <row r="238">
      <c r="A238" t="n">
        <v>16384</v>
      </c>
      <c r="B238" t="n">
        <v>11329</v>
      </c>
      <c r="C238">
        <f>C221*CEILING(A238*1024/(C214*C218*C213),1)+A238*1024*C219</f>
        <v/>
      </c>
      <c r="D238">
        <f>B238/C238</f>
        <v/>
      </c>
      <c r="E238" t="n">
        <v>2.59</v>
      </c>
      <c r="F238">
        <f>A238*1024/(C238*0.000001)/1000000000*C220</f>
        <v/>
      </c>
      <c r="G238">
        <f>E238/F238</f>
        <v/>
      </c>
    </row>
    <row r="239">
      <c r="A239" t="n">
        <v>32768</v>
      </c>
      <c r="B239" t="n">
        <v>22633.8</v>
      </c>
      <c r="C239">
        <f>C221*CEILING(A239*1024/(C214*C218*C213),1)+A239*1024*C219</f>
        <v/>
      </c>
      <c r="D239">
        <f>B239/C239</f>
        <v/>
      </c>
      <c r="E239" t="n">
        <v>2.59</v>
      </c>
      <c r="F239">
        <f>A239*1024/(C239*0.000001)/1000000000*C220</f>
        <v/>
      </c>
      <c r="G239">
        <f>E239/F239</f>
        <v/>
      </c>
    </row>
    <row r="240">
      <c r="A240" t="n">
        <v>65536</v>
      </c>
      <c r="B240" t="n">
        <v>45337.1</v>
      </c>
      <c r="C240">
        <f>C221*CEILING(A240*1024/(C214*C218*C213),1)+A240*1024*C219</f>
        <v/>
      </c>
      <c r="D240">
        <f>B240/C240</f>
        <v/>
      </c>
      <c r="E240" t="n">
        <v>2.59</v>
      </c>
      <c r="F240">
        <f>A240*1024/(C240*0.000001)/1000000000*C220</f>
        <v/>
      </c>
      <c r="G240">
        <f>E240/F240</f>
        <v/>
      </c>
    </row>
    <row r="241">
      <c r="A241" t="n">
        <v>131072</v>
      </c>
      <c r="B241" t="n">
        <v>90499.2</v>
      </c>
      <c r="C241">
        <f>C221*CEILING(A241*1024/(C214*C218*C213),1)+A241*1024*C219</f>
        <v/>
      </c>
      <c r="D241">
        <f>B241/C241</f>
        <v/>
      </c>
      <c r="E241" t="n">
        <v>2.6</v>
      </c>
      <c r="F241">
        <f>A241*1024/(C241*0.000001)/1000000000*C220</f>
        <v/>
      </c>
      <c r="G241">
        <f>E241/F241</f>
        <v/>
      </c>
    </row>
    <row r="242">
      <c r="A242" t="n">
        <v>262144</v>
      </c>
      <c r="B242" t="n">
        <v>181061</v>
      </c>
      <c r="C242">
        <f>C221*CEILING(A242*1024/(C214*C218*C213),1)+A242*1024*C219</f>
        <v/>
      </c>
      <c r="D242">
        <f>B242/C242</f>
        <v/>
      </c>
      <c r="E242" t="n">
        <v>2.59</v>
      </c>
      <c r="F242">
        <f>A242*1024/(C242*0.000001)/1000000000*C220</f>
        <v/>
      </c>
      <c r="G242">
        <f>E242/F242</f>
        <v/>
      </c>
    </row>
    <row r="243">
      <c r="A243" t="n">
        <v>524288</v>
      </c>
      <c r="B243" t="n">
        <v>362184</v>
      </c>
      <c r="C243">
        <f>C221*CEILING(A243*1024/(C214*C218*C213),1)+A243*1024*C219</f>
        <v/>
      </c>
      <c r="D243">
        <f>B243/C243</f>
        <v/>
      </c>
      <c r="E243" t="n">
        <v>2.59</v>
      </c>
      <c r="F243">
        <f>A243*1024/(C243*0.000001)/1000000000*C220</f>
        <v/>
      </c>
      <c r="G243">
        <f>E243/F243</f>
        <v/>
      </c>
    </row>
    <row r="244">
      <c r="A244" t="n">
        <v>1048576</v>
      </c>
      <c r="B244" t="n">
        <v>724360</v>
      </c>
      <c r="C244">
        <f>C221*CEILING(A244*1024/(C214*C218*C213),1)+A244*1024*C219</f>
        <v/>
      </c>
      <c r="D244">
        <f>B244/C244</f>
        <v/>
      </c>
      <c r="E244" t="n">
        <v>2.59</v>
      </c>
      <c r="F244">
        <f>A244*1024/(C244*0.000001)/1000000000*C220</f>
        <v/>
      </c>
      <c r="G244">
        <f>E244/F244</f>
        <v/>
      </c>
    </row>
    <row r="245"/>
    <row r="246">
      <c r="A246" t="inlineStr">
        <is>
          <t>Nodes: 8, Protocol: LL, Channels: 4</t>
        </is>
      </c>
    </row>
    <row r="247">
      <c r="A247" t="inlineStr">
        <is>
          <t>Parameter</t>
        </is>
      </c>
      <c r="B247" t="inlineStr">
        <is>
          <t>Formula</t>
        </is>
      </c>
      <c r="C247" t="inlineStr">
        <is>
          <t>Value</t>
        </is>
      </c>
    </row>
    <row r="248">
      <c r="A248" t="inlineStr">
        <is>
          <t>n</t>
        </is>
      </c>
      <c r="B248" t="inlineStr">
        <is>
          <t>nodes on ring</t>
        </is>
      </c>
      <c r="C248" t="n">
        <v>8</v>
      </c>
    </row>
    <row r="249">
      <c r="A249" t="inlineStr">
        <is>
          <t>nch</t>
        </is>
      </c>
      <c r="B249" t="inlineStr">
        <is>
          <t>channels</t>
        </is>
      </c>
      <c r="C249" t="n">
        <v>4</v>
      </c>
    </row>
    <row r="250">
      <c r="A250" t="inlineStr">
        <is>
          <t>a</t>
        </is>
      </c>
      <c r="B250" t="inlineStr">
        <is>
          <t>RTT (us)</t>
        </is>
      </c>
      <c r="C250" t="n">
        <v>25.8107</v>
      </c>
    </row>
    <row r="251">
      <c r="A251" t="inlineStr">
        <is>
          <t>NIC_BW</t>
        </is>
      </c>
      <c r="B251" t="inlineStr">
        <is>
          <t>bytes/us</t>
        </is>
      </c>
      <c r="C251" t="n">
        <v>48750</v>
      </c>
    </row>
    <row r="252">
      <c r="A252" t="inlineStr">
        <is>
          <t>NIC_BW_single_efa</t>
        </is>
      </c>
      <c r="B252" t="inlineStr">
        <is>
          <t>50/2*1e3*0.975</t>
        </is>
      </c>
      <c r="C252" t="n">
        <v>24375</v>
      </c>
    </row>
    <row r="253">
      <c r="A253" t="inlineStr">
        <is>
          <t>chunk_size</t>
        </is>
      </c>
      <c r="B253" t="inlineStr">
        <is>
          <t>32KB (bytes)</t>
        </is>
      </c>
      <c r="C253" t="n">
        <v>32768</v>
      </c>
    </row>
    <row r="254">
      <c r="A254" t="inlineStr">
        <is>
          <t>G</t>
        </is>
      </c>
      <c r="B254" t="inlineStr">
        <is>
          <t>2*2*(n-1)/(n*NIC_BW)</t>
        </is>
      </c>
      <c r="C254">
        <f>2*2*(C248-1)/(C248*C251)</f>
        <v/>
      </c>
    </row>
    <row r="255">
      <c r="A255" t="inlineStr">
        <is>
          <t>busbw_factor</t>
        </is>
      </c>
      <c r="B255" t="inlineStr">
        <is>
          <t>2*(n-1)/n</t>
        </is>
      </c>
      <c r="C255">
        <f>2*(C248-1)/C248</f>
        <v/>
      </c>
    </row>
    <row r="256">
      <c r="A256" t="inlineStr">
        <is>
          <t>fixed_per_step</t>
        </is>
      </c>
      <c r="B256" t="inlineStr">
        <is>
          <t>2*(n-1)*a/2</t>
        </is>
      </c>
      <c r="C256">
        <f>2*(C248-1)*C250/2</f>
        <v/>
      </c>
    </row>
    <row r="257"/>
    <row r="258">
      <c r="A258" t="inlineStr">
        <is>
          <t>size_KB</t>
        </is>
      </c>
      <c r="B258" t="inlineStr">
        <is>
          <t>Actual Time (us)</t>
        </is>
      </c>
      <c r="C258" t="inlineStr">
        <is>
          <t>Roofline Time (us)</t>
        </is>
      </c>
      <c r="D258" t="inlineStr">
        <is>
          <t>Actual/Roofline</t>
        </is>
      </c>
      <c r="E258" t="inlineStr">
        <is>
          <t>Actual busBW (GB/s)</t>
        </is>
      </c>
      <c r="F258" t="inlineStr">
        <is>
          <t>Roofline busBW (GB/s)</t>
        </is>
      </c>
      <c r="G258" t="inlineStr">
        <is>
          <t>Meas/Roof busBW</t>
        </is>
      </c>
    </row>
    <row r="259">
      <c r="A259" t="n">
        <v>1</v>
      </c>
      <c r="B259" t="n">
        <v>198.38</v>
      </c>
      <c r="C259">
        <f>C256*CEILING(A259*1024/(C249*C253*C248),1)+A259*1024*C254</f>
        <v/>
      </c>
      <c r="D259">
        <f>B259/C259</f>
        <v/>
      </c>
      <c r="E259" t="n">
        <v>0.01</v>
      </c>
      <c r="F259">
        <f>A259*1024/(C259*0.000001)/1000000000*C255</f>
        <v/>
      </c>
      <c r="G259">
        <f>E259/F259</f>
        <v/>
      </c>
    </row>
    <row r="260">
      <c r="A260" t="n">
        <v>2</v>
      </c>
      <c r="B260" t="n">
        <v>198.44</v>
      </c>
      <c r="C260">
        <f>C256*CEILING(A260*1024/(C249*C253*C248),1)+A260*1024*C254</f>
        <v/>
      </c>
      <c r="D260">
        <f>B260/C260</f>
        <v/>
      </c>
      <c r="E260" t="n">
        <v>0.02</v>
      </c>
      <c r="F260">
        <f>A260*1024/(C260*0.000001)/1000000000*C255</f>
        <v/>
      </c>
      <c r="G260">
        <f>E260/F260</f>
        <v/>
      </c>
    </row>
    <row r="261">
      <c r="A261" t="n">
        <v>4</v>
      </c>
      <c r="B261" t="n">
        <v>199.95</v>
      </c>
      <c r="C261">
        <f>C256*CEILING(A261*1024/(C249*C253*C248),1)+A261*1024*C254</f>
        <v/>
      </c>
      <c r="D261">
        <f>B261/C261</f>
        <v/>
      </c>
      <c r="E261" t="n">
        <v>0.04</v>
      </c>
      <c r="F261">
        <f>A261*1024/(C261*0.000001)/1000000000*C255</f>
        <v/>
      </c>
      <c r="G261">
        <f>E261/F261</f>
        <v/>
      </c>
    </row>
    <row r="262">
      <c r="A262" t="n">
        <v>8</v>
      </c>
      <c r="B262" t="n">
        <v>203.13</v>
      </c>
      <c r="C262">
        <f>C256*CEILING(A262*1024/(C249*C253*C248),1)+A262*1024*C254</f>
        <v/>
      </c>
      <c r="D262">
        <f>B262/C262</f>
        <v/>
      </c>
      <c r="E262" t="n">
        <v>0.07000000000000001</v>
      </c>
      <c r="F262">
        <f>A262*1024/(C262*0.000001)/1000000000*C255</f>
        <v/>
      </c>
      <c r="G262">
        <f>E262/F262</f>
        <v/>
      </c>
    </row>
    <row r="263">
      <c r="A263" t="n">
        <v>16</v>
      </c>
      <c r="B263" t="n">
        <v>213.05</v>
      </c>
      <c r="C263">
        <f>C256*CEILING(A263*1024/(C249*C253*C248),1)+A263*1024*C254</f>
        <v/>
      </c>
      <c r="D263">
        <f>B263/C263</f>
        <v/>
      </c>
      <c r="E263" t="n">
        <v>0.13</v>
      </c>
      <c r="F263">
        <f>A263*1024/(C263*0.000001)/1000000000*C255</f>
        <v/>
      </c>
      <c r="G263">
        <f>E263/F263</f>
        <v/>
      </c>
    </row>
    <row r="264">
      <c r="A264" t="n">
        <v>32</v>
      </c>
      <c r="B264" t="n">
        <v>238.57</v>
      </c>
      <c r="C264">
        <f>C256*CEILING(A264*1024/(C249*C253*C248),1)+A264*1024*C254</f>
        <v/>
      </c>
      <c r="D264">
        <f>B264/C264</f>
        <v/>
      </c>
      <c r="E264" t="n">
        <v>0.24</v>
      </c>
      <c r="F264">
        <f>A264*1024/(C264*0.000001)/1000000000*C255</f>
        <v/>
      </c>
      <c r="G264">
        <f>E264/F264</f>
        <v/>
      </c>
    </row>
    <row r="265">
      <c r="A265" t="n">
        <v>64</v>
      </c>
      <c r="B265" t="n">
        <v>244.74</v>
      </c>
      <c r="C265">
        <f>C256*CEILING(A265*1024/(C249*C253*C248),1)+A265*1024*C254</f>
        <v/>
      </c>
      <c r="D265">
        <f>B265/C265</f>
        <v/>
      </c>
      <c r="E265" t="n">
        <v>0.47</v>
      </c>
      <c r="F265">
        <f>A265*1024/(C265*0.000001)/1000000000*C255</f>
        <v/>
      </c>
      <c r="G265">
        <f>E265/F265</f>
        <v/>
      </c>
    </row>
    <row r="266">
      <c r="A266" t="n">
        <v>128</v>
      </c>
      <c r="B266" t="n">
        <v>256.72</v>
      </c>
      <c r="C266">
        <f>C256*CEILING(A266*1024/(C249*C253*C248),1)+A266*1024*C254</f>
        <v/>
      </c>
      <c r="D266">
        <f>B266/C266</f>
        <v/>
      </c>
      <c r="E266" t="n">
        <v>0.89</v>
      </c>
      <c r="F266">
        <f>A266*1024/(C266*0.000001)/1000000000*C255</f>
        <v/>
      </c>
      <c r="G266">
        <f>E266/F266</f>
        <v/>
      </c>
    </row>
    <row r="267">
      <c r="A267" t="n">
        <v>256</v>
      </c>
      <c r="B267" t="n">
        <v>281.01</v>
      </c>
      <c r="C267">
        <f>C256*CEILING(A267*1024/(C249*C253*C248),1)+A267*1024*C254</f>
        <v/>
      </c>
      <c r="D267">
        <f>B267/C267</f>
        <v/>
      </c>
      <c r="E267" t="n">
        <v>1.63</v>
      </c>
      <c r="F267">
        <f>A267*1024/(C267*0.000001)/1000000000*C255</f>
        <v/>
      </c>
      <c r="G267">
        <f>E267/F267</f>
        <v/>
      </c>
    </row>
    <row r="268">
      <c r="A268" t="n">
        <v>512</v>
      </c>
      <c r="B268" t="n">
        <v>335.39</v>
      </c>
      <c r="C268">
        <f>C256*CEILING(A268*1024/(C249*C253*C248),1)+A268*1024*C254</f>
        <v/>
      </c>
      <c r="D268">
        <f>B268/C268</f>
        <v/>
      </c>
      <c r="E268" t="n">
        <v>2.74</v>
      </c>
      <c r="F268">
        <f>A268*1024/(C268*0.000001)/1000000000*C255</f>
        <v/>
      </c>
      <c r="G268">
        <f>E268/F268</f>
        <v/>
      </c>
    </row>
    <row r="269">
      <c r="A269" t="n">
        <v>1024</v>
      </c>
      <c r="B269" t="n">
        <v>463.71</v>
      </c>
      <c r="C269">
        <f>C256*CEILING(A269*1024/(C249*C253*C248),1)+A269*1024*C254</f>
        <v/>
      </c>
      <c r="D269">
        <f>B269/C269</f>
        <v/>
      </c>
      <c r="E269" t="n">
        <v>3.96</v>
      </c>
      <c r="F269">
        <f>A269*1024/(C269*0.000001)/1000000000*C255</f>
        <v/>
      </c>
      <c r="G269">
        <f>E269/F269</f>
        <v/>
      </c>
    </row>
    <row r="270">
      <c r="A270" t="n">
        <v>2048</v>
      </c>
      <c r="B270" t="n">
        <v>883.24</v>
      </c>
      <c r="C270">
        <f>C256*CEILING(A270*1024/(C249*C253*C248),1)+A270*1024*C254</f>
        <v/>
      </c>
      <c r="D270">
        <f>B270/C270</f>
        <v/>
      </c>
      <c r="E270" t="n">
        <v>4.16</v>
      </c>
      <c r="F270">
        <f>A270*1024/(C270*0.000001)/1000000000*C255</f>
        <v/>
      </c>
      <c r="G270">
        <f>E270/F270</f>
        <v/>
      </c>
    </row>
    <row r="271">
      <c r="A271" t="n">
        <v>4096</v>
      </c>
      <c r="B271" t="n">
        <v>1727.71</v>
      </c>
      <c r="C271">
        <f>C256*CEILING(A271*1024/(C249*C253*C248),1)+A271*1024*C254</f>
        <v/>
      </c>
      <c r="D271">
        <f>B271/C271</f>
        <v/>
      </c>
      <c r="E271" t="n">
        <v>4.25</v>
      </c>
      <c r="F271">
        <f>A271*1024/(C271*0.000001)/1000000000*C255</f>
        <v/>
      </c>
      <c r="G271">
        <f>E271/F271</f>
        <v/>
      </c>
    </row>
    <row r="272">
      <c r="A272" t="n">
        <v>8192</v>
      </c>
      <c r="B272" t="n">
        <v>3422.17</v>
      </c>
      <c r="C272">
        <f>C256*CEILING(A272*1024/(C249*C253*C248),1)+A272*1024*C254</f>
        <v/>
      </c>
      <c r="D272">
        <f>B272/C272</f>
        <v/>
      </c>
      <c r="E272" t="n">
        <v>4.29</v>
      </c>
      <c r="F272">
        <f>A272*1024/(C272*0.000001)/1000000000*C255</f>
        <v/>
      </c>
      <c r="G272">
        <f>E272/F272</f>
        <v/>
      </c>
    </row>
    <row r="273">
      <c r="A273" t="n">
        <v>16384</v>
      </c>
      <c r="B273" t="n">
        <v>6804.9</v>
      </c>
      <c r="C273">
        <f>C256*CEILING(A273*1024/(C249*C253*C248),1)+A273*1024*C254</f>
        <v/>
      </c>
      <c r="D273">
        <f>B273/C273</f>
        <v/>
      </c>
      <c r="E273" t="n">
        <v>4.31</v>
      </c>
      <c r="F273">
        <f>A273*1024/(C273*0.000001)/1000000000*C255</f>
        <v/>
      </c>
      <c r="G273">
        <f>E273/F273</f>
        <v/>
      </c>
    </row>
    <row r="274">
      <c r="A274" t="n">
        <v>32768</v>
      </c>
      <c r="B274" t="n">
        <v>13567.1</v>
      </c>
      <c r="C274">
        <f>C256*CEILING(A274*1024/(C249*C253*C248),1)+A274*1024*C254</f>
        <v/>
      </c>
      <c r="D274">
        <f>B274/C274</f>
        <v/>
      </c>
      <c r="E274" t="n">
        <v>4.33</v>
      </c>
      <c r="F274">
        <f>A274*1024/(C274*0.000001)/1000000000*C255</f>
        <v/>
      </c>
      <c r="G274">
        <f>E274/F274</f>
        <v/>
      </c>
    </row>
    <row r="275">
      <c r="A275" t="n">
        <v>65536</v>
      </c>
      <c r="B275" t="n">
        <v>27093.9</v>
      </c>
      <c r="C275">
        <f>C256*CEILING(A275*1024/(C249*C253*C248),1)+A275*1024*C254</f>
        <v/>
      </c>
      <c r="D275">
        <f>B275/C275</f>
        <v/>
      </c>
      <c r="E275" t="n">
        <v>4.33</v>
      </c>
      <c r="F275">
        <f>A275*1024/(C275*0.000001)/1000000000*C255</f>
        <v/>
      </c>
      <c r="G275">
        <f>E275/F275</f>
        <v/>
      </c>
    </row>
    <row r="276">
      <c r="A276" t="n">
        <v>131072</v>
      </c>
      <c r="B276" t="n">
        <v>54119.6</v>
      </c>
      <c r="C276">
        <f>C256*CEILING(A276*1024/(C249*C253*C248),1)+A276*1024*C254</f>
        <v/>
      </c>
      <c r="D276">
        <f>B276/C276</f>
        <v/>
      </c>
      <c r="E276" t="n">
        <v>4.34</v>
      </c>
      <c r="F276">
        <f>A276*1024/(C276*0.000001)/1000000000*C255</f>
        <v/>
      </c>
      <c r="G276">
        <f>E276/F276</f>
        <v/>
      </c>
    </row>
    <row r="277">
      <c r="A277" t="n">
        <v>262144</v>
      </c>
      <c r="B277" t="n">
        <v>108234</v>
      </c>
      <c r="C277">
        <f>C256*CEILING(A277*1024/(C249*C253*C248),1)+A277*1024*C254</f>
        <v/>
      </c>
      <c r="D277">
        <f>B277/C277</f>
        <v/>
      </c>
      <c r="E277" t="n">
        <v>4.34</v>
      </c>
      <c r="F277">
        <f>A277*1024/(C277*0.000001)/1000000000*C255</f>
        <v/>
      </c>
      <c r="G277">
        <f>E277/F277</f>
        <v/>
      </c>
    </row>
    <row r="278">
      <c r="A278" t="n">
        <v>524288</v>
      </c>
      <c r="B278" t="n">
        <v>216217</v>
      </c>
      <c r="C278">
        <f>C256*CEILING(A278*1024/(C249*C253*C248),1)+A278*1024*C254</f>
        <v/>
      </c>
      <c r="D278">
        <f>B278/C278</f>
        <v/>
      </c>
      <c r="E278" t="n">
        <v>4.35</v>
      </c>
      <c r="F278">
        <f>A278*1024/(C278*0.000001)/1000000000*C255</f>
        <v/>
      </c>
      <c r="G278">
        <f>E278/F278</f>
        <v/>
      </c>
    </row>
    <row r="279">
      <c r="A279" t="n">
        <v>1048576</v>
      </c>
      <c r="B279" t="n">
        <v>432339</v>
      </c>
      <c r="C279">
        <f>C256*CEILING(A279*1024/(C249*C253*C248),1)+A279*1024*C254</f>
        <v/>
      </c>
      <c r="D279">
        <f>B279/C279</f>
        <v/>
      </c>
      <c r="E279" t="n">
        <v>4.35</v>
      </c>
      <c r="F279">
        <f>A279*1024/(C279*0.000001)/1000000000*C255</f>
        <v/>
      </c>
      <c r="G279">
        <f>E279/F279</f>
        <v/>
      </c>
    </row>
    <row r="280"/>
    <row r="281">
      <c r="A281" t="inlineStr">
        <is>
          <t>Nodes: 8, Protocol: LL, Channels: 8</t>
        </is>
      </c>
    </row>
    <row r="282">
      <c r="A282" t="inlineStr">
        <is>
          <t>Parameter</t>
        </is>
      </c>
      <c r="B282" t="inlineStr">
        <is>
          <t>Formula</t>
        </is>
      </c>
      <c r="C282" t="inlineStr">
        <is>
          <t>Value</t>
        </is>
      </c>
    </row>
    <row r="283">
      <c r="A283" t="inlineStr">
        <is>
          <t>n</t>
        </is>
      </c>
      <c r="B283" t="inlineStr">
        <is>
          <t>nodes on ring</t>
        </is>
      </c>
      <c r="C283" t="n">
        <v>8</v>
      </c>
    </row>
    <row r="284">
      <c r="A284" t="inlineStr">
        <is>
          <t>nch</t>
        </is>
      </c>
      <c r="B284" t="inlineStr">
        <is>
          <t>channels</t>
        </is>
      </c>
      <c r="C284" t="n">
        <v>8</v>
      </c>
    </row>
    <row r="285">
      <c r="A285" t="inlineStr">
        <is>
          <t>a</t>
        </is>
      </c>
      <c r="B285" t="inlineStr">
        <is>
          <t>RTT (us)</t>
        </is>
      </c>
      <c r="C285" t="n">
        <v>25.8107</v>
      </c>
    </row>
    <row r="286">
      <c r="A286" t="inlineStr">
        <is>
          <t>NIC_BW</t>
        </is>
      </c>
      <c r="B286" t="inlineStr">
        <is>
          <t>bytes/us</t>
        </is>
      </c>
      <c r="C286" t="n">
        <v>48750</v>
      </c>
    </row>
    <row r="287">
      <c r="A287" t="inlineStr">
        <is>
          <t>NIC_BW_single_efa</t>
        </is>
      </c>
      <c r="B287" t="inlineStr">
        <is>
          <t>50/2*1e3*0.975</t>
        </is>
      </c>
      <c r="C287" t="n">
        <v>24375</v>
      </c>
    </row>
    <row r="288">
      <c r="A288" t="inlineStr">
        <is>
          <t>chunk_size</t>
        </is>
      </c>
      <c r="B288" t="inlineStr">
        <is>
          <t>32KB (bytes)</t>
        </is>
      </c>
      <c r="C288" t="n">
        <v>32768</v>
      </c>
    </row>
    <row r="289">
      <c r="A289" t="inlineStr">
        <is>
          <t>G</t>
        </is>
      </c>
      <c r="B289" t="inlineStr">
        <is>
          <t>2*2*(n-1)/(n*NIC_BW)</t>
        </is>
      </c>
      <c r="C289">
        <f>2*2*(C283-1)/(C283*C286)</f>
        <v/>
      </c>
    </row>
    <row r="290">
      <c r="A290" t="inlineStr">
        <is>
          <t>busbw_factor</t>
        </is>
      </c>
      <c r="B290" t="inlineStr">
        <is>
          <t>2*(n-1)/n</t>
        </is>
      </c>
      <c r="C290">
        <f>2*(C283-1)/C283</f>
        <v/>
      </c>
    </row>
    <row r="291">
      <c r="A291" t="inlineStr">
        <is>
          <t>fixed_per_step</t>
        </is>
      </c>
      <c r="B291" t="inlineStr">
        <is>
          <t>2*(n-1)*a/2</t>
        </is>
      </c>
      <c r="C291">
        <f>2*(C283-1)*C285/2</f>
        <v/>
      </c>
    </row>
    <row r="292"/>
    <row r="293">
      <c r="A293" t="inlineStr">
        <is>
          <t>size_KB</t>
        </is>
      </c>
      <c r="B293" t="inlineStr">
        <is>
          <t>Actual Time (us)</t>
        </is>
      </c>
      <c r="C293" t="inlineStr">
        <is>
          <t>Roofline Time (us)</t>
        </is>
      </c>
      <c r="D293" t="inlineStr">
        <is>
          <t>Actual/Roofline</t>
        </is>
      </c>
      <c r="E293" t="inlineStr">
        <is>
          <t>Actual busBW (GB/s)</t>
        </is>
      </c>
      <c r="F293" t="inlineStr">
        <is>
          <t>Roofline busBW (GB/s)</t>
        </is>
      </c>
      <c r="G293" t="inlineStr">
        <is>
          <t>Meas/Roof busBW</t>
        </is>
      </c>
    </row>
    <row r="294">
      <c r="A294" t="n">
        <v>1</v>
      </c>
      <c r="B294" t="n">
        <v>198.52</v>
      </c>
      <c r="C294">
        <f>C291*CEILING(A294*1024/(C284*C288*C283),1)+A294*1024*C289</f>
        <v/>
      </c>
      <c r="D294">
        <f>B294/C294</f>
        <v/>
      </c>
      <c r="E294" t="n">
        <v>0.01</v>
      </c>
      <c r="F294">
        <f>A294*1024/(C294*0.000001)/1000000000*C290</f>
        <v/>
      </c>
      <c r="G294">
        <f>E294/F294</f>
        <v/>
      </c>
    </row>
    <row r="295">
      <c r="A295" t="n">
        <v>2</v>
      </c>
      <c r="B295" t="n">
        <v>198.73</v>
      </c>
      <c r="C295">
        <f>C291*CEILING(A295*1024/(C284*C288*C283),1)+A295*1024*C289</f>
        <v/>
      </c>
      <c r="D295">
        <f>B295/C295</f>
        <v/>
      </c>
      <c r="E295" t="n">
        <v>0.02</v>
      </c>
      <c r="F295">
        <f>A295*1024/(C295*0.000001)/1000000000*C290</f>
        <v/>
      </c>
      <c r="G295">
        <f>E295/F295</f>
        <v/>
      </c>
    </row>
    <row r="296">
      <c r="A296" t="n">
        <v>4</v>
      </c>
      <c r="B296" t="n">
        <v>199.97</v>
      </c>
      <c r="C296">
        <f>C291*CEILING(A296*1024/(C284*C288*C283),1)+A296*1024*C289</f>
        <v/>
      </c>
      <c r="D296">
        <f>B296/C296</f>
        <v/>
      </c>
      <c r="E296" t="n">
        <v>0.04</v>
      </c>
      <c r="F296">
        <f>A296*1024/(C296*0.000001)/1000000000*C290</f>
        <v/>
      </c>
      <c r="G296">
        <f>E296/F296</f>
        <v/>
      </c>
    </row>
    <row r="297">
      <c r="A297" t="n">
        <v>8</v>
      </c>
      <c r="B297" t="n">
        <v>203.12</v>
      </c>
      <c r="C297">
        <f>C291*CEILING(A297*1024/(C284*C288*C283),1)+A297*1024*C289</f>
        <v/>
      </c>
      <c r="D297">
        <f>B297/C297</f>
        <v/>
      </c>
      <c r="E297" t="n">
        <v>0.07000000000000001</v>
      </c>
      <c r="F297">
        <f>A297*1024/(C297*0.000001)/1000000000*C290</f>
        <v/>
      </c>
      <c r="G297">
        <f>E297/F297</f>
        <v/>
      </c>
    </row>
    <row r="298">
      <c r="A298" t="n">
        <v>16</v>
      </c>
      <c r="B298" t="n">
        <v>213.28</v>
      </c>
      <c r="C298">
        <f>C291*CEILING(A298*1024/(C284*C288*C283),1)+A298*1024*C289</f>
        <v/>
      </c>
      <c r="D298">
        <f>B298/C298</f>
        <v/>
      </c>
      <c r="E298" t="n">
        <v>0.13</v>
      </c>
      <c r="F298">
        <f>A298*1024/(C298*0.000001)/1000000000*C290</f>
        <v/>
      </c>
      <c r="G298">
        <f>E298/F298</f>
        <v/>
      </c>
    </row>
    <row r="299">
      <c r="A299" t="n">
        <v>32</v>
      </c>
      <c r="B299" t="n">
        <v>238.38</v>
      </c>
      <c r="C299">
        <f>C291*CEILING(A299*1024/(C284*C288*C283),1)+A299*1024*C289</f>
        <v/>
      </c>
      <c r="D299">
        <f>B299/C299</f>
        <v/>
      </c>
      <c r="E299" t="n">
        <v>0.24</v>
      </c>
      <c r="F299">
        <f>A299*1024/(C299*0.000001)/1000000000*C290</f>
        <v/>
      </c>
      <c r="G299">
        <f>E299/F299</f>
        <v/>
      </c>
    </row>
    <row r="300">
      <c r="A300" t="n">
        <v>64</v>
      </c>
      <c r="B300" t="n">
        <v>245.97</v>
      </c>
      <c r="C300">
        <f>C291*CEILING(A300*1024/(C284*C288*C283),1)+A300*1024*C289</f>
        <v/>
      </c>
      <c r="D300">
        <f>B300/C300</f>
        <v/>
      </c>
      <c r="E300" t="n">
        <v>0.47</v>
      </c>
      <c r="F300">
        <f>A300*1024/(C300*0.000001)/1000000000*C290</f>
        <v/>
      </c>
      <c r="G300">
        <f>E300/F300</f>
        <v/>
      </c>
    </row>
    <row r="301">
      <c r="A301" t="n">
        <v>128</v>
      </c>
      <c r="B301" t="n">
        <v>255.63</v>
      </c>
      <c r="C301">
        <f>C291*CEILING(A301*1024/(C284*C288*C283),1)+A301*1024*C289</f>
        <v/>
      </c>
      <c r="D301">
        <f>B301/C301</f>
        <v/>
      </c>
      <c r="E301" t="n">
        <v>0.9</v>
      </c>
      <c r="F301">
        <f>A301*1024/(C301*0.000001)/1000000000*C290</f>
        <v/>
      </c>
      <c r="G301">
        <f>E301/F301</f>
        <v/>
      </c>
    </row>
    <row r="302">
      <c r="A302" t="n">
        <v>256</v>
      </c>
      <c r="B302" t="n">
        <v>296.23</v>
      </c>
      <c r="C302">
        <f>C291*CEILING(A302*1024/(C284*C288*C283),1)+A302*1024*C289</f>
        <v/>
      </c>
      <c r="D302">
        <f>B302/C302</f>
        <v/>
      </c>
      <c r="E302" t="n">
        <v>1.55</v>
      </c>
      <c r="F302">
        <f>A302*1024/(C302*0.000001)/1000000000*C290</f>
        <v/>
      </c>
      <c r="G302">
        <f>E302/F302</f>
        <v/>
      </c>
    </row>
    <row r="303">
      <c r="A303" t="n">
        <v>512</v>
      </c>
      <c r="B303" t="n">
        <v>335.71</v>
      </c>
      <c r="C303">
        <f>C291*CEILING(A303*1024/(C284*C288*C283),1)+A303*1024*C289</f>
        <v/>
      </c>
      <c r="D303">
        <f>B303/C303</f>
        <v/>
      </c>
      <c r="E303" t="n">
        <v>2.73</v>
      </c>
      <c r="F303">
        <f>A303*1024/(C303*0.000001)/1000000000*C290</f>
        <v/>
      </c>
      <c r="G303">
        <f>E303/F303</f>
        <v/>
      </c>
    </row>
    <row r="304">
      <c r="A304" t="n">
        <v>1024</v>
      </c>
      <c r="B304" t="n">
        <v>446.1</v>
      </c>
      <c r="C304">
        <f>C291*CEILING(A304*1024/(C284*C288*C283),1)+A304*1024*C289</f>
        <v/>
      </c>
      <c r="D304">
        <f>B304/C304</f>
        <v/>
      </c>
      <c r="E304" t="n">
        <v>4.11</v>
      </c>
      <c r="F304">
        <f>A304*1024/(C304*0.000001)/1000000000*C290</f>
        <v/>
      </c>
      <c r="G304">
        <f>E304/F304</f>
        <v/>
      </c>
    </row>
    <row r="305">
      <c r="A305" t="n">
        <v>2048</v>
      </c>
      <c r="B305" t="n">
        <v>782.4299999999999</v>
      </c>
      <c r="C305">
        <f>C291*CEILING(A305*1024/(C284*C288*C283),1)+A305*1024*C289</f>
        <v/>
      </c>
      <c r="D305">
        <f>B305/C305</f>
        <v/>
      </c>
      <c r="E305" t="n">
        <v>4.69</v>
      </c>
      <c r="F305">
        <f>A305*1024/(C305*0.000001)/1000000000*C290</f>
        <v/>
      </c>
      <c r="G305">
        <f>E305/F305</f>
        <v/>
      </c>
    </row>
    <row r="306">
      <c r="A306" t="n">
        <v>4096</v>
      </c>
      <c r="B306" t="n">
        <v>1502.91</v>
      </c>
      <c r="C306">
        <f>C291*CEILING(A306*1024/(C284*C288*C283),1)+A306*1024*C289</f>
        <v/>
      </c>
      <c r="D306">
        <f>B306/C306</f>
        <v/>
      </c>
      <c r="E306" t="n">
        <v>4.88</v>
      </c>
      <c r="F306">
        <f>A306*1024/(C306*0.000001)/1000000000*C290</f>
        <v/>
      </c>
      <c r="G306">
        <f>E306/F306</f>
        <v/>
      </c>
    </row>
    <row r="307">
      <c r="A307" t="n">
        <v>8192</v>
      </c>
      <c r="B307" t="n">
        <v>2944.98</v>
      </c>
      <c r="C307">
        <f>C291*CEILING(A307*1024/(C284*C288*C283),1)+A307*1024*C289</f>
        <v/>
      </c>
      <c r="D307">
        <f>B307/C307</f>
        <v/>
      </c>
      <c r="E307" t="n">
        <v>4.98</v>
      </c>
      <c r="F307">
        <f>A307*1024/(C307*0.000001)/1000000000*C290</f>
        <v/>
      </c>
      <c r="G307">
        <f>E307/F307</f>
        <v/>
      </c>
    </row>
    <row r="308">
      <c r="A308" t="n">
        <v>16384</v>
      </c>
      <c r="B308" t="n">
        <v>5845.1</v>
      </c>
      <c r="C308">
        <f>C291*CEILING(A308*1024/(C284*C288*C283),1)+A308*1024*C289</f>
        <v/>
      </c>
      <c r="D308">
        <f>B308/C308</f>
        <v/>
      </c>
      <c r="E308" t="n">
        <v>5.02</v>
      </c>
      <c r="F308">
        <f>A308*1024/(C308*0.000001)/1000000000*C290</f>
        <v/>
      </c>
      <c r="G308">
        <f>E308/F308</f>
        <v/>
      </c>
    </row>
    <row r="309">
      <c r="A309" t="n">
        <v>32768</v>
      </c>
      <c r="B309" t="n">
        <v>11634.5</v>
      </c>
      <c r="C309">
        <f>C291*CEILING(A309*1024/(C284*C288*C283),1)+A309*1024*C289</f>
        <v/>
      </c>
      <c r="D309">
        <f>B309/C309</f>
        <v/>
      </c>
      <c r="E309" t="n">
        <v>5.05</v>
      </c>
      <c r="F309">
        <f>A309*1024/(C309*0.000001)/1000000000*C290</f>
        <v/>
      </c>
      <c r="G309">
        <f>E309/F309</f>
        <v/>
      </c>
    </row>
    <row r="310">
      <c r="A310" t="n">
        <v>65536</v>
      </c>
      <c r="B310" t="n">
        <v>23202.6</v>
      </c>
      <c r="C310">
        <f>C291*CEILING(A310*1024/(C284*C288*C283),1)+A310*1024*C289</f>
        <v/>
      </c>
      <c r="D310">
        <f>B310/C310</f>
        <v/>
      </c>
      <c r="E310" t="n">
        <v>5.06</v>
      </c>
      <c r="F310">
        <f>A310*1024/(C310*0.000001)/1000000000*C290</f>
        <v/>
      </c>
      <c r="G310">
        <f>E310/F310</f>
        <v/>
      </c>
    </row>
    <row r="311">
      <c r="A311" t="n">
        <v>131072</v>
      </c>
      <c r="B311" t="n">
        <v>46354.5</v>
      </c>
      <c r="C311">
        <f>C291*CEILING(A311*1024/(C284*C288*C283),1)+A311*1024*C289</f>
        <v/>
      </c>
      <c r="D311">
        <f>B311/C311</f>
        <v/>
      </c>
      <c r="E311" t="n">
        <v>5.07</v>
      </c>
      <c r="F311">
        <f>A311*1024/(C311*0.000001)/1000000000*C290</f>
        <v/>
      </c>
      <c r="G311">
        <f>E311/F311</f>
        <v/>
      </c>
    </row>
    <row r="312">
      <c r="A312" t="n">
        <v>262144</v>
      </c>
      <c r="B312" t="n">
        <v>92656.89999999999</v>
      </c>
      <c r="C312">
        <f>C291*CEILING(A312*1024/(C284*C288*C283),1)+A312*1024*C289</f>
        <v/>
      </c>
      <c r="D312">
        <f>B312/C312</f>
        <v/>
      </c>
      <c r="E312" t="n">
        <v>5.07</v>
      </c>
      <c r="F312">
        <f>A312*1024/(C312*0.000001)/1000000000*C290</f>
        <v/>
      </c>
      <c r="G312">
        <f>E312/F312</f>
        <v/>
      </c>
    </row>
    <row r="313">
      <c r="A313" t="n">
        <v>524288</v>
      </c>
      <c r="B313" t="n">
        <v>184915</v>
      </c>
      <c r="C313">
        <f>C291*CEILING(A313*1024/(C284*C288*C283),1)+A313*1024*C289</f>
        <v/>
      </c>
      <c r="D313">
        <f>B313/C313</f>
        <v/>
      </c>
      <c r="E313" t="n">
        <v>5.08</v>
      </c>
      <c r="F313">
        <f>A313*1024/(C313*0.000001)/1000000000*C290</f>
        <v/>
      </c>
      <c r="G313">
        <f>E313/F313</f>
        <v/>
      </c>
    </row>
    <row r="314">
      <c r="A314" t="n">
        <v>1048576</v>
      </c>
      <c r="B314" t="n">
        <v>369717</v>
      </c>
      <c r="C314">
        <f>C291*CEILING(A314*1024/(C284*C288*C283),1)+A314*1024*C289</f>
        <v/>
      </c>
      <c r="D314">
        <f>B314/C314</f>
        <v/>
      </c>
      <c r="E314" t="n">
        <v>5.08</v>
      </c>
      <c r="F314">
        <f>A314*1024/(C314*0.000001)/1000000000*C290</f>
        <v/>
      </c>
      <c r="G314">
        <f>E314/F314</f>
        <v/>
      </c>
    </row>
    <row r="315"/>
    <row r="316">
      <c r="A316" t="inlineStr">
        <is>
          <t>Nodes: 8, Protocol: LL, Channels: 16</t>
        </is>
      </c>
    </row>
    <row r="317">
      <c r="A317" t="inlineStr">
        <is>
          <t>Parameter</t>
        </is>
      </c>
      <c r="B317" t="inlineStr">
        <is>
          <t>Formula</t>
        </is>
      </c>
      <c r="C317" t="inlineStr">
        <is>
          <t>Value</t>
        </is>
      </c>
    </row>
    <row r="318">
      <c r="A318" t="inlineStr">
        <is>
          <t>n</t>
        </is>
      </c>
      <c r="B318" t="inlineStr">
        <is>
          <t>nodes on ring</t>
        </is>
      </c>
      <c r="C318" t="n">
        <v>8</v>
      </c>
    </row>
    <row r="319">
      <c r="A319" t="inlineStr">
        <is>
          <t>nch</t>
        </is>
      </c>
      <c r="B319" t="inlineStr">
        <is>
          <t>channels</t>
        </is>
      </c>
      <c r="C319" t="n">
        <v>16</v>
      </c>
    </row>
    <row r="320">
      <c r="A320" t="inlineStr">
        <is>
          <t>a</t>
        </is>
      </c>
      <c r="B320" t="inlineStr">
        <is>
          <t>RTT (us)</t>
        </is>
      </c>
      <c r="C320" t="n">
        <v>25.8107</v>
      </c>
    </row>
    <row r="321">
      <c r="A321" t="inlineStr">
        <is>
          <t>NIC_BW</t>
        </is>
      </c>
      <c r="B321" t="inlineStr">
        <is>
          <t>bytes/us</t>
        </is>
      </c>
      <c r="C321" t="n">
        <v>48750</v>
      </c>
    </row>
    <row r="322">
      <c r="A322" t="inlineStr">
        <is>
          <t>NIC_BW_single_efa</t>
        </is>
      </c>
      <c r="B322" t="inlineStr">
        <is>
          <t>50/2*1e3*0.975</t>
        </is>
      </c>
      <c r="C322" t="n">
        <v>24375</v>
      </c>
    </row>
    <row r="323">
      <c r="A323" t="inlineStr">
        <is>
          <t>chunk_size</t>
        </is>
      </c>
      <c r="B323" t="inlineStr">
        <is>
          <t>32KB (bytes)</t>
        </is>
      </c>
      <c r="C323" t="n">
        <v>32768</v>
      </c>
    </row>
    <row r="324">
      <c r="A324" t="inlineStr">
        <is>
          <t>G</t>
        </is>
      </c>
      <c r="B324" t="inlineStr">
        <is>
          <t>2*2*(n-1)/(n*NIC_BW)</t>
        </is>
      </c>
      <c r="C324">
        <f>2*2*(C318-1)/(C318*C321)</f>
        <v/>
      </c>
    </row>
    <row r="325">
      <c r="A325" t="inlineStr">
        <is>
          <t>busbw_factor</t>
        </is>
      </c>
      <c r="B325" t="inlineStr">
        <is>
          <t>2*(n-1)/n</t>
        </is>
      </c>
      <c r="C325">
        <f>2*(C318-1)/C318</f>
        <v/>
      </c>
    </row>
    <row r="326">
      <c r="A326" t="inlineStr">
        <is>
          <t>fixed_per_step</t>
        </is>
      </c>
      <c r="B326" t="inlineStr">
        <is>
          <t>2*(n-1)*a/2</t>
        </is>
      </c>
      <c r="C326">
        <f>2*(C318-1)*C320/2</f>
        <v/>
      </c>
    </row>
    <row r="327"/>
    <row r="328">
      <c r="A328" t="inlineStr">
        <is>
          <t>size_KB</t>
        </is>
      </c>
      <c r="B328" t="inlineStr">
        <is>
          <t>Actual Time (us)</t>
        </is>
      </c>
      <c r="C328" t="inlineStr">
        <is>
          <t>Roofline Time (us)</t>
        </is>
      </c>
      <c r="D328" t="inlineStr">
        <is>
          <t>Actual/Roofline</t>
        </is>
      </c>
      <c r="E328" t="inlineStr">
        <is>
          <t>Actual busBW (GB/s)</t>
        </is>
      </c>
      <c r="F328" t="inlineStr">
        <is>
          <t>Roofline busBW (GB/s)</t>
        </is>
      </c>
      <c r="G328" t="inlineStr">
        <is>
          <t>Meas/Roof busBW</t>
        </is>
      </c>
    </row>
    <row r="329">
      <c r="A329" t="n">
        <v>1</v>
      </c>
      <c r="B329" t="n">
        <v>203.35</v>
      </c>
      <c r="C329">
        <f>C326*CEILING(A329*1024/(C319*C323*C318),1)+A329*1024*C324</f>
        <v/>
      </c>
      <c r="D329">
        <f>B329/C329</f>
        <v/>
      </c>
      <c r="E329" t="n">
        <v>0.01</v>
      </c>
      <c r="F329">
        <f>A329*1024/(C329*0.000001)/1000000000*C325</f>
        <v/>
      </c>
      <c r="G329">
        <f>E329/F329</f>
        <v/>
      </c>
    </row>
    <row r="330">
      <c r="A330" t="n">
        <v>2</v>
      </c>
      <c r="B330" t="n">
        <v>199.01</v>
      </c>
      <c r="C330">
        <f>C326*CEILING(A330*1024/(C319*C323*C318),1)+A330*1024*C324</f>
        <v/>
      </c>
      <c r="D330">
        <f>B330/C330</f>
        <v/>
      </c>
      <c r="E330" t="n">
        <v>0.02</v>
      </c>
      <c r="F330">
        <f>A330*1024/(C330*0.000001)/1000000000*C325</f>
        <v/>
      </c>
      <c r="G330">
        <f>E330/F330</f>
        <v/>
      </c>
    </row>
    <row r="331">
      <c r="A331" t="n">
        <v>4</v>
      </c>
      <c r="B331" t="n">
        <v>200.55</v>
      </c>
      <c r="C331">
        <f>C326*CEILING(A331*1024/(C319*C323*C318),1)+A331*1024*C324</f>
        <v/>
      </c>
      <c r="D331">
        <f>B331/C331</f>
        <v/>
      </c>
      <c r="E331" t="n">
        <v>0.04</v>
      </c>
      <c r="F331">
        <f>A331*1024/(C331*0.000001)/1000000000*C325</f>
        <v/>
      </c>
      <c r="G331">
        <f>E331/F331</f>
        <v/>
      </c>
    </row>
    <row r="332">
      <c r="A332" t="n">
        <v>8</v>
      </c>
      <c r="B332" t="n">
        <v>203.39</v>
      </c>
      <c r="C332">
        <f>C326*CEILING(A332*1024/(C319*C323*C318),1)+A332*1024*C324</f>
        <v/>
      </c>
      <c r="D332">
        <f>B332/C332</f>
        <v/>
      </c>
      <c r="E332" t="n">
        <v>0.07000000000000001</v>
      </c>
      <c r="F332">
        <f>A332*1024/(C332*0.000001)/1000000000*C325</f>
        <v/>
      </c>
      <c r="G332">
        <f>E332/F332</f>
        <v/>
      </c>
    </row>
    <row r="333">
      <c r="A333" t="n">
        <v>16</v>
      </c>
      <c r="B333" t="n">
        <v>217.62</v>
      </c>
      <c r="C333">
        <f>C326*CEILING(A333*1024/(C319*C323*C318),1)+A333*1024*C324</f>
        <v/>
      </c>
      <c r="D333">
        <f>B333/C333</f>
        <v/>
      </c>
      <c r="E333" t="n">
        <v>0.13</v>
      </c>
      <c r="F333">
        <f>A333*1024/(C333*0.000001)/1000000000*C325</f>
        <v/>
      </c>
      <c r="G333">
        <f>E333/F333</f>
        <v/>
      </c>
    </row>
    <row r="334">
      <c r="A334" t="n">
        <v>32</v>
      </c>
      <c r="B334" t="n">
        <v>238.47</v>
      </c>
      <c r="C334">
        <f>C326*CEILING(A334*1024/(C319*C323*C318),1)+A334*1024*C324</f>
        <v/>
      </c>
      <c r="D334">
        <f>B334/C334</f>
        <v/>
      </c>
      <c r="E334" t="n">
        <v>0.24</v>
      </c>
      <c r="F334">
        <f>A334*1024/(C334*0.000001)/1000000000*C325</f>
        <v/>
      </c>
      <c r="G334">
        <f>E334/F334</f>
        <v/>
      </c>
    </row>
    <row r="335">
      <c r="A335" t="n">
        <v>64</v>
      </c>
      <c r="B335" t="n">
        <v>244.3</v>
      </c>
      <c r="C335">
        <f>C326*CEILING(A335*1024/(C319*C323*C318),1)+A335*1024*C324</f>
        <v/>
      </c>
      <c r="D335">
        <f>B335/C335</f>
        <v/>
      </c>
      <c r="E335" t="n">
        <v>0.47</v>
      </c>
      <c r="F335">
        <f>A335*1024/(C335*0.000001)/1000000000*C325</f>
        <v/>
      </c>
      <c r="G335">
        <f>E335/F335</f>
        <v/>
      </c>
    </row>
    <row r="336">
      <c r="A336" t="n">
        <v>128</v>
      </c>
      <c r="B336" t="n">
        <v>256.05</v>
      </c>
      <c r="C336">
        <f>C326*CEILING(A336*1024/(C319*C323*C318),1)+A336*1024*C324</f>
        <v/>
      </c>
      <c r="D336">
        <f>B336/C336</f>
        <v/>
      </c>
      <c r="E336" t="n">
        <v>0.9</v>
      </c>
      <c r="F336">
        <f>A336*1024/(C336*0.000001)/1000000000*C325</f>
        <v/>
      </c>
      <c r="G336">
        <f>E336/F336</f>
        <v/>
      </c>
    </row>
    <row r="337">
      <c r="A337" t="n">
        <v>256</v>
      </c>
      <c r="B337" t="n">
        <v>296.59</v>
      </c>
      <c r="C337">
        <f>C326*CEILING(A337*1024/(C319*C323*C318),1)+A337*1024*C324</f>
        <v/>
      </c>
      <c r="D337">
        <f>B337/C337</f>
        <v/>
      </c>
      <c r="E337" t="n">
        <v>1.55</v>
      </c>
      <c r="F337">
        <f>A337*1024/(C337*0.000001)/1000000000*C325</f>
        <v/>
      </c>
      <c r="G337">
        <f>E337/F337</f>
        <v/>
      </c>
    </row>
    <row r="338">
      <c r="A338" t="n">
        <v>512</v>
      </c>
      <c r="B338" t="n">
        <v>458.36</v>
      </c>
      <c r="C338">
        <f>C326*CEILING(A338*1024/(C319*C323*C318),1)+A338*1024*C324</f>
        <v/>
      </c>
      <c r="D338">
        <f>B338/C338</f>
        <v/>
      </c>
      <c r="E338" t="n">
        <v>2</v>
      </c>
      <c r="F338">
        <f>A338*1024/(C338*0.000001)/1000000000*C325</f>
        <v/>
      </c>
      <c r="G338">
        <f>E338/F338</f>
        <v/>
      </c>
    </row>
    <row r="339">
      <c r="A339" t="n">
        <v>1024</v>
      </c>
      <c r="B339" t="n">
        <v>554.41</v>
      </c>
      <c r="C339">
        <f>C326*CEILING(A339*1024/(C319*C323*C318),1)+A339*1024*C324</f>
        <v/>
      </c>
      <c r="D339">
        <f>B339/C339</f>
        <v/>
      </c>
      <c r="E339" t="n">
        <v>3.31</v>
      </c>
      <c r="F339">
        <f>A339*1024/(C339*0.000001)/1000000000*C325</f>
        <v/>
      </c>
      <c r="G339">
        <f>E339/F339</f>
        <v/>
      </c>
    </row>
    <row r="340">
      <c r="A340" t="n">
        <v>2048</v>
      </c>
      <c r="B340" t="n">
        <v>816.95</v>
      </c>
      <c r="C340">
        <f>C326*CEILING(A340*1024/(C319*C323*C318),1)+A340*1024*C324</f>
        <v/>
      </c>
      <c r="D340">
        <f>B340/C340</f>
        <v/>
      </c>
      <c r="E340" t="n">
        <v>4.49</v>
      </c>
      <c r="F340">
        <f>A340*1024/(C340*0.000001)/1000000000*C325</f>
        <v/>
      </c>
      <c r="G340">
        <f>E340/F340</f>
        <v/>
      </c>
    </row>
    <row r="341">
      <c r="A341" t="n">
        <v>4096</v>
      </c>
      <c r="B341" t="n">
        <v>1483.07</v>
      </c>
      <c r="C341">
        <f>C326*CEILING(A341*1024/(C319*C323*C318),1)+A341*1024*C324</f>
        <v/>
      </c>
      <c r="D341">
        <f>B341/C341</f>
        <v/>
      </c>
      <c r="E341" t="n">
        <v>4.95</v>
      </c>
      <c r="F341">
        <f>A341*1024/(C341*0.000001)/1000000000*C325</f>
        <v/>
      </c>
      <c r="G341">
        <f>E341/F341</f>
        <v/>
      </c>
    </row>
    <row r="342">
      <c r="A342" t="n">
        <v>8192</v>
      </c>
      <c r="B342" t="n">
        <v>2904.52</v>
      </c>
      <c r="C342">
        <f>C326*CEILING(A342*1024/(C319*C323*C318),1)+A342*1024*C324</f>
        <v/>
      </c>
      <c r="D342">
        <f>B342/C342</f>
        <v/>
      </c>
      <c r="E342" t="n">
        <v>5.05</v>
      </c>
      <c r="F342">
        <f>A342*1024/(C342*0.000001)/1000000000*C325</f>
        <v/>
      </c>
      <c r="G342">
        <f>E342/F342</f>
        <v/>
      </c>
    </row>
    <row r="343">
      <c r="A343" t="n">
        <v>16384</v>
      </c>
      <c r="B343" t="n">
        <v>5718.85</v>
      </c>
      <c r="C343">
        <f>C326*CEILING(A343*1024/(C319*C323*C318),1)+A343*1024*C324</f>
        <v/>
      </c>
      <c r="D343">
        <f>B343/C343</f>
        <v/>
      </c>
      <c r="E343" t="n">
        <v>5.13</v>
      </c>
      <c r="F343">
        <f>A343*1024/(C343*0.000001)/1000000000*C325</f>
        <v/>
      </c>
      <c r="G343">
        <f>E343/F343</f>
        <v/>
      </c>
    </row>
    <row r="344">
      <c r="A344" t="n">
        <v>32768</v>
      </c>
      <c r="B344" t="n">
        <v>11360.9</v>
      </c>
      <c r="C344">
        <f>C326*CEILING(A344*1024/(C319*C323*C318),1)+A344*1024*C324</f>
        <v/>
      </c>
      <c r="D344">
        <f>B344/C344</f>
        <v/>
      </c>
      <c r="E344" t="n">
        <v>5.17</v>
      </c>
      <c r="F344">
        <f>A344*1024/(C344*0.000001)/1000000000*C325</f>
        <v/>
      </c>
      <c r="G344">
        <f>E344/F344</f>
        <v/>
      </c>
    </row>
    <row r="345">
      <c r="A345" t="n">
        <v>65536</v>
      </c>
      <c r="B345" t="n">
        <v>22582.2</v>
      </c>
      <c r="C345">
        <f>C326*CEILING(A345*1024/(C319*C323*C318),1)+A345*1024*C324</f>
        <v/>
      </c>
      <c r="D345">
        <f>B345/C345</f>
        <v/>
      </c>
      <c r="E345" t="n">
        <v>5.2</v>
      </c>
      <c r="F345">
        <f>A345*1024/(C345*0.000001)/1000000000*C325</f>
        <v/>
      </c>
      <c r="G345">
        <f>E345/F345</f>
        <v/>
      </c>
    </row>
    <row r="346">
      <c r="A346" t="n">
        <v>131072</v>
      </c>
      <c r="B346" t="n">
        <v>44992.5</v>
      </c>
      <c r="C346">
        <f>C326*CEILING(A346*1024/(C319*C323*C318),1)+A346*1024*C324</f>
        <v/>
      </c>
      <c r="D346">
        <f>B346/C346</f>
        <v/>
      </c>
      <c r="E346" t="n">
        <v>5.22</v>
      </c>
      <c r="F346">
        <f>A346*1024/(C346*0.000001)/1000000000*C325</f>
        <v/>
      </c>
      <c r="G346">
        <f>E346/F346</f>
        <v/>
      </c>
    </row>
    <row r="347">
      <c r="A347" t="n">
        <v>262144</v>
      </c>
      <c r="B347" t="n">
        <v>89802.8</v>
      </c>
      <c r="C347">
        <f>C326*CEILING(A347*1024/(C319*C323*C318),1)+A347*1024*C324</f>
        <v/>
      </c>
      <c r="D347">
        <f>B347/C347</f>
        <v/>
      </c>
      <c r="E347" t="n">
        <v>5.23</v>
      </c>
      <c r="F347">
        <f>A347*1024/(C347*0.000001)/1000000000*C325</f>
        <v/>
      </c>
      <c r="G347">
        <f>E347/F347</f>
        <v/>
      </c>
    </row>
    <row r="348">
      <c r="A348" t="n">
        <v>524288</v>
      </c>
      <c r="B348" t="n">
        <v>179510</v>
      </c>
      <c r="C348">
        <f>C326*CEILING(A348*1024/(C319*C323*C318),1)+A348*1024*C324</f>
        <v/>
      </c>
      <c r="D348">
        <f>B348/C348</f>
        <v/>
      </c>
      <c r="E348" t="n">
        <v>5.23</v>
      </c>
      <c r="F348">
        <f>A348*1024/(C348*0.000001)/1000000000*C325</f>
        <v/>
      </c>
      <c r="G348">
        <f>E348/F348</f>
        <v/>
      </c>
    </row>
    <row r="349">
      <c r="A349" t="n">
        <v>1048576</v>
      </c>
      <c r="B349" t="n">
        <v>358082</v>
      </c>
      <c r="C349">
        <f>C326*CEILING(A349*1024/(C319*C323*C318),1)+A349*1024*C324</f>
        <v/>
      </c>
      <c r="D349">
        <f>B349/C349</f>
        <v/>
      </c>
      <c r="E349" t="n">
        <v>5.25</v>
      </c>
      <c r="F349">
        <f>A349*1024/(C349*0.000001)/1000000000*C325</f>
        <v/>
      </c>
      <c r="G349">
        <f>E349/F349</f>
        <v/>
      </c>
    </row>
    <row r="350"/>
    <row r="351">
      <c r="A351" t="inlineStr">
        <is>
          <t>Nodes: 8, Protocol: LL128, Channels: 1</t>
        </is>
      </c>
    </row>
    <row r="352">
      <c r="A352" t="inlineStr">
        <is>
          <t>Parameter</t>
        </is>
      </c>
      <c r="B352" t="inlineStr">
        <is>
          <t>Formula</t>
        </is>
      </c>
      <c r="C352" t="inlineStr">
        <is>
          <t>Value</t>
        </is>
      </c>
    </row>
    <row r="353">
      <c r="A353" t="inlineStr">
        <is>
          <t>n</t>
        </is>
      </c>
      <c r="B353" t="inlineStr">
        <is>
          <t>nodes on ring</t>
        </is>
      </c>
      <c r="C353" t="n">
        <v>8</v>
      </c>
    </row>
    <row r="354">
      <c r="A354" t="inlineStr">
        <is>
          <t>nch</t>
        </is>
      </c>
      <c r="B354" t="inlineStr">
        <is>
          <t>channels</t>
        </is>
      </c>
      <c r="C354" t="n">
        <v>1</v>
      </c>
    </row>
    <row r="355">
      <c r="A355" t="inlineStr">
        <is>
          <t>a</t>
        </is>
      </c>
      <c r="B355" t="inlineStr">
        <is>
          <t>RTT (us)</t>
        </is>
      </c>
      <c r="C355" t="n">
        <v>25.8107</v>
      </c>
    </row>
    <row r="356">
      <c r="A356" t="inlineStr">
        <is>
          <t>NIC_BW</t>
        </is>
      </c>
      <c r="B356" t="inlineStr">
        <is>
          <t>bytes/us</t>
        </is>
      </c>
      <c r="C356" t="n">
        <v>48750</v>
      </c>
    </row>
    <row r="357">
      <c r="A357" t="inlineStr">
        <is>
          <t>NIC_BW_single_efa</t>
        </is>
      </c>
      <c r="B357" t="inlineStr">
        <is>
          <t>50/2*1e3*0.975</t>
        </is>
      </c>
      <c r="C357" t="n">
        <v>24375</v>
      </c>
    </row>
    <row r="358">
      <c r="A358" t="inlineStr">
        <is>
          <t>chunk_size</t>
        </is>
      </c>
      <c r="B358" t="inlineStr">
        <is>
          <t>576000 bytes</t>
        </is>
      </c>
      <c r="C358" t="n">
        <v>576000</v>
      </c>
    </row>
    <row r="359">
      <c r="A359" t="inlineStr">
        <is>
          <t>G</t>
        </is>
      </c>
      <c r="B359" t="inlineStr">
        <is>
          <t>(16/15)*2*(n-1)/(n*NIC_BW)</t>
        </is>
      </c>
      <c r="C359">
        <f>(16/15)*2*(C353-1)/(C353*C356)</f>
        <v/>
      </c>
    </row>
    <row r="360">
      <c r="A360" t="inlineStr">
        <is>
          <t>busbw_factor</t>
        </is>
      </c>
      <c r="B360" t="inlineStr">
        <is>
          <t>2*(n-1)/n</t>
        </is>
      </c>
      <c r="C360">
        <f>2*(C353-1)/C353</f>
        <v/>
      </c>
    </row>
    <row r="361">
      <c r="A361" t="inlineStr">
        <is>
          <t>fixed_per_step</t>
        </is>
      </c>
      <c r="B361" t="inlineStr">
        <is>
          <t>2*(n-1)*a/2</t>
        </is>
      </c>
      <c r="C361">
        <f>2*(C353-1)*C355/2</f>
        <v/>
      </c>
    </row>
    <row r="362"/>
    <row r="363">
      <c r="A363" t="inlineStr">
        <is>
          <t>size_KB</t>
        </is>
      </c>
      <c r="B363" t="inlineStr">
        <is>
          <t>Actual Time (us)</t>
        </is>
      </c>
      <c r="C363" t="inlineStr">
        <is>
          <t>Roofline Time (us)</t>
        </is>
      </c>
      <c r="D363" t="inlineStr">
        <is>
          <t>Actual/Roofline</t>
        </is>
      </c>
      <c r="E363" t="inlineStr">
        <is>
          <t>Actual busBW (GB/s)</t>
        </is>
      </c>
      <c r="F363" t="inlineStr">
        <is>
          <t>Roofline busBW (GB/s)</t>
        </is>
      </c>
      <c r="G363" t="inlineStr">
        <is>
          <t>Meas/Roof busBW</t>
        </is>
      </c>
    </row>
    <row r="364">
      <c r="A364" t="n">
        <v>1</v>
      </c>
      <c r="B364" t="n">
        <v>231.72</v>
      </c>
      <c r="C364">
        <f>C361*CEILING(A364*1024/(C354*C358*C353),1)+A364*1024*C359</f>
        <v/>
      </c>
      <c r="D364">
        <f>B364/C364</f>
        <v/>
      </c>
      <c r="E364" t="n">
        <v>0.01</v>
      </c>
      <c r="F364">
        <f>A364*1024/(C364*0.000001)/1000000000*C360</f>
        <v/>
      </c>
      <c r="G364">
        <f>E364/F364</f>
        <v/>
      </c>
    </row>
    <row r="365">
      <c r="A365" t="n">
        <v>2</v>
      </c>
      <c r="B365" t="n">
        <v>230.74</v>
      </c>
      <c r="C365">
        <f>C361*CEILING(A365*1024/(C354*C358*C353),1)+A365*1024*C359</f>
        <v/>
      </c>
      <c r="D365">
        <f>B365/C365</f>
        <v/>
      </c>
      <c r="E365" t="n">
        <v>0.02</v>
      </c>
      <c r="F365">
        <f>A365*1024/(C365*0.000001)/1000000000*C360</f>
        <v/>
      </c>
      <c r="G365">
        <f>E365/F365</f>
        <v/>
      </c>
    </row>
    <row r="366">
      <c r="A366" t="n">
        <v>4</v>
      </c>
      <c r="B366" t="n">
        <v>230.91</v>
      </c>
      <c r="C366">
        <f>C361*CEILING(A366*1024/(C354*C358*C353),1)+A366*1024*C359</f>
        <v/>
      </c>
      <c r="D366">
        <f>B366/C366</f>
        <v/>
      </c>
      <c r="E366" t="n">
        <v>0.03</v>
      </c>
      <c r="F366">
        <f>A366*1024/(C366*0.000001)/1000000000*C360</f>
        <v/>
      </c>
      <c r="G366">
        <f>E366/F366</f>
        <v/>
      </c>
    </row>
    <row r="367">
      <c r="A367" t="n">
        <v>8</v>
      </c>
      <c r="B367" t="n">
        <v>231.62</v>
      </c>
      <c r="C367">
        <f>C361*CEILING(A367*1024/(C354*C358*C353),1)+A367*1024*C359</f>
        <v/>
      </c>
      <c r="D367">
        <f>B367/C367</f>
        <v/>
      </c>
      <c r="E367" t="n">
        <v>0.06</v>
      </c>
      <c r="F367">
        <f>A367*1024/(C367*0.000001)/1000000000*C360</f>
        <v/>
      </c>
      <c r="G367">
        <f>E367/F367</f>
        <v/>
      </c>
    </row>
    <row r="368">
      <c r="A368" t="n">
        <v>16</v>
      </c>
      <c r="B368" t="n">
        <v>241.82</v>
      </c>
      <c r="C368">
        <f>C361*CEILING(A368*1024/(C354*C358*C353),1)+A368*1024*C359</f>
        <v/>
      </c>
      <c r="D368">
        <f>B368/C368</f>
        <v/>
      </c>
      <c r="E368" t="n">
        <v>0.12</v>
      </c>
      <c r="F368">
        <f>A368*1024/(C368*0.000001)/1000000000*C360</f>
        <v/>
      </c>
      <c r="G368">
        <f>E368/F368</f>
        <v/>
      </c>
    </row>
    <row r="369">
      <c r="A369" t="n">
        <v>32</v>
      </c>
      <c r="B369" t="n">
        <v>253.92</v>
      </c>
      <c r="C369">
        <f>C361*CEILING(A369*1024/(C354*C358*C353),1)+A369*1024*C359</f>
        <v/>
      </c>
      <c r="D369">
        <f>B369/C369</f>
        <v/>
      </c>
      <c r="E369" t="n">
        <v>0.23</v>
      </c>
      <c r="F369">
        <f>A369*1024/(C369*0.000001)/1000000000*C360</f>
        <v/>
      </c>
      <c r="G369">
        <f>E369/F369</f>
        <v/>
      </c>
    </row>
    <row r="370">
      <c r="A370" t="n">
        <v>64</v>
      </c>
      <c r="B370" t="n">
        <v>270.84</v>
      </c>
      <c r="C370">
        <f>C361*CEILING(A370*1024/(C354*C358*C353),1)+A370*1024*C359</f>
        <v/>
      </c>
      <c r="D370">
        <f>B370/C370</f>
        <v/>
      </c>
      <c r="E370" t="n">
        <v>0.42</v>
      </c>
      <c r="F370">
        <f>A370*1024/(C370*0.000001)/1000000000*C360</f>
        <v/>
      </c>
      <c r="G370">
        <f>E370/F370</f>
        <v/>
      </c>
    </row>
    <row r="371">
      <c r="A371" t="n">
        <v>128</v>
      </c>
      <c r="B371" t="n">
        <v>284.41</v>
      </c>
      <c r="C371">
        <f>C361*CEILING(A371*1024/(C354*C358*C353),1)+A371*1024*C359</f>
        <v/>
      </c>
      <c r="D371">
        <f>B371/C371</f>
        <v/>
      </c>
      <c r="E371" t="n">
        <v>0.8100000000000001</v>
      </c>
      <c r="F371">
        <f>A371*1024/(C371*0.000001)/1000000000*C360</f>
        <v/>
      </c>
      <c r="G371">
        <f>E371/F371</f>
        <v/>
      </c>
    </row>
    <row r="372">
      <c r="A372" t="n">
        <v>256</v>
      </c>
      <c r="B372" t="n">
        <v>305.63</v>
      </c>
      <c r="C372">
        <f>C361*CEILING(A372*1024/(C354*C358*C353),1)+A372*1024*C359</f>
        <v/>
      </c>
      <c r="D372">
        <f>B372/C372</f>
        <v/>
      </c>
      <c r="E372" t="n">
        <v>1.5</v>
      </c>
      <c r="F372">
        <f>A372*1024/(C372*0.000001)/1000000000*C360</f>
        <v/>
      </c>
      <c r="G372">
        <f>E372/F372</f>
        <v/>
      </c>
    </row>
    <row r="373">
      <c r="A373" t="n">
        <v>512</v>
      </c>
      <c r="B373" t="n">
        <v>343.54</v>
      </c>
      <c r="C373">
        <f>C361*CEILING(A373*1024/(C354*C358*C353),1)+A373*1024*C359</f>
        <v/>
      </c>
      <c r="D373">
        <f>B373/C373</f>
        <v/>
      </c>
      <c r="E373" t="n">
        <v>2.67</v>
      </c>
      <c r="F373">
        <f>A373*1024/(C373*0.000001)/1000000000*C360</f>
        <v/>
      </c>
      <c r="G373">
        <f>E373/F373</f>
        <v/>
      </c>
    </row>
    <row r="374">
      <c r="A374" t="n">
        <v>1024</v>
      </c>
      <c r="B374" t="n">
        <v>383.17</v>
      </c>
      <c r="C374">
        <f>C361*CEILING(A374*1024/(C354*C358*C353),1)+A374*1024*C359</f>
        <v/>
      </c>
      <c r="D374">
        <f>B374/C374</f>
        <v/>
      </c>
      <c r="E374" t="n">
        <v>4.79</v>
      </c>
      <c r="F374">
        <f>A374*1024/(C374*0.000001)/1000000000*C360</f>
        <v/>
      </c>
      <c r="G374">
        <f>E374/F374</f>
        <v/>
      </c>
    </row>
    <row r="375">
      <c r="A375" t="n">
        <v>2048</v>
      </c>
      <c r="B375" t="n">
        <v>502.06</v>
      </c>
      <c r="C375">
        <f>C361*CEILING(A375*1024/(C354*C358*C353),1)+A375*1024*C359</f>
        <v/>
      </c>
      <c r="D375">
        <f>B375/C375</f>
        <v/>
      </c>
      <c r="E375" t="n">
        <v>7.31</v>
      </c>
      <c r="F375">
        <f>A375*1024/(C375*0.000001)/1000000000*C360</f>
        <v/>
      </c>
      <c r="G375">
        <f>E375/F375</f>
        <v/>
      </c>
    </row>
    <row r="376">
      <c r="A376" t="n">
        <v>4096</v>
      </c>
      <c r="B376" t="n">
        <v>710.01</v>
      </c>
      <c r="C376">
        <f>C361*CEILING(A376*1024/(C354*C358*C353),1)+A376*1024*C359</f>
        <v/>
      </c>
      <c r="D376">
        <f>B376/C376</f>
        <v/>
      </c>
      <c r="E376" t="n">
        <v>10.34</v>
      </c>
      <c r="F376">
        <f>A376*1024/(C376*0.000001)/1000000000*C360</f>
        <v/>
      </c>
      <c r="G376">
        <f>E376/F376</f>
        <v/>
      </c>
    </row>
    <row r="377">
      <c r="A377" t="n">
        <v>8192</v>
      </c>
      <c r="B377" t="n">
        <v>1414.84</v>
      </c>
      <c r="C377">
        <f>C361*CEILING(A377*1024/(C354*C358*C353),1)+A377*1024*C359</f>
        <v/>
      </c>
      <c r="D377">
        <f>B377/C377</f>
        <v/>
      </c>
      <c r="E377" t="n">
        <v>10.38</v>
      </c>
      <c r="F377">
        <f>A377*1024/(C377*0.000001)/1000000000*C360</f>
        <v/>
      </c>
      <c r="G377">
        <f>E377/F377</f>
        <v/>
      </c>
    </row>
    <row r="378">
      <c r="A378" t="n">
        <v>16384</v>
      </c>
      <c r="B378" t="n">
        <v>2825.09</v>
      </c>
      <c r="C378">
        <f>C361*CEILING(A378*1024/(C354*C358*C353),1)+A378*1024*C359</f>
        <v/>
      </c>
      <c r="D378">
        <f>B378/C378</f>
        <v/>
      </c>
      <c r="E378" t="n">
        <v>10.39</v>
      </c>
      <c r="F378">
        <f>A378*1024/(C378*0.000001)/1000000000*C360</f>
        <v/>
      </c>
      <c r="G378">
        <f>E378/F378</f>
        <v/>
      </c>
    </row>
    <row r="379">
      <c r="A379" t="n">
        <v>32768</v>
      </c>
      <c r="B379" t="n">
        <v>5629.85</v>
      </c>
      <c r="C379">
        <f>C361*CEILING(A379*1024/(C354*C358*C353),1)+A379*1024*C359</f>
        <v/>
      </c>
      <c r="D379">
        <f>B379/C379</f>
        <v/>
      </c>
      <c r="E379" t="n">
        <v>10.43</v>
      </c>
      <c r="F379">
        <f>A379*1024/(C379*0.000001)/1000000000*C360</f>
        <v/>
      </c>
      <c r="G379">
        <f>E379/F379</f>
        <v/>
      </c>
    </row>
    <row r="380">
      <c r="A380" t="n">
        <v>65536</v>
      </c>
      <c r="B380" t="n">
        <v>10993.4</v>
      </c>
      <c r="C380">
        <f>C361*CEILING(A380*1024/(C354*C358*C353),1)+A380*1024*C359</f>
        <v/>
      </c>
      <c r="D380">
        <f>B380/C380</f>
        <v/>
      </c>
      <c r="E380" t="n">
        <v>10.68</v>
      </c>
      <c r="F380">
        <f>A380*1024/(C380*0.000001)/1000000000*C360</f>
        <v/>
      </c>
      <c r="G380">
        <f>E380/F380</f>
        <v/>
      </c>
    </row>
    <row r="381">
      <c r="A381" t="n">
        <v>131072</v>
      </c>
      <c r="B381" t="n">
        <v>21977.7</v>
      </c>
      <c r="C381">
        <f>C361*CEILING(A381*1024/(C354*C358*C353),1)+A381*1024*C359</f>
        <v/>
      </c>
      <c r="D381">
        <f>B381/C381</f>
        <v/>
      </c>
      <c r="E381" t="n">
        <v>10.69</v>
      </c>
      <c r="F381">
        <f>A381*1024/(C381*0.000001)/1000000000*C360</f>
        <v/>
      </c>
      <c r="G381">
        <f>E381/F381</f>
        <v/>
      </c>
    </row>
    <row r="382">
      <c r="A382" t="n">
        <v>262144</v>
      </c>
      <c r="B382" t="n">
        <v>43634.2</v>
      </c>
      <c r="C382">
        <f>C361*CEILING(A382*1024/(C354*C358*C353),1)+A382*1024*C359</f>
        <v/>
      </c>
      <c r="D382">
        <f>B382/C382</f>
        <v/>
      </c>
      <c r="E382" t="n">
        <v>10.77</v>
      </c>
      <c r="F382">
        <f>A382*1024/(C382*0.000001)/1000000000*C360</f>
        <v/>
      </c>
      <c r="G382">
        <f>E382/F382</f>
        <v/>
      </c>
    </row>
    <row r="383">
      <c r="A383" t="n">
        <v>524288</v>
      </c>
      <c r="B383" t="n">
        <v>86989.3</v>
      </c>
      <c r="C383">
        <f>C361*CEILING(A383*1024/(C354*C358*C353),1)+A383*1024*C359</f>
        <v/>
      </c>
      <c r="D383">
        <f>B383/C383</f>
        <v/>
      </c>
      <c r="E383" t="n">
        <v>10.8</v>
      </c>
      <c r="F383">
        <f>A383*1024/(C383*0.000001)/1000000000*C360</f>
        <v/>
      </c>
      <c r="G383">
        <f>E383/F383</f>
        <v/>
      </c>
    </row>
    <row r="384">
      <c r="A384" t="n">
        <v>1048576</v>
      </c>
      <c r="B384" t="n">
        <v>173936</v>
      </c>
      <c r="C384">
        <f>C361*CEILING(A384*1024/(C354*C358*C353),1)+A384*1024*C359</f>
        <v/>
      </c>
      <c r="D384">
        <f>B384/C384</f>
        <v/>
      </c>
      <c r="E384" t="n">
        <v>10.8</v>
      </c>
      <c r="F384">
        <f>A384*1024/(C384*0.000001)/1000000000*C360</f>
        <v/>
      </c>
      <c r="G384">
        <f>E384/F384</f>
        <v/>
      </c>
    </row>
    <row r="385"/>
    <row r="386">
      <c r="A386" t="inlineStr">
        <is>
          <t>Nodes: 8, Protocol: LL128, Channels: 2</t>
        </is>
      </c>
    </row>
    <row r="387">
      <c r="A387" t="inlineStr">
        <is>
          <t>Parameter</t>
        </is>
      </c>
      <c r="B387" t="inlineStr">
        <is>
          <t>Formula</t>
        </is>
      </c>
      <c r="C387" t="inlineStr">
        <is>
          <t>Value</t>
        </is>
      </c>
    </row>
    <row r="388">
      <c r="A388" t="inlineStr">
        <is>
          <t>n</t>
        </is>
      </c>
      <c r="B388" t="inlineStr">
        <is>
          <t>nodes on ring</t>
        </is>
      </c>
      <c r="C388" t="n">
        <v>8</v>
      </c>
    </row>
    <row r="389">
      <c r="A389" t="inlineStr">
        <is>
          <t>nch</t>
        </is>
      </c>
      <c r="B389" t="inlineStr">
        <is>
          <t>channels</t>
        </is>
      </c>
      <c r="C389" t="n">
        <v>2</v>
      </c>
    </row>
    <row r="390">
      <c r="A390" t="inlineStr">
        <is>
          <t>a</t>
        </is>
      </c>
      <c r="B390" t="inlineStr">
        <is>
          <t>RTT (us)</t>
        </is>
      </c>
      <c r="C390" t="n">
        <v>25.8107</v>
      </c>
    </row>
    <row r="391">
      <c r="A391" t="inlineStr">
        <is>
          <t>NIC_BW</t>
        </is>
      </c>
      <c r="B391" t="inlineStr">
        <is>
          <t>bytes/us</t>
        </is>
      </c>
      <c r="C391" t="n">
        <v>48750</v>
      </c>
    </row>
    <row r="392">
      <c r="A392" t="inlineStr">
        <is>
          <t>NIC_BW_single_efa</t>
        </is>
      </c>
      <c r="B392" t="inlineStr">
        <is>
          <t>50/2*1e3*0.975</t>
        </is>
      </c>
      <c r="C392" t="n">
        <v>24375</v>
      </c>
    </row>
    <row r="393">
      <c r="A393" t="inlineStr">
        <is>
          <t>chunk_size</t>
        </is>
      </c>
      <c r="B393" t="inlineStr">
        <is>
          <t>576000 bytes</t>
        </is>
      </c>
      <c r="C393" t="n">
        <v>576000</v>
      </c>
    </row>
    <row r="394">
      <c r="A394" t="inlineStr">
        <is>
          <t>G</t>
        </is>
      </c>
      <c r="B394" t="inlineStr">
        <is>
          <t>(16/15)*2*(n-1)/(n*NIC_BW)</t>
        </is>
      </c>
      <c r="C394">
        <f>(16/15)*2*(C388-1)/(C388*C391)</f>
        <v/>
      </c>
    </row>
    <row r="395">
      <c r="A395" t="inlineStr">
        <is>
          <t>busbw_factor</t>
        </is>
      </c>
      <c r="B395" t="inlineStr">
        <is>
          <t>2*(n-1)/n</t>
        </is>
      </c>
      <c r="C395">
        <f>2*(C388-1)/C388</f>
        <v/>
      </c>
    </row>
    <row r="396">
      <c r="A396" t="inlineStr">
        <is>
          <t>fixed_per_step</t>
        </is>
      </c>
      <c r="B396" t="inlineStr">
        <is>
          <t>2*(n-1)*a/2</t>
        </is>
      </c>
      <c r="C396">
        <f>2*(C388-1)*C390/2</f>
        <v/>
      </c>
    </row>
    <row r="397"/>
    <row r="398">
      <c r="A398" t="inlineStr">
        <is>
          <t>size_KB</t>
        </is>
      </c>
      <c r="B398" t="inlineStr">
        <is>
          <t>Actual Time (us)</t>
        </is>
      </c>
      <c r="C398" t="inlineStr">
        <is>
          <t>Roofline Time (us)</t>
        </is>
      </c>
      <c r="D398" t="inlineStr">
        <is>
          <t>Actual/Roofline</t>
        </is>
      </c>
      <c r="E398" t="inlineStr">
        <is>
          <t>Actual busBW (GB/s)</t>
        </is>
      </c>
      <c r="F398" t="inlineStr">
        <is>
          <t>Roofline busBW (GB/s)</t>
        </is>
      </c>
      <c r="G398" t="inlineStr">
        <is>
          <t>Meas/Roof busBW</t>
        </is>
      </c>
    </row>
    <row r="399">
      <c r="A399" t="n">
        <v>1</v>
      </c>
      <c r="B399" t="n">
        <v>230.97</v>
      </c>
      <c r="C399">
        <f>C396*CEILING(A399*1024/(C389*C393*C388),1)+A399*1024*C394</f>
        <v/>
      </c>
      <c r="D399">
        <f>B399/C399</f>
        <v/>
      </c>
      <c r="E399" t="n">
        <v>0.01</v>
      </c>
      <c r="F399">
        <f>A399*1024/(C399*0.000001)/1000000000*C395</f>
        <v/>
      </c>
      <c r="G399">
        <f>E399/F399</f>
        <v/>
      </c>
    </row>
    <row r="400">
      <c r="A400" t="n">
        <v>2</v>
      </c>
      <c r="B400" t="n">
        <v>230.35</v>
      </c>
      <c r="C400">
        <f>C396*CEILING(A400*1024/(C389*C393*C388),1)+A400*1024*C394</f>
        <v/>
      </c>
      <c r="D400">
        <f>B400/C400</f>
        <v/>
      </c>
      <c r="E400" t="n">
        <v>0.02</v>
      </c>
      <c r="F400">
        <f>A400*1024/(C400*0.000001)/1000000000*C395</f>
        <v/>
      </c>
      <c r="G400">
        <f>E400/F400</f>
        <v/>
      </c>
    </row>
    <row r="401">
      <c r="A401" t="n">
        <v>4</v>
      </c>
      <c r="B401" t="n">
        <v>229.98</v>
      </c>
      <c r="C401">
        <f>C396*CEILING(A401*1024/(C389*C393*C388),1)+A401*1024*C394</f>
        <v/>
      </c>
      <c r="D401">
        <f>B401/C401</f>
        <v/>
      </c>
      <c r="E401" t="n">
        <v>0.03</v>
      </c>
      <c r="F401">
        <f>A401*1024/(C401*0.000001)/1000000000*C395</f>
        <v/>
      </c>
      <c r="G401">
        <f>E401/F401</f>
        <v/>
      </c>
    </row>
    <row r="402">
      <c r="A402" t="n">
        <v>8</v>
      </c>
      <c r="B402" t="n">
        <v>231.55</v>
      </c>
      <c r="C402">
        <f>C396*CEILING(A402*1024/(C389*C393*C388),1)+A402*1024*C394</f>
        <v/>
      </c>
      <c r="D402">
        <f>B402/C402</f>
        <v/>
      </c>
      <c r="E402" t="n">
        <v>0.06</v>
      </c>
      <c r="F402">
        <f>A402*1024/(C402*0.000001)/1000000000*C395</f>
        <v/>
      </c>
      <c r="G402">
        <f>E402/F402</f>
        <v/>
      </c>
    </row>
    <row r="403">
      <c r="A403" t="n">
        <v>16</v>
      </c>
      <c r="B403" t="n">
        <v>242.58</v>
      </c>
      <c r="C403">
        <f>C396*CEILING(A403*1024/(C389*C393*C388),1)+A403*1024*C394</f>
        <v/>
      </c>
      <c r="D403">
        <f>B403/C403</f>
        <v/>
      </c>
      <c r="E403" t="n">
        <v>0.12</v>
      </c>
      <c r="F403">
        <f>A403*1024/(C403*0.000001)/1000000000*C395</f>
        <v/>
      </c>
      <c r="G403">
        <f>E403/F403</f>
        <v/>
      </c>
    </row>
    <row r="404">
      <c r="A404" t="n">
        <v>32</v>
      </c>
      <c r="B404" t="n">
        <v>245.88</v>
      </c>
      <c r="C404">
        <f>C396*CEILING(A404*1024/(C389*C393*C388),1)+A404*1024*C394</f>
        <v/>
      </c>
      <c r="D404">
        <f>B404/C404</f>
        <v/>
      </c>
      <c r="E404" t="n">
        <v>0.23</v>
      </c>
      <c r="F404">
        <f>A404*1024/(C404*0.000001)/1000000000*C395</f>
        <v/>
      </c>
      <c r="G404">
        <f>E404/F404</f>
        <v/>
      </c>
    </row>
    <row r="405">
      <c r="A405" t="n">
        <v>64</v>
      </c>
      <c r="B405" t="n">
        <v>258.49</v>
      </c>
      <c r="C405">
        <f>C396*CEILING(A405*1024/(C389*C393*C388),1)+A405*1024*C394</f>
        <v/>
      </c>
      <c r="D405">
        <f>B405/C405</f>
        <v/>
      </c>
      <c r="E405" t="n">
        <v>0.44</v>
      </c>
      <c r="F405">
        <f>A405*1024/(C405*0.000001)/1000000000*C395</f>
        <v/>
      </c>
      <c r="G405">
        <f>E405/F405</f>
        <v/>
      </c>
    </row>
    <row r="406">
      <c r="A406" t="n">
        <v>128</v>
      </c>
      <c r="B406" t="n">
        <v>275.72</v>
      </c>
      <c r="C406">
        <f>C396*CEILING(A406*1024/(C389*C393*C388),1)+A406*1024*C394</f>
        <v/>
      </c>
      <c r="D406">
        <f>B406/C406</f>
        <v/>
      </c>
      <c r="E406" t="n">
        <v>0.83</v>
      </c>
      <c r="F406">
        <f>A406*1024/(C406*0.000001)/1000000000*C395</f>
        <v/>
      </c>
      <c r="G406">
        <f>E406/F406</f>
        <v/>
      </c>
    </row>
    <row r="407">
      <c r="A407" t="n">
        <v>256</v>
      </c>
      <c r="B407" t="n">
        <v>290.11</v>
      </c>
      <c r="C407">
        <f>C396*CEILING(A407*1024/(C389*C393*C388),1)+A407*1024*C394</f>
        <v/>
      </c>
      <c r="D407">
        <f>B407/C407</f>
        <v/>
      </c>
      <c r="E407" t="n">
        <v>1.58</v>
      </c>
      <c r="F407">
        <f>A407*1024/(C407*0.000001)/1000000000*C395</f>
        <v/>
      </c>
      <c r="G407">
        <f>E407/F407</f>
        <v/>
      </c>
    </row>
    <row r="408">
      <c r="A408" t="n">
        <v>512</v>
      </c>
      <c r="B408" t="n">
        <v>315.68</v>
      </c>
      <c r="C408">
        <f>C396*CEILING(A408*1024/(C389*C393*C388),1)+A408*1024*C394</f>
        <v/>
      </c>
      <c r="D408">
        <f>B408/C408</f>
        <v/>
      </c>
      <c r="E408" t="n">
        <v>2.91</v>
      </c>
      <c r="F408">
        <f>A408*1024/(C408*0.000001)/1000000000*C395</f>
        <v/>
      </c>
      <c r="G408">
        <f>E408/F408</f>
        <v/>
      </c>
    </row>
    <row r="409">
      <c r="A409" t="n">
        <v>1024</v>
      </c>
      <c r="B409" t="n">
        <v>354.97</v>
      </c>
      <c r="C409">
        <f>C396*CEILING(A409*1024/(C389*C393*C388),1)+A409*1024*C394</f>
        <v/>
      </c>
      <c r="D409">
        <f>B409/C409</f>
        <v/>
      </c>
      <c r="E409" t="n">
        <v>5.17</v>
      </c>
      <c r="F409">
        <f>A409*1024/(C409*0.000001)/1000000000*C395</f>
        <v/>
      </c>
      <c r="G409">
        <f>E409/F409</f>
        <v/>
      </c>
    </row>
    <row r="410">
      <c r="A410" t="n">
        <v>2048</v>
      </c>
      <c r="B410" t="n">
        <v>410.72</v>
      </c>
      <c r="C410">
        <f>C396*CEILING(A410*1024/(C389*C393*C388),1)+A410*1024*C394</f>
        <v/>
      </c>
      <c r="D410">
        <f>B410/C410</f>
        <v/>
      </c>
      <c r="E410" t="n">
        <v>8.94</v>
      </c>
      <c r="F410">
        <f>A410*1024/(C410*0.000001)/1000000000*C395</f>
        <v/>
      </c>
      <c r="G410">
        <f>E410/F410</f>
        <v/>
      </c>
    </row>
    <row r="411">
      <c r="A411" t="n">
        <v>4096</v>
      </c>
      <c r="B411" t="n">
        <v>529.8099999999999</v>
      </c>
      <c r="C411">
        <f>C396*CEILING(A411*1024/(C389*C393*C388),1)+A411*1024*C394</f>
        <v/>
      </c>
      <c r="D411">
        <f>B411/C411</f>
        <v/>
      </c>
      <c r="E411" t="n">
        <v>13.85</v>
      </c>
      <c r="F411">
        <f>A411*1024/(C411*0.000001)/1000000000*C395</f>
        <v/>
      </c>
      <c r="G411">
        <f>E411/F411</f>
        <v/>
      </c>
    </row>
    <row r="412">
      <c r="A412" t="n">
        <v>8192</v>
      </c>
      <c r="B412" t="n">
        <v>766.4400000000001</v>
      </c>
      <c r="C412">
        <f>C396*CEILING(A412*1024/(C389*C393*C388),1)+A412*1024*C394</f>
        <v/>
      </c>
      <c r="D412">
        <f>B412/C412</f>
        <v/>
      </c>
      <c r="E412" t="n">
        <v>19.15</v>
      </c>
      <c r="F412">
        <f>A412*1024/(C412*0.000001)/1000000000*C395</f>
        <v/>
      </c>
      <c r="G412">
        <f>E412/F412</f>
        <v/>
      </c>
    </row>
    <row r="413">
      <c r="A413" t="n">
        <v>16384</v>
      </c>
      <c r="B413" t="n">
        <v>1493.76</v>
      </c>
      <c r="C413">
        <f>C396*CEILING(A413*1024/(C389*C393*C388),1)+A413*1024*C394</f>
        <v/>
      </c>
      <c r="D413">
        <f>B413/C413</f>
        <v/>
      </c>
      <c r="E413" t="n">
        <v>19.66</v>
      </c>
      <c r="F413">
        <f>A413*1024/(C413*0.000001)/1000000000*C395</f>
        <v/>
      </c>
      <c r="G413">
        <f>E413/F413</f>
        <v/>
      </c>
    </row>
    <row r="414">
      <c r="A414" t="n">
        <v>32768</v>
      </c>
      <c r="B414" t="n">
        <v>2956.5</v>
      </c>
      <c r="C414">
        <f>C396*CEILING(A414*1024/(C389*C393*C388),1)+A414*1024*C394</f>
        <v/>
      </c>
      <c r="D414">
        <f>B414/C414</f>
        <v/>
      </c>
      <c r="E414" t="n">
        <v>19.86</v>
      </c>
      <c r="F414">
        <f>A414*1024/(C414*0.000001)/1000000000*C395</f>
        <v/>
      </c>
      <c r="G414">
        <f>E414/F414</f>
        <v/>
      </c>
    </row>
    <row r="415">
      <c r="A415" t="n">
        <v>65536</v>
      </c>
      <c r="B415" t="n">
        <v>5878.31</v>
      </c>
      <c r="C415">
        <f>C396*CEILING(A415*1024/(C389*C393*C388),1)+A415*1024*C394</f>
        <v/>
      </c>
      <c r="D415">
        <f>B415/C415</f>
        <v/>
      </c>
      <c r="E415" t="n">
        <v>19.98</v>
      </c>
      <c r="F415">
        <f>A415*1024/(C415*0.000001)/1000000000*C395</f>
        <v/>
      </c>
      <c r="G415">
        <f>E415/F415</f>
        <v/>
      </c>
    </row>
    <row r="416">
      <c r="A416" t="n">
        <v>131072</v>
      </c>
      <c r="B416" t="n">
        <v>11448</v>
      </c>
      <c r="C416">
        <f>C396*CEILING(A416*1024/(C389*C393*C388),1)+A416*1024*C394</f>
        <v/>
      </c>
      <c r="D416">
        <f>B416/C416</f>
        <v/>
      </c>
      <c r="E416" t="n">
        <v>20.52</v>
      </c>
      <c r="F416">
        <f>A416*1024/(C416*0.000001)/1000000000*C395</f>
        <v/>
      </c>
      <c r="G416">
        <f>E416/F416</f>
        <v/>
      </c>
    </row>
    <row r="417">
      <c r="A417" t="n">
        <v>262144</v>
      </c>
      <c r="B417" t="n">
        <v>22851.1</v>
      </c>
      <c r="C417">
        <f>C396*CEILING(A417*1024/(C389*C393*C388),1)+A417*1024*C394</f>
        <v/>
      </c>
      <c r="D417">
        <f>B417/C417</f>
        <v/>
      </c>
      <c r="E417" t="n">
        <v>20.56</v>
      </c>
      <c r="F417">
        <f>A417*1024/(C417*0.000001)/1000000000*C395</f>
        <v/>
      </c>
      <c r="G417">
        <f>E417/F417</f>
        <v/>
      </c>
    </row>
    <row r="418">
      <c r="A418" t="n">
        <v>524288</v>
      </c>
      <c r="B418" t="n">
        <v>45384.3</v>
      </c>
      <c r="C418">
        <f>C396*CEILING(A418*1024/(C389*C393*C388),1)+A418*1024*C394</f>
        <v/>
      </c>
      <c r="D418">
        <f>B418/C418</f>
        <v/>
      </c>
      <c r="E418" t="n">
        <v>20.7</v>
      </c>
      <c r="F418">
        <f>A418*1024/(C418*0.000001)/1000000000*C395</f>
        <v/>
      </c>
      <c r="G418">
        <f>E418/F418</f>
        <v/>
      </c>
    </row>
    <row r="419">
      <c r="A419" t="n">
        <v>1048576</v>
      </c>
      <c r="B419" t="n">
        <v>90541.39999999999</v>
      </c>
      <c r="C419">
        <f>C396*CEILING(A419*1024/(C389*C393*C388),1)+A419*1024*C394</f>
        <v/>
      </c>
      <c r="D419">
        <f>B419/C419</f>
        <v/>
      </c>
      <c r="E419" t="n">
        <v>20.75</v>
      </c>
      <c r="F419">
        <f>A419*1024/(C419*0.000001)/1000000000*C395</f>
        <v/>
      </c>
      <c r="G419">
        <f>E419/F419</f>
        <v/>
      </c>
    </row>
    <row r="420"/>
    <row r="421">
      <c r="A421" t="inlineStr">
        <is>
          <t>Nodes: 8, Protocol: LL128, Channels: 4</t>
        </is>
      </c>
    </row>
    <row r="422">
      <c r="A422" t="inlineStr">
        <is>
          <t>Parameter</t>
        </is>
      </c>
      <c r="B422" t="inlineStr">
        <is>
          <t>Formula</t>
        </is>
      </c>
      <c r="C422" t="inlineStr">
        <is>
          <t>Value</t>
        </is>
      </c>
    </row>
    <row r="423">
      <c r="A423" t="inlineStr">
        <is>
          <t>n</t>
        </is>
      </c>
      <c r="B423" t="inlineStr">
        <is>
          <t>nodes on ring</t>
        </is>
      </c>
      <c r="C423" t="n">
        <v>8</v>
      </c>
    </row>
    <row r="424">
      <c r="A424" t="inlineStr">
        <is>
          <t>nch</t>
        </is>
      </c>
      <c r="B424" t="inlineStr">
        <is>
          <t>channels</t>
        </is>
      </c>
      <c r="C424" t="n">
        <v>4</v>
      </c>
    </row>
    <row r="425">
      <c r="A425" t="inlineStr">
        <is>
          <t>a</t>
        </is>
      </c>
      <c r="B425" t="inlineStr">
        <is>
          <t>RTT (us)</t>
        </is>
      </c>
      <c r="C425" t="n">
        <v>25.8107</v>
      </c>
    </row>
    <row r="426">
      <c r="A426" t="inlineStr">
        <is>
          <t>NIC_BW</t>
        </is>
      </c>
      <c r="B426" t="inlineStr">
        <is>
          <t>bytes/us</t>
        </is>
      </c>
      <c r="C426" t="n">
        <v>48750</v>
      </c>
    </row>
    <row r="427">
      <c r="A427" t="inlineStr">
        <is>
          <t>NIC_BW_single_efa</t>
        </is>
      </c>
      <c r="B427" t="inlineStr">
        <is>
          <t>50/2*1e3*0.975</t>
        </is>
      </c>
      <c r="C427" t="n">
        <v>24375</v>
      </c>
    </row>
    <row r="428">
      <c r="A428" t="inlineStr">
        <is>
          <t>chunk_size</t>
        </is>
      </c>
      <c r="B428" t="inlineStr">
        <is>
          <t>576000 bytes</t>
        </is>
      </c>
      <c r="C428" t="n">
        <v>576000</v>
      </c>
    </row>
    <row r="429">
      <c r="A429" t="inlineStr">
        <is>
          <t>G</t>
        </is>
      </c>
      <c r="B429" t="inlineStr">
        <is>
          <t>(16/15)*2*(n-1)/(n*NIC_BW)</t>
        </is>
      </c>
      <c r="C429">
        <f>(16/15)*2*(C423-1)/(C423*C426)</f>
        <v/>
      </c>
    </row>
    <row r="430">
      <c r="A430" t="inlineStr">
        <is>
          <t>busbw_factor</t>
        </is>
      </c>
      <c r="B430" t="inlineStr">
        <is>
          <t>2*(n-1)/n</t>
        </is>
      </c>
      <c r="C430">
        <f>2*(C423-1)/C423</f>
        <v/>
      </c>
    </row>
    <row r="431">
      <c r="A431" t="inlineStr">
        <is>
          <t>fixed_per_step</t>
        </is>
      </c>
      <c r="B431" t="inlineStr">
        <is>
          <t>2*(n-1)*a/2</t>
        </is>
      </c>
      <c r="C431">
        <f>2*(C423-1)*C425/2</f>
        <v/>
      </c>
    </row>
    <row r="432"/>
    <row r="433">
      <c r="A433" t="inlineStr">
        <is>
          <t>size_KB</t>
        </is>
      </c>
      <c r="B433" t="inlineStr">
        <is>
          <t>Actual Time (us)</t>
        </is>
      </c>
      <c r="C433" t="inlineStr">
        <is>
          <t>Roofline Time (us)</t>
        </is>
      </c>
      <c r="D433" t="inlineStr">
        <is>
          <t>Actual/Roofline</t>
        </is>
      </c>
      <c r="E433" t="inlineStr">
        <is>
          <t>Actual busBW (GB/s)</t>
        </is>
      </c>
      <c r="F433" t="inlineStr">
        <is>
          <t>Roofline busBW (GB/s)</t>
        </is>
      </c>
      <c r="G433" t="inlineStr">
        <is>
          <t>Meas/Roof busBW</t>
        </is>
      </c>
    </row>
    <row r="434">
      <c r="A434" t="n">
        <v>1</v>
      </c>
      <c r="B434" t="n">
        <v>230.43</v>
      </c>
      <c r="C434">
        <f>C431*CEILING(A434*1024/(C424*C428*C423),1)+A434*1024*C429</f>
        <v/>
      </c>
      <c r="D434">
        <f>B434/C434</f>
        <v/>
      </c>
      <c r="E434" t="n">
        <v>0.01</v>
      </c>
      <c r="F434">
        <f>A434*1024/(C434*0.000001)/1000000000*C430</f>
        <v/>
      </c>
      <c r="G434">
        <f>E434/F434</f>
        <v/>
      </c>
    </row>
    <row r="435">
      <c r="A435" t="n">
        <v>2</v>
      </c>
      <c r="B435" t="n">
        <v>230.73</v>
      </c>
      <c r="C435">
        <f>C431*CEILING(A435*1024/(C424*C428*C423),1)+A435*1024*C429</f>
        <v/>
      </c>
      <c r="D435">
        <f>B435/C435</f>
        <v/>
      </c>
      <c r="E435" t="n">
        <v>0.02</v>
      </c>
      <c r="F435">
        <f>A435*1024/(C435*0.000001)/1000000000*C430</f>
        <v/>
      </c>
      <c r="G435">
        <f>E435/F435</f>
        <v/>
      </c>
    </row>
    <row r="436">
      <c r="A436" t="n">
        <v>4</v>
      </c>
      <c r="B436" t="n">
        <v>229.32</v>
      </c>
      <c r="C436">
        <f>C431*CEILING(A436*1024/(C424*C428*C423),1)+A436*1024*C429</f>
        <v/>
      </c>
      <c r="D436">
        <f>B436/C436</f>
        <v/>
      </c>
      <c r="E436" t="n">
        <v>0.03</v>
      </c>
      <c r="F436">
        <f>A436*1024/(C436*0.000001)/1000000000*C430</f>
        <v/>
      </c>
      <c r="G436">
        <f>E436/F436</f>
        <v/>
      </c>
    </row>
    <row r="437">
      <c r="A437" t="n">
        <v>8</v>
      </c>
      <c r="B437" t="n">
        <v>230.73</v>
      </c>
      <c r="C437">
        <f>C431*CEILING(A437*1024/(C424*C428*C423),1)+A437*1024*C429</f>
        <v/>
      </c>
      <c r="D437">
        <f>B437/C437</f>
        <v/>
      </c>
      <c r="E437" t="n">
        <v>0.06</v>
      </c>
      <c r="F437">
        <f>A437*1024/(C437*0.000001)/1000000000*C430</f>
        <v/>
      </c>
      <c r="G437">
        <f>E437/F437</f>
        <v/>
      </c>
    </row>
    <row r="438">
      <c r="A438" t="n">
        <v>16</v>
      </c>
      <c r="B438" t="n">
        <v>241.09</v>
      </c>
      <c r="C438">
        <f>C431*CEILING(A438*1024/(C424*C428*C423),1)+A438*1024*C429</f>
        <v/>
      </c>
      <c r="D438">
        <f>B438/C438</f>
        <v/>
      </c>
      <c r="E438" t="n">
        <v>0.12</v>
      </c>
      <c r="F438">
        <f>A438*1024/(C438*0.000001)/1000000000*C430</f>
        <v/>
      </c>
      <c r="G438">
        <f>E438/F438</f>
        <v/>
      </c>
    </row>
    <row r="439">
      <c r="A439" t="n">
        <v>32</v>
      </c>
      <c r="B439" t="n">
        <v>246.4</v>
      </c>
      <c r="C439">
        <f>C431*CEILING(A439*1024/(C424*C428*C423),1)+A439*1024*C429</f>
        <v/>
      </c>
      <c r="D439">
        <f>B439/C439</f>
        <v/>
      </c>
      <c r="E439" t="n">
        <v>0.23</v>
      </c>
      <c r="F439">
        <f>A439*1024/(C439*0.000001)/1000000000*C430</f>
        <v/>
      </c>
      <c r="G439">
        <f>E439/F439</f>
        <v/>
      </c>
    </row>
    <row r="440">
      <c r="A440" t="n">
        <v>64</v>
      </c>
      <c r="B440" t="n">
        <v>256.35</v>
      </c>
      <c r="C440">
        <f>C431*CEILING(A440*1024/(C424*C428*C423),1)+A440*1024*C429</f>
        <v/>
      </c>
      <c r="D440">
        <f>B440/C440</f>
        <v/>
      </c>
      <c r="E440" t="n">
        <v>0.45</v>
      </c>
      <c r="F440">
        <f>A440*1024/(C440*0.000001)/1000000000*C430</f>
        <v/>
      </c>
      <c r="G440">
        <f>E440/F440</f>
        <v/>
      </c>
    </row>
    <row r="441">
      <c r="A441" t="n">
        <v>128</v>
      </c>
      <c r="B441" t="n">
        <v>267.69</v>
      </c>
      <c r="C441">
        <f>C431*CEILING(A441*1024/(C424*C428*C423),1)+A441*1024*C429</f>
        <v/>
      </c>
      <c r="D441">
        <f>B441/C441</f>
        <v/>
      </c>
      <c r="E441" t="n">
        <v>0.86</v>
      </c>
      <c r="F441">
        <f>A441*1024/(C441*0.000001)/1000000000*C430</f>
        <v/>
      </c>
      <c r="G441">
        <f>E441/F441</f>
        <v/>
      </c>
    </row>
    <row r="442">
      <c r="A442" t="n">
        <v>256</v>
      </c>
      <c r="B442" t="n">
        <v>285.44</v>
      </c>
      <c r="C442">
        <f>C431*CEILING(A442*1024/(C424*C428*C423),1)+A442*1024*C429</f>
        <v/>
      </c>
      <c r="D442">
        <f>B442/C442</f>
        <v/>
      </c>
      <c r="E442" t="n">
        <v>1.61</v>
      </c>
      <c r="F442">
        <f>A442*1024/(C442*0.000001)/1000000000*C430</f>
        <v/>
      </c>
      <c r="G442">
        <f>E442/F442</f>
        <v/>
      </c>
    </row>
    <row r="443">
      <c r="A443" t="n">
        <v>512</v>
      </c>
      <c r="B443" t="n">
        <v>301.25</v>
      </c>
      <c r="C443">
        <f>C431*CEILING(A443*1024/(C424*C428*C423),1)+A443*1024*C429</f>
        <v/>
      </c>
      <c r="D443">
        <f>B443/C443</f>
        <v/>
      </c>
      <c r="E443" t="n">
        <v>3.05</v>
      </c>
      <c r="F443">
        <f>A443*1024/(C443*0.000001)/1000000000*C430</f>
        <v/>
      </c>
      <c r="G443">
        <f>E443/F443</f>
        <v/>
      </c>
    </row>
    <row r="444">
      <c r="A444" t="n">
        <v>1024</v>
      </c>
      <c r="B444" t="n">
        <v>331.22</v>
      </c>
      <c r="C444">
        <f>C431*CEILING(A444*1024/(C424*C428*C423),1)+A444*1024*C429</f>
        <v/>
      </c>
      <c r="D444">
        <f>B444/C444</f>
        <v/>
      </c>
      <c r="E444" t="n">
        <v>5.54</v>
      </c>
      <c r="F444">
        <f>A444*1024/(C444*0.000001)/1000000000*C430</f>
        <v/>
      </c>
      <c r="G444">
        <f>E444/F444</f>
        <v/>
      </c>
    </row>
    <row r="445">
      <c r="A445" t="n">
        <v>2048</v>
      </c>
      <c r="B445" t="n">
        <v>376.14</v>
      </c>
      <c r="C445">
        <f>C431*CEILING(A445*1024/(C424*C428*C423),1)+A445*1024*C429</f>
        <v/>
      </c>
      <c r="D445">
        <f>B445/C445</f>
        <v/>
      </c>
      <c r="E445" t="n">
        <v>9.76</v>
      </c>
      <c r="F445">
        <f>A445*1024/(C445*0.000001)/1000000000*C430</f>
        <v/>
      </c>
      <c r="G445">
        <f>E445/F445</f>
        <v/>
      </c>
    </row>
    <row r="446">
      <c r="A446" t="n">
        <v>4096</v>
      </c>
      <c r="B446" t="n">
        <v>444.92</v>
      </c>
      <c r="C446">
        <f>C431*CEILING(A446*1024/(C424*C428*C423),1)+A446*1024*C429</f>
        <v/>
      </c>
      <c r="D446">
        <f>B446/C446</f>
        <v/>
      </c>
      <c r="E446" t="n">
        <v>16.5</v>
      </c>
      <c r="F446">
        <f>A446*1024/(C446*0.000001)/1000000000*C430</f>
        <v/>
      </c>
      <c r="G446">
        <f>E446/F446</f>
        <v/>
      </c>
    </row>
    <row r="447">
      <c r="A447" t="n">
        <v>8192</v>
      </c>
      <c r="B447" t="n">
        <v>596.47</v>
      </c>
      <c r="C447">
        <f>C431*CEILING(A447*1024/(C424*C428*C423),1)+A447*1024*C429</f>
        <v/>
      </c>
      <c r="D447">
        <f>B447/C447</f>
        <v/>
      </c>
      <c r="E447" t="n">
        <v>24.61</v>
      </c>
      <c r="F447">
        <f>A447*1024/(C447*0.000001)/1000000000*C430</f>
        <v/>
      </c>
      <c r="G447">
        <f>E447/F447</f>
        <v/>
      </c>
    </row>
    <row r="448">
      <c r="A448" t="n">
        <v>16384</v>
      </c>
      <c r="B448" t="n">
        <v>908.09</v>
      </c>
      <c r="C448">
        <f>C431*CEILING(A448*1024/(C424*C428*C423),1)+A448*1024*C429</f>
        <v/>
      </c>
      <c r="D448">
        <f>B448/C448</f>
        <v/>
      </c>
      <c r="E448" t="n">
        <v>32.33</v>
      </c>
      <c r="F448">
        <f>A448*1024/(C448*0.000001)/1000000000*C430</f>
        <v/>
      </c>
      <c r="G448">
        <f>E448/F448</f>
        <v/>
      </c>
    </row>
    <row r="449">
      <c r="A449" t="n">
        <v>32768</v>
      </c>
      <c r="B449" t="n">
        <v>1776.71</v>
      </c>
      <c r="C449">
        <f>C431*CEILING(A449*1024/(C424*C428*C423),1)+A449*1024*C429</f>
        <v/>
      </c>
      <c r="D449">
        <f>B449/C449</f>
        <v/>
      </c>
      <c r="E449" t="n">
        <v>33.05</v>
      </c>
      <c r="F449">
        <f>A449*1024/(C449*0.000001)/1000000000*C430</f>
        <v/>
      </c>
      <c r="G449">
        <f>E449/F449</f>
        <v/>
      </c>
    </row>
    <row r="450">
      <c r="A450" t="n">
        <v>65536</v>
      </c>
      <c r="B450" t="n">
        <v>3500.39</v>
      </c>
      <c r="C450">
        <f>C431*CEILING(A450*1024/(C424*C428*C423),1)+A450*1024*C429</f>
        <v/>
      </c>
      <c r="D450">
        <f>B450/C450</f>
        <v/>
      </c>
      <c r="E450" t="n">
        <v>33.55</v>
      </c>
      <c r="F450">
        <f>A450*1024/(C450*0.000001)/1000000000*C430</f>
        <v/>
      </c>
      <c r="G450">
        <f>E450/F450</f>
        <v/>
      </c>
    </row>
    <row r="451">
      <c r="A451" t="n">
        <v>131072</v>
      </c>
      <c r="B451" t="n">
        <v>6947.93</v>
      </c>
      <c r="C451">
        <f>C431*CEILING(A451*1024/(C424*C428*C423),1)+A451*1024*C429</f>
        <v/>
      </c>
      <c r="D451">
        <f>B451/C451</f>
        <v/>
      </c>
      <c r="E451" t="n">
        <v>33.81</v>
      </c>
      <c r="F451">
        <f>A451*1024/(C451*0.000001)/1000000000*C430</f>
        <v/>
      </c>
      <c r="G451">
        <f>E451/F451</f>
        <v/>
      </c>
    </row>
    <row r="452">
      <c r="A452" t="n">
        <v>262144</v>
      </c>
      <c r="B452" t="n">
        <v>13602.1</v>
      </c>
      <c r="C452">
        <f>C431*CEILING(A452*1024/(C424*C428*C423),1)+A452*1024*C429</f>
        <v/>
      </c>
      <c r="D452">
        <f>B452/C452</f>
        <v/>
      </c>
      <c r="E452" t="n">
        <v>34.54</v>
      </c>
      <c r="F452">
        <f>A452*1024/(C452*0.000001)/1000000000*C430</f>
        <v/>
      </c>
      <c r="G452">
        <f>E452/F452</f>
        <v/>
      </c>
    </row>
    <row r="453">
      <c r="A453" t="n">
        <v>524288</v>
      </c>
      <c r="B453" t="n">
        <v>27184.7</v>
      </c>
      <c r="C453">
        <f>C431*CEILING(A453*1024/(C424*C428*C423),1)+A453*1024*C429</f>
        <v/>
      </c>
      <c r="D453">
        <f>B453/C453</f>
        <v/>
      </c>
      <c r="E453" t="n">
        <v>34.56</v>
      </c>
      <c r="F453">
        <f>A453*1024/(C453*0.000001)/1000000000*C430</f>
        <v/>
      </c>
      <c r="G453">
        <f>E453/F453</f>
        <v/>
      </c>
    </row>
    <row r="454">
      <c r="A454" t="n">
        <v>1048576</v>
      </c>
      <c r="B454" t="n">
        <v>54115.9</v>
      </c>
      <c r="C454">
        <f>C431*CEILING(A454*1024/(C424*C428*C423),1)+A454*1024*C429</f>
        <v/>
      </c>
      <c r="D454">
        <f>B454/C454</f>
        <v/>
      </c>
      <c r="E454" t="n">
        <v>34.72</v>
      </c>
      <c r="F454">
        <f>A454*1024/(C454*0.000001)/1000000000*C430</f>
        <v/>
      </c>
      <c r="G454">
        <f>E454/F454</f>
        <v/>
      </c>
    </row>
    <row r="455"/>
    <row r="456">
      <c r="A456" t="inlineStr">
        <is>
          <t>Nodes: 8, Protocol: LL128, Channels: 8</t>
        </is>
      </c>
    </row>
    <row r="457">
      <c r="A457" t="inlineStr">
        <is>
          <t>Parameter</t>
        </is>
      </c>
      <c r="B457" t="inlineStr">
        <is>
          <t>Formula</t>
        </is>
      </c>
      <c r="C457" t="inlineStr">
        <is>
          <t>Value</t>
        </is>
      </c>
    </row>
    <row r="458">
      <c r="A458" t="inlineStr">
        <is>
          <t>n</t>
        </is>
      </c>
      <c r="B458" t="inlineStr">
        <is>
          <t>nodes on ring</t>
        </is>
      </c>
      <c r="C458" t="n">
        <v>8</v>
      </c>
    </row>
    <row r="459">
      <c r="A459" t="inlineStr">
        <is>
          <t>nch</t>
        </is>
      </c>
      <c r="B459" t="inlineStr">
        <is>
          <t>channels</t>
        </is>
      </c>
      <c r="C459" t="n">
        <v>8</v>
      </c>
    </row>
    <row r="460">
      <c r="A460" t="inlineStr">
        <is>
          <t>a</t>
        </is>
      </c>
      <c r="B460" t="inlineStr">
        <is>
          <t>RTT (us)</t>
        </is>
      </c>
      <c r="C460" t="n">
        <v>25.8107</v>
      </c>
    </row>
    <row r="461">
      <c r="A461" t="inlineStr">
        <is>
          <t>NIC_BW</t>
        </is>
      </c>
      <c r="B461" t="inlineStr">
        <is>
          <t>bytes/us</t>
        </is>
      </c>
      <c r="C461" t="n">
        <v>48750</v>
      </c>
    </row>
    <row r="462">
      <c r="A462" t="inlineStr">
        <is>
          <t>NIC_BW_single_efa</t>
        </is>
      </c>
      <c r="B462" t="inlineStr">
        <is>
          <t>50/2*1e3*0.975</t>
        </is>
      </c>
      <c r="C462" t="n">
        <v>24375</v>
      </c>
    </row>
    <row r="463">
      <c r="A463" t="inlineStr">
        <is>
          <t>chunk_size</t>
        </is>
      </c>
      <c r="B463" t="inlineStr">
        <is>
          <t>576000 bytes</t>
        </is>
      </c>
      <c r="C463" t="n">
        <v>576000</v>
      </c>
    </row>
    <row r="464">
      <c r="A464" t="inlineStr">
        <is>
          <t>G</t>
        </is>
      </c>
      <c r="B464" t="inlineStr">
        <is>
          <t>(16/15)*2*(n-1)/(n*NIC_BW)</t>
        </is>
      </c>
      <c r="C464">
        <f>(16/15)*2*(C458-1)/(C458*C461)</f>
        <v/>
      </c>
    </row>
    <row r="465">
      <c r="A465" t="inlineStr">
        <is>
          <t>busbw_factor</t>
        </is>
      </c>
      <c r="B465" t="inlineStr">
        <is>
          <t>2*(n-1)/n</t>
        </is>
      </c>
      <c r="C465">
        <f>2*(C458-1)/C458</f>
        <v/>
      </c>
    </row>
    <row r="466">
      <c r="A466" t="inlineStr">
        <is>
          <t>fixed_per_step</t>
        </is>
      </c>
      <c r="B466" t="inlineStr">
        <is>
          <t>2*(n-1)*a/2</t>
        </is>
      </c>
      <c r="C466">
        <f>2*(C458-1)*C460/2</f>
        <v/>
      </c>
    </row>
    <row r="467"/>
    <row r="468">
      <c r="A468" t="inlineStr">
        <is>
          <t>size_KB</t>
        </is>
      </c>
      <c r="B468" t="inlineStr">
        <is>
          <t>Actual Time (us)</t>
        </is>
      </c>
      <c r="C468" t="inlineStr">
        <is>
          <t>Roofline Time (us)</t>
        </is>
      </c>
      <c r="D468" t="inlineStr">
        <is>
          <t>Actual/Roofline</t>
        </is>
      </c>
      <c r="E468" t="inlineStr">
        <is>
          <t>Actual busBW (GB/s)</t>
        </is>
      </c>
      <c r="F468" t="inlineStr">
        <is>
          <t>Roofline busBW (GB/s)</t>
        </is>
      </c>
      <c r="G468" t="inlineStr">
        <is>
          <t>Meas/Roof busBW</t>
        </is>
      </c>
    </row>
    <row r="469">
      <c r="A469" t="n">
        <v>1</v>
      </c>
      <c r="B469" t="n">
        <v>230.74</v>
      </c>
      <c r="C469">
        <f>C466*CEILING(A469*1024/(C459*C463*C458),1)+A469*1024*C464</f>
        <v/>
      </c>
      <c r="D469">
        <f>B469/C469</f>
        <v/>
      </c>
      <c r="E469" t="n">
        <v>0.01</v>
      </c>
      <c r="F469">
        <f>A469*1024/(C469*0.000001)/1000000000*C465</f>
        <v/>
      </c>
      <c r="G469">
        <f>E469/F469</f>
        <v/>
      </c>
    </row>
    <row r="470">
      <c r="A470" t="n">
        <v>2</v>
      </c>
      <c r="B470" t="n">
        <v>232.43</v>
      </c>
      <c r="C470">
        <f>C466*CEILING(A470*1024/(C459*C463*C458),1)+A470*1024*C464</f>
        <v/>
      </c>
      <c r="D470">
        <f>B470/C470</f>
        <v/>
      </c>
      <c r="E470" t="n">
        <v>0.02</v>
      </c>
      <c r="F470">
        <f>A470*1024/(C470*0.000001)/1000000000*C465</f>
        <v/>
      </c>
      <c r="G470">
        <f>E470/F470</f>
        <v/>
      </c>
    </row>
    <row r="471">
      <c r="A471" t="n">
        <v>4</v>
      </c>
      <c r="B471" t="n">
        <v>230.02</v>
      </c>
      <c r="C471">
        <f>C466*CEILING(A471*1024/(C459*C463*C458),1)+A471*1024*C464</f>
        <v/>
      </c>
      <c r="D471">
        <f>B471/C471</f>
        <v/>
      </c>
      <c r="E471" t="n">
        <v>0.03</v>
      </c>
      <c r="F471">
        <f>A471*1024/(C471*0.000001)/1000000000*C465</f>
        <v/>
      </c>
      <c r="G471">
        <f>E471/F471</f>
        <v/>
      </c>
    </row>
    <row r="472">
      <c r="A472" t="n">
        <v>8</v>
      </c>
      <c r="B472" t="n">
        <v>231.16</v>
      </c>
      <c r="C472">
        <f>C466*CEILING(A472*1024/(C459*C463*C458),1)+A472*1024*C464</f>
        <v/>
      </c>
      <c r="D472">
        <f>B472/C472</f>
        <v/>
      </c>
      <c r="E472" t="n">
        <v>0.06</v>
      </c>
      <c r="F472">
        <f>A472*1024/(C472*0.000001)/1000000000*C465</f>
        <v/>
      </c>
      <c r="G472">
        <f>E472/F472</f>
        <v/>
      </c>
    </row>
    <row r="473">
      <c r="A473" t="n">
        <v>16</v>
      </c>
      <c r="B473" t="n">
        <v>241.39</v>
      </c>
      <c r="C473">
        <f>C466*CEILING(A473*1024/(C459*C463*C458),1)+A473*1024*C464</f>
        <v/>
      </c>
      <c r="D473">
        <f>B473/C473</f>
        <v/>
      </c>
      <c r="E473" t="n">
        <v>0.12</v>
      </c>
      <c r="F473">
        <f>A473*1024/(C473*0.000001)/1000000000*C465</f>
        <v/>
      </c>
      <c r="G473">
        <f>E473/F473</f>
        <v/>
      </c>
    </row>
    <row r="474">
      <c r="A474" t="n">
        <v>32</v>
      </c>
      <c r="B474" t="n">
        <v>245.52</v>
      </c>
      <c r="C474">
        <f>C466*CEILING(A474*1024/(C459*C463*C458),1)+A474*1024*C464</f>
        <v/>
      </c>
      <c r="D474">
        <f>B474/C474</f>
        <v/>
      </c>
      <c r="E474" t="n">
        <v>0.23</v>
      </c>
      <c r="F474">
        <f>A474*1024/(C474*0.000001)/1000000000*C465</f>
        <v/>
      </c>
      <c r="G474">
        <f>E474/F474</f>
        <v/>
      </c>
    </row>
    <row r="475">
      <c r="A475" t="n">
        <v>64</v>
      </c>
      <c r="B475" t="n">
        <v>260.86</v>
      </c>
      <c r="C475">
        <f>C466*CEILING(A475*1024/(C459*C463*C458),1)+A475*1024*C464</f>
        <v/>
      </c>
      <c r="D475">
        <f>B475/C475</f>
        <v/>
      </c>
      <c r="E475" t="n">
        <v>0.44</v>
      </c>
      <c r="F475">
        <f>A475*1024/(C475*0.000001)/1000000000*C465</f>
        <v/>
      </c>
      <c r="G475">
        <f>E475/F475</f>
        <v/>
      </c>
    </row>
    <row r="476">
      <c r="A476" t="n">
        <v>128</v>
      </c>
      <c r="B476" t="n">
        <v>292.74</v>
      </c>
      <c r="C476">
        <f>C466*CEILING(A476*1024/(C459*C463*C458),1)+A476*1024*C464</f>
        <v/>
      </c>
      <c r="D476">
        <f>B476/C476</f>
        <v/>
      </c>
      <c r="E476" t="n">
        <v>0.78</v>
      </c>
      <c r="F476">
        <f>A476*1024/(C476*0.000001)/1000000000*C465</f>
        <v/>
      </c>
      <c r="G476">
        <f>E476/F476</f>
        <v/>
      </c>
    </row>
    <row r="477">
      <c r="A477" t="n">
        <v>256</v>
      </c>
      <c r="B477" t="n">
        <v>300.67</v>
      </c>
      <c r="C477">
        <f>C466*CEILING(A477*1024/(C459*C463*C458),1)+A477*1024*C464</f>
        <v/>
      </c>
      <c r="D477">
        <f>B477/C477</f>
        <v/>
      </c>
      <c r="E477" t="n">
        <v>1.53</v>
      </c>
      <c r="F477">
        <f>A477*1024/(C477*0.000001)/1000000000*C465</f>
        <v/>
      </c>
      <c r="G477">
        <f>E477/F477</f>
        <v/>
      </c>
    </row>
    <row r="478">
      <c r="A478" t="n">
        <v>512</v>
      </c>
      <c r="B478" t="n">
        <v>316.69</v>
      </c>
      <c r="C478">
        <f>C466*CEILING(A478*1024/(C459*C463*C458),1)+A478*1024*C464</f>
        <v/>
      </c>
      <c r="D478">
        <f>B478/C478</f>
        <v/>
      </c>
      <c r="E478" t="n">
        <v>2.9</v>
      </c>
      <c r="F478">
        <f>A478*1024/(C478*0.000001)/1000000000*C465</f>
        <v/>
      </c>
      <c r="G478">
        <f>E478/F478</f>
        <v/>
      </c>
    </row>
    <row r="479">
      <c r="A479" t="n">
        <v>1024</v>
      </c>
      <c r="B479" t="n">
        <v>333.59</v>
      </c>
      <c r="C479">
        <f>C466*CEILING(A479*1024/(C459*C463*C458),1)+A479*1024*C464</f>
        <v/>
      </c>
      <c r="D479">
        <f>B479/C479</f>
        <v/>
      </c>
      <c r="E479" t="n">
        <v>5.5</v>
      </c>
      <c r="F479">
        <f>A479*1024/(C479*0.000001)/1000000000*C465</f>
        <v/>
      </c>
      <c r="G479">
        <f>E479/F479</f>
        <v/>
      </c>
    </row>
    <row r="480">
      <c r="A480" t="n">
        <v>2048</v>
      </c>
      <c r="B480" t="n">
        <v>367.89</v>
      </c>
      <c r="C480">
        <f>C466*CEILING(A480*1024/(C459*C463*C458),1)+A480*1024*C464</f>
        <v/>
      </c>
      <c r="D480">
        <f>B480/C480</f>
        <v/>
      </c>
      <c r="E480" t="n">
        <v>9.98</v>
      </c>
      <c r="F480">
        <f>A480*1024/(C480*0.000001)/1000000000*C465</f>
        <v/>
      </c>
      <c r="G480">
        <f>E480/F480</f>
        <v/>
      </c>
    </row>
    <row r="481">
      <c r="A481" t="n">
        <v>4096</v>
      </c>
      <c r="B481" t="n">
        <v>425.92</v>
      </c>
      <c r="C481">
        <f>C466*CEILING(A481*1024/(C459*C463*C458),1)+A481*1024*C464</f>
        <v/>
      </c>
      <c r="D481">
        <f>B481/C481</f>
        <v/>
      </c>
      <c r="E481" t="n">
        <v>17.23</v>
      </c>
      <c r="F481">
        <f>A481*1024/(C481*0.000001)/1000000000*C465</f>
        <v/>
      </c>
      <c r="G481">
        <f>E481/F481</f>
        <v/>
      </c>
    </row>
    <row r="482">
      <c r="A482" t="n">
        <v>8192</v>
      </c>
      <c r="B482" t="n">
        <v>544.13</v>
      </c>
      <c r="C482">
        <f>C466*CEILING(A482*1024/(C459*C463*C458),1)+A482*1024*C464</f>
        <v/>
      </c>
      <c r="D482">
        <f>B482/C482</f>
        <v/>
      </c>
      <c r="E482" t="n">
        <v>26.98</v>
      </c>
      <c r="F482">
        <f>A482*1024/(C482*0.000001)/1000000000*C465</f>
        <v/>
      </c>
      <c r="G482">
        <f>E482/F482</f>
        <v/>
      </c>
    </row>
    <row r="483">
      <c r="A483" t="n">
        <v>16384</v>
      </c>
      <c r="B483" t="n">
        <v>829.96</v>
      </c>
      <c r="C483">
        <f>C466*CEILING(A483*1024/(C459*C463*C458),1)+A483*1024*C464</f>
        <v/>
      </c>
      <c r="D483">
        <f>B483/C483</f>
        <v/>
      </c>
      <c r="E483" t="n">
        <v>35.38</v>
      </c>
      <c r="F483">
        <f>A483*1024/(C483*0.000001)/1000000000*C465</f>
        <v/>
      </c>
      <c r="G483">
        <f>E483/F483</f>
        <v/>
      </c>
    </row>
    <row r="484">
      <c r="A484" t="n">
        <v>32768</v>
      </c>
      <c r="B484" t="n">
        <v>1470.91</v>
      </c>
      <c r="C484">
        <f>C466*CEILING(A484*1024/(C459*C463*C458),1)+A484*1024*C464</f>
        <v/>
      </c>
      <c r="D484">
        <f>B484/C484</f>
        <v/>
      </c>
      <c r="E484" t="n">
        <v>39.92</v>
      </c>
      <c r="F484">
        <f>A484*1024/(C484*0.000001)/1000000000*C465</f>
        <v/>
      </c>
      <c r="G484">
        <f>E484/F484</f>
        <v/>
      </c>
    </row>
    <row r="485">
      <c r="A485" t="n">
        <v>65536</v>
      </c>
      <c r="B485" t="n">
        <v>2851.2</v>
      </c>
      <c r="C485">
        <f>C466*CEILING(A485*1024/(C459*C463*C458),1)+A485*1024*C464</f>
        <v/>
      </c>
      <c r="D485">
        <f>B485/C485</f>
        <v/>
      </c>
      <c r="E485" t="n">
        <v>41.19</v>
      </c>
      <c r="F485">
        <f>A485*1024/(C485*0.000001)/1000000000*C465</f>
        <v/>
      </c>
      <c r="G485">
        <f>E485/F485</f>
        <v/>
      </c>
    </row>
    <row r="486">
      <c r="A486" t="n">
        <v>131072</v>
      </c>
      <c r="B486" t="n">
        <v>5645.32</v>
      </c>
      <c r="C486">
        <f>C466*CEILING(A486*1024/(C459*C463*C458),1)+A486*1024*C464</f>
        <v/>
      </c>
      <c r="D486">
        <f>B486/C486</f>
        <v/>
      </c>
      <c r="E486" t="n">
        <v>41.61</v>
      </c>
      <c r="F486">
        <f>A486*1024/(C486*0.000001)/1000000000*C465</f>
        <v/>
      </c>
      <c r="G486">
        <f>E486/F486</f>
        <v/>
      </c>
    </row>
    <row r="487">
      <c r="A487" t="n">
        <v>262144</v>
      </c>
      <c r="B487" t="n">
        <v>11227.2</v>
      </c>
      <c r="C487">
        <f>C466*CEILING(A487*1024/(C459*C463*C458),1)+A487*1024*C464</f>
        <v/>
      </c>
      <c r="D487">
        <f>B487/C487</f>
        <v/>
      </c>
      <c r="E487" t="n">
        <v>41.84</v>
      </c>
      <c r="F487">
        <f>A487*1024/(C487*0.000001)/1000000000*C465</f>
        <v/>
      </c>
      <c r="G487">
        <f>E487/F487</f>
        <v/>
      </c>
    </row>
    <row r="488">
      <c r="A488" t="n">
        <v>524288</v>
      </c>
      <c r="B488" t="n">
        <v>22023.1</v>
      </c>
      <c r="C488">
        <f>C466*CEILING(A488*1024/(C459*C463*C458),1)+A488*1024*C464</f>
        <v/>
      </c>
      <c r="D488">
        <f>B488/C488</f>
        <v/>
      </c>
      <c r="E488" t="n">
        <v>42.66</v>
      </c>
      <c r="F488">
        <f>A488*1024/(C488*0.000001)/1000000000*C465</f>
        <v/>
      </c>
      <c r="G488">
        <f>E488/F488</f>
        <v/>
      </c>
    </row>
    <row r="489">
      <c r="A489" t="n">
        <v>1048576</v>
      </c>
      <c r="B489" t="n">
        <v>43955.8</v>
      </c>
      <c r="C489">
        <f>C466*CEILING(A489*1024/(C459*C463*C458),1)+A489*1024*C464</f>
        <v/>
      </c>
      <c r="D489">
        <f>B489/C489</f>
        <v/>
      </c>
      <c r="E489" t="n">
        <v>42.75</v>
      </c>
      <c r="F489">
        <f>A489*1024/(C489*0.000001)/1000000000*C465</f>
        <v/>
      </c>
      <c r="G489">
        <f>E489/F489</f>
        <v/>
      </c>
    </row>
    <row r="490"/>
    <row r="491">
      <c r="A491" t="inlineStr">
        <is>
          <t>Nodes: 8, Protocol: LL128, Channels: 16</t>
        </is>
      </c>
    </row>
    <row r="492">
      <c r="A492" t="inlineStr">
        <is>
          <t>Parameter</t>
        </is>
      </c>
      <c r="B492" t="inlineStr">
        <is>
          <t>Formula</t>
        </is>
      </c>
      <c r="C492" t="inlineStr">
        <is>
          <t>Value</t>
        </is>
      </c>
    </row>
    <row r="493">
      <c r="A493" t="inlineStr">
        <is>
          <t>n</t>
        </is>
      </c>
      <c r="B493" t="inlineStr">
        <is>
          <t>nodes on ring</t>
        </is>
      </c>
      <c r="C493" t="n">
        <v>8</v>
      </c>
    </row>
    <row r="494">
      <c r="A494" t="inlineStr">
        <is>
          <t>nch</t>
        </is>
      </c>
      <c r="B494" t="inlineStr">
        <is>
          <t>channels</t>
        </is>
      </c>
      <c r="C494" t="n">
        <v>16</v>
      </c>
    </row>
    <row r="495">
      <c r="A495" t="inlineStr">
        <is>
          <t>a</t>
        </is>
      </c>
      <c r="B495" t="inlineStr">
        <is>
          <t>RTT (us)</t>
        </is>
      </c>
      <c r="C495" t="n">
        <v>25.8107</v>
      </c>
    </row>
    <row r="496">
      <c r="A496" t="inlineStr">
        <is>
          <t>NIC_BW</t>
        </is>
      </c>
      <c r="B496" t="inlineStr">
        <is>
          <t>bytes/us</t>
        </is>
      </c>
      <c r="C496" t="n">
        <v>48750</v>
      </c>
    </row>
    <row r="497">
      <c r="A497" t="inlineStr">
        <is>
          <t>NIC_BW_single_efa</t>
        </is>
      </c>
      <c r="B497" t="inlineStr">
        <is>
          <t>50/2*1e3*0.975</t>
        </is>
      </c>
      <c r="C497" t="n">
        <v>24375</v>
      </c>
    </row>
    <row r="498">
      <c r="A498" t="inlineStr">
        <is>
          <t>chunk_size</t>
        </is>
      </c>
      <c r="B498" t="inlineStr">
        <is>
          <t>576000 bytes</t>
        </is>
      </c>
      <c r="C498" t="n">
        <v>576000</v>
      </c>
    </row>
    <row r="499">
      <c r="A499" t="inlineStr">
        <is>
          <t>G</t>
        </is>
      </c>
      <c r="B499" t="inlineStr">
        <is>
          <t>(16/15)*2*(n-1)/(n*NIC_BW)</t>
        </is>
      </c>
      <c r="C499">
        <f>(16/15)*2*(C493-1)/(C493*C496)</f>
        <v/>
      </c>
    </row>
    <row r="500">
      <c r="A500" t="inlineStr">
        <is>
          <t>busbw_factor</t>
        </is>
      </c>
      <c r="B500" t="inlineStr">
        <is>
          <t>2*(n-1)/n</t>
        </is>
      </c>
      <c r="C500">
        <f>2*(C493-1)/C493</f>
        <v/>
      </c>
    </row>
    <row r="501">
      <c r="A501" t="inlineStr">
        <is>
          <t>fixed_per_step</t>
        </is>
      </c>
      <c r="B501" t="inlineStr">
        <is>
          <t>2*(n-1)*a/2</t>
        </is>
      </c>
      <c r="C501">
        <f>2*(C493-1)*C495/2</f>
        <v/>
      </c>
    </row>
    <row r="502"/>
    <row r="503">
      <c r="A503" t="inlineStr">
        <is>
          <t>size_KB</t>
        </is>
      </c>
      <c r="B503" t="inlineStr">
        <is>
          <t>Actual Time (us)</t>
        </is>
      </c>
      <c r="C503" t="inlineStr">
        <is>
          <t>Roofline Time (us)</t>
        </is>
      </c>
      <c r="D503" t="inlineStr">
        <is>
          <t>Actual/Roofline</t>
        </is>
      </c>
      <c r="E503" t="inlineStr">
        <is>
          <t>Actual busBW (GB/s)</t>
        </is>
      </c>
      <c r="F503" t="inlineStr">
        <is>
          <t>Roofline busBW (GB/s)</t>
        </is>
      </c>
      <c r="G503" t="inlineStr">
        <is>
          <t>Meas/Roof busBW</t>
        </is>
      </c>
    </row>
    <row r="504">
      <c r="A504" t="n">
        <v>1</v>
      </c>
      <c r="B504" t="n">
        <v>231.59</v>
      </c>
      <c r="C504">
        <f>C501*CEILING(A504*1024/(C494*C498*C493),1)+A504*1024*C499</f>
        <v/>
      </c>
      <c r="D504">
        <f>B504/C504</f>
        <v/>
      </c>
      <c r="E504" t="n">
        <v>0.01</v>
      </c>
      <c r="F504">
        <f>A504*1024/(C504*0.000001)/1000000000*C500</f>
        <v/>
      </c>
      <c r="G504">
        <f>E504/F504</f>
        <v/>
      </c>
    </row>
    <row r="505">
      <c r="A505" t="n">
        <v>2</v>
      </c>
      <c r="B505" t="n">
        <v>230.17</v>
      </c>
      <c r="C505">
        <f>C501*CEILING(A505*1024/(C494*C498*C493),1)+A505*1024*C499</f>
        <v/>
      </c>
      <c r="D505">
        <f>B505/C505</f>
        <v/>
      </c>
      <c r="E505" t="n">
        <v>0.02</v>
      </c>
      <c r="F505">
        <f>A505*1024/(C505*0.000001)/1000000000*C500</f>
        <v/>
      </c>
      <c r="G505">
        <f>E505/F505</f>
        <v/>
      </c>
    </row>
    <row r="506">
      <c r="A506" t="n">
        <v>4</v>
      </c>
      <c r="B506" t="n">
        <v>231.78</v>
      </c>
      <c r="C506">
        <f>C501*CEILING(A506*1024/(C494*C498*C493),1)+A506*1024*C499</f>
        <v/>
      </c>
      <c r="D506">
        <f>B506/C506</f>
        <v/>
      </c>
      <c r="E506" t="n">
        <v>0.03</v>
      </c>
      <c r="F506">
        <f>A506*1024/(C506*0.000001)/1000000000*C500</f>
        <v/>
      </c>
      <c r="G506">
        <f>E506/F506</f>
        <v/>
      </c>
    </row>
    <row r="507">
      <c r="A507" t="n">
        <v>8</v>
      </c>
      <c r="B507" t="n">
        <v>231.41</v>
      </c>
      <c r="C507">
        <f>C501*CEILING(A507*1024/(C494*C498*C493),1)+A507*1024*C499</f>
        <v/>
      </c>
      <c r="D507">
        <f>B507/C507</f>
        <v/>
      </c>
      <c r="E507" t="n">
        <v>0.06</v>
      </c>
      <c r="F507">
        <f>A507*1024/(C507*0.000001)/1000000000*C500</f>
        <v/>
      </c>
      <c r="G507">
        <f>E507/F507</f>
        <v/>
      </c>
    </row>
    <row r="508">
      <c r="A508" t="n">
        <v>16</v>
      </c>
      <c r="B508" t="n">
        <v>241.21</v>
      </c>
      <c r="C508">
        <f>C501*CEILING(A508*1024/(C494*C498*C493),1)+A508*1024*C499</f>
        <v/>
      </c>
      <c r="D508">
        <f>B508/C508</f>
        <v/>
      </c>
      <c r="E508" t="n">
        <v>0.12</v>
      </c>
      <c r="F508">
        <f>A508*1024/(C508*0.000001)/1000000000*C500</f>
        <v/>
      </c>
      <c r="G508">
        <f>E508/F508</f>
        <v/>
      </c>
    </row>
    <row r="509">
      <c r="A509" t="n">
        <v>32</v>
      </c>
      <c r="B509" t="n">
        <v>245.68</v>
      </c>
      <c r="C509">
        <f>C501*CEILING(A509*1024/(C494*C498*C493),1)+A509*1024*C499</f>
        <v/>
      </c>
      <c r="D509">
        <f>B509/C509</f>
        <v/>
      </c>
      <c r="E509" t="n">
        <v>0.23</v>
      </c>
      <c r="F509">
        <f>A509*1024/(C509*0.000001)/1000000000*C500</f>
        <v/>
      </c>
      <c r="G509">
        <f>E509/F509</f>
        <v/>
      </c>
    </row>
    <row r="510">
      <c r="A510" t="n">
        <v>64</v>
      </c>
      <c r="B510" t="n">
        <v>255.51</v>
      </c>
      <c r="C510">
        <f>C501*CEILING(A510*1024/(C494*C498*C493),1)+A510*1024*C499</f>
        <v/>
      </c>
      <c r="D510">
        <f>B510/C510</f>
        <v/>
      </c>
      <c r="E510" t="n">
        <v>0.45</v>
      </c>
      <c r="F510">
        <f>A510*1024/(C510*0.000001)/1000000000*C500</f>
        <v/>
      </c>
      <c r="G510">
        <f>E510/F510</f>
        <v/>
      </c>
    </row>
    <row r="511">
      <c r="A511" t="n">
        <v>128</v>
      </c>
      <c r="B511" t="n">
        <v>286.7</v>
      </c>
      <c r="C511">
        <f>C501*CEILING(A511*1024/(C494*C498*C493),1)+A511*1024*C499</f>
        <v/>
      </c>
      <c r="D511">
        <f>B511/C511</f>
        <v/>
      </c>
      <c r="E511" t="n">
        <v>0.8</v>
      </c>
      <c r="F511">
        <f>A511*1024/(C511*0.000001)/1000000000*C500</f>
        <v/>
      </c>
      <c r="G511">
        <f>E511/F511</f>
        <v/>
      </c>
    </row>
    <row r="512">
      <c r="A512" t="n">
        <v>256</v>
      </c>
      <c r="B512" t="n">
        <v>398.29</v>
      </c>
      <c r="C512">
        <f>C501*CEILING(A512*1024/(C494*C498*C493),1)+A512*1024*C499</f>
        <v/>
      </c>
      <c r="D512">
        <f>B512/C512</f>
        <v/>
      </c>
      <c r="E512" t="n">
        <v>1.15</v>
      </c>
      <c r="F512">
        <f>A512*1024/(C512*0.000001)/1000000000*C500</f>
        <v/>
      </c>
      <c r="G512">
        <f>E512/F512</f>
        <v/>
      </c>
    </row>
    <row r="513">
      <c r="A513" t="n">
        <v>512</v>
      </c>
      <c r="B513" t="n">
        <v>392.18</v>
      </c>
      <c r="C513">
        <f>C501*CEILING(A513*1024/(C494*C498*C493),1)+A513*1024*C499</f>
        <v/>
      </c>
      <c r="D513">
        <f>B513/C513</f>
        <v/>
      </c>
      <c r="E513" t="n">
        <v>2.34</v>
      </c>
      <c r="F513">
        <f>A513*1024/(C513*0.000001)/1000000000*C500</f>
        <v/>
      </c>
      <c r="G513">
        <f>E513/F513</f>
        <v/>
      </c>
    </row>
    <row r="514">
      <c r="A514" t="n">
        <v>1024</v>
      </c>
      <c r="B514" t="n">
        <v>406.73</v>
      </c>
      <c r="C514">
        <f>C501*CEILING(A514*1024/(C494*C498*C493),1)+A514*1024*C499</f>
        <v/>
      </c>
      <c r="D514">
        <f>B514/C514</f>
        <v/>
      </c>
      <c r="E514" t="n">
        <v>4.51</v>
      </c>
      <c r="F514">
        <f>A514*1024/(C514*0.000001)/1000000000*C500</f>
        <v/>
      </c>
      <c r="G514">
        <f>E514/F514</f>
        <v/>
      </c>
    </row>
    <row r="515">
      <c r="A515" t="n">
        <v>2048</v>
      </c>
      <c r="B515" t="n">
        <v>425.44</v>
      </c>
      <c r="C515">
        <f>C501*CEILING(A515*1024/(C494*C498*C493),1)+A515*1024*C499</f>
        <v/>
      </c>
      <c r="D515">
        <f>B515/C515</f>
        <v/>
      </c>
      <c r="E515" t="n">
        <v>8.630000000000001</v>
      </c>
      <c r="F515">
        <f>A515*1024/(C515*0.000001)/1000000000*C500</f>
        <v/>
      </c>
      <c r="G515">
        <f>E515/F515</f>
        <v/>
      </c>
    </row>
    <row r="516">
      <c r="A516" t="n">
        <v>4096</v>
      </c>
      <c r="B516" t="n">
        <v>465.8</v>
      </c>
      <c r="C516">
        <f>C501*CEILING(A516*1024/(C494*C498*C493),1)+A516*1024*C499</f>
        <v/>
      </c>
      <c r="D516">
        <f>B516/C516</f>
        <v/>
      </c>
      <c r="E516" t="n">
        <v>15.76</v>
      </c>
      <c r="F516">
        <f>A516*1024/(C516*0.000001)/1000000000*C500</f>
        <v/>
      </c>
      <c r="G516">
        <f>E516/F516</f>
        <v/>
      </c>
    </row>
    <row r="517">
      <c r="A517" t="n">
        <v>8192</v>
      </c>
      <c r="B517" t="n">
        <v>563.28</v>
      </c>
      <c r="C517">
        <f>C501*CEILING(A517*1024/(C494*C498*C493),1)+A517*1024*C499</f>
        <v/>
      </c>
      <c r="D517">
        <f>B517/C517</f>
        <v/>
      </c>
      <c r="E517" t="n">
        <v>26.06</v>
      </c>
      <c r="F517">
        <f>A517*1024/(C517*0.000001)/1000000000*C500</f>
        <v/>
      </c>
      <c r="G517">
        <f>E517/F517</f>
        <v/>
      </c>
    </row>
    <row r="518">
      <c r="A518" t="n">
        <v>16384</v>
      </c>
      <c r="B518" t="n">
        <v>820.77</v>
      </c>
      <c r="C518">
        <f>C501*CEILING(A518*1024/(C494*C498*C493),1)+A518*1024*C499</f>
        <v/>
      </c>
      <c r="D518">
        <f>B518/C518</f>
        <v/>
      </c>
      <c r="E518" t="n">
        <v>35.77</v>
      </c>
      <c r="F518">
        <f>A518*1024/(C518*0.000001)/1000000000*C500</f>
        <v/>
      </c>
      <c r="G518">
        <f>E518/F518</f>
        <v/>
      </c>
    </row>
    <row r="519">
      <c r="A519" t="n">
        <v>32768</v>
      </c>
      <c r="B519" t="n">
        <v>1489.16</v>
      </c>
      <c r="C519">
        <f>C501*CEILING(A519*1024/(C494*C498*C493),1)+A519*1024*C499</f>
        <v/>
      </c>
      <c r="D519">
        <f>B519/C519</f>
        <v/>
      </c>
      <c r="E519" t="n">
        <v>39.43</v>
      </c>
      <c r="F519">
        <f>A519*1024/(C519*0.000001)/1000000000*C500</f>
        <v/>
      </c>
      <c r="G519">
        <f>E519/F519</f>
        <v/>
      </c>
    </row>
    <row r="520">
      <c r="A520" t="n">
        <v>65536</v>
      </c>
      <c r="B520" t="n">
        <v>2866.94</v>
      </c>
      <c r="C520">
        <f>C501*CEILING(A520*1024/(C494*C498*C493),1)+A520*1024*C499</f>
        <v/>
      </c>
      <c r="D520">
        <f>B520/C520</f>
        <v/>
      </c>
      <c r="E520" t="n">
        <v>40.96</v>
      </c>
      <c r="F520">
        <f>A520*1024/(C520*0.000001)/1000000000*C500</f>
        <v/>
      </c>
      <c r="G520">
        <f>E520/F520</f>
        <v/>
      </c>
    </row>
    <row r="521">
      <c r="A521" t="n">
        <v>131072</v>
      </c>
      <c r="B521" t="n">
        <v>5581.93</v>
      </c>
      <c r="C521">
        <f>C501*CEILING(A521*1024/(C494*C498*C493),1)+A521*1024*C499</f>
        <v/>
      </c>
      <c r="D521">
        <f>B521/C521</f>
        <v/>
      </c>
      <c r="E521" t="n">
        <v>42.08</v>
      </c>
      <c r="F521">
        <f>A521*1024/(C521*0.000001)/1000000000*C500</f>
        <v/>
      </c>
      <c r="G521">
        <f>E521/F521</f>
        <v/>
      </c>
    </row>
    <row r="522">
      <c r="A522" t="n">
        <v>262144</v>
      </c>
      <c r="B522" t="n">
        <v>11063.4</v>
      </c>
      <c r="C522">
        <f>C501*CEILING(A522*1024/(C494*C498*C493),1)+A522*1024*C499</f>
        <v/>
      </c>
      <c r="D522">
        <f>B522/C522</f>
        <v/>
      </c>
      <c r="E522" t="n">
        <v>42.46</v>
      </c>
      <c r="F522">
        <f>A522*1024/(C522*0.000001)/1000000000*C500</f>
        <v/>
      </c>
      <c r="G522">
        <f>E522/F522</f>
        <v/>
      </c>
    </row>
    <row r="523">
      <c r="A523" t="n">
        <v>524288</v>
      </c>
      <c r="B523" t="n">
        <v>22036.6</v>
      </c>
      <c r="C523">
        <f>C501*CEILING(A523*1024/(C494*C498*C493),1)+A523*1024*C499</f>
        <v/>
      </c>
      <c r="D523">
        <f>B523/C523</f>
        <v/>
      </c>
      <c r="E523" t="n">
        <v>42.63</v>
      </c>
      <c r="F523">
        <f>A523*1024/(C523*0.000001)/1000000000*C500</f>
        <v/>
      </c>
      <c r="G523">
        <f>E523/F523</f>
        <v/>
      </c>
    </row>
    <row r="524">
      <c r="A524" t="n">
        <v>1048576</v>
      </c>
      <c r="B524" t="n">
        <v>43758.1</v>
      </c>
      <c r="C524">
        <f>C501*CEILING(A524*1024/(C494*C498*C493),1)+A524*1024*C499</f>
        <v/>
      </c>
      <c r="D524">
        <f>B524/C524</f>
        <v/>
      </c>
      <c r="E524" t="n">
        <v>42.94</v>
      </c>
      <c r="F524">
        <f>A524*1024/(C524*0.000001)/1000000000*C500</f>
        <v/>
      </c>
      <c r="G524">
        <f>E524/F524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9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Nodes: 8, Protocol: Simple, Channels: 1</t>
        </is>
      </c>
    </row>
    <row r="2">
      <c r="A2" t="inlineStr">
        <is>
          <t>Parameter</t>
        </is>
      </c>
      <c r="B2" t="inlineStr">
        <is>
          <t>Formula</t>
        </is>
      </c>
      <c r="C2" t="inlineStr">
        <is>
          <t>Value</t>
        </is>
      </c>
    </row>
    <row r="3">
      <c r="A3" t="inlineStr">
        <is>
          <t>n</t>
        </is>
      </c>
      <c r="B3" t="inlineStr">
        <is>
          <t>nodes on tree</t>
        </is>
      </c>
      <c r="C3" t="n">
        <v>8</v>
      </c>
    </row>
    <row r="4">
      <c r="A4" t="inlineStr">
        <is>
          <t>nch</t>
        </is>
      </c>
      <c r="B4" t="inlineStr">
        <is>
          <t>channels</t>
        </is>
      </c>
      <c r="C4" t="n">
        <v>1</v>
      </c>
    </row>
    <row r="5">
      <c r="A5" t="inlineStr">
        <is>
          <t>a</t>
        </is>
      </c>
      <c r="B5" t="inlineStr">
        <is>
          <t>RTT (us)</t>
        </is>
      </c>
      <c r="C5" t="n">
        <v>25.8107</v>
      </c>
    </row>
    <row r="6">
      <c r="A6" t="inlineStr">
        <is>
          <t>NIC_BW</t>
        </is>
      </c>
      <c r="B6" t="inlineStr">
        <is>
          <t>bytes/us</t>
        </is>
      </c>
      <c r="C6" t="n">
        <v>48750</v>
      </c>
    </row>
    <row r="7">
      <c r="A7" t="inlineStr">
        <is>
          <t>NIC_BW_REAL</t>
        </is>
      </c>
      <c r="B7" t="inlineStr">
        <is>
          <t>NIC_BW/3</t>
        </is>
      </c>
      <c r="C7">
        <f>C6/3</f>
        <v/>
      </c>
    </row>
    <row r="8">
      <c r="A8" t="inlineStr">
        <is>
          <t>G</t>
        </is>
      </c>
      <c r="B8" t="inlineStr">
        <is>
          <t>1/NIC_BW_REAL</t>
        </is>
      </c>
      <c r="C8">
        <f>1/C7</f>
        <v/>
      </c>
    </row>
    <row r="9">
      <c r="A9" t="inlineStr">
        <is>
          <t>busbw_factor</t>
        </is>
      </c>
      <c r="B9" t="inlineStr">
        <is>
          <t>2*(n-1)/n</t>
        </is>
      </c>
      <c r="C9">
        <f>2*(C3-1)/C3</f>
        <v/>
      </c>
    </row>
    <row r="10">
      <c r="A10" t="inlineStr">
        <is>
          <t>fixed_overhead</t>
        </is>
      </c>
      <c r="B10" t="inlineStr">
        <is>
          <t>(2*LOG2(n)+1)*a/2</t>
        </is>
      </c>
      <c r="C10">
        <f>(2*LOG(C3,2)+1)*C5/2</f>
        <v/>
      </c>
    </row>
    <row r="11"/>
    <row r="12">
      <c r="A12" t="inlineStr">
        <is>
          <t>size_KB</t>
        </is>
      </c>
      <c r="B12" t="inlineStr">
        <is>
          <t>Actual Time (us)</t>
        </is>
      </c>
      <c r="C12" t="inlineStr">
        <is>
          <t>Roofline Time (us)</t>
        </is>
      </c>
      <c r="D12" t="inlineStr">
        <is>
          <t>Actual/Roofline</t>
        </is>
      </c>
      <c r="E12" t="inlineStr">
        <is>
          <t>Actual busBW (GB/s)</t>
        </is>
      </c>
      <c r="F12" t="inlineStr">
        <is>
          <t>Roofline busBW (GB/s)</t>
        </is>
      </c>
      <c r="G12" t="inlineStr">
        <is>
          <t>Meas/Roof busBW</t>
        </is>
      </c>
    </row>
    <row r="13">
      <c r="A13" t="n">
        <v>1</v>
      </c>
      <c r="B13" t="n">
        <v>148.98</v>
      </c>
      <c r="C13">
        <f>C10+A13*1024*C8</f>
        <v/>
      </c>
      <c r="D13">
        <f>B13/C13</f>
        <v/>
      </c>
      <c r="E13" t="n">
        <v>0.01</v>
      </c>
      <c r="F13">
        <f>A13*1024/(C13*0.000001)/1000000000*C9</f>
        <v/>
      </c>
      <c r="G13">
        <f>E13/F13</f>
        <v/>
      </c>
    </row>
    <row r="14">
      <c r="A14" t="n">
        <v>2</v>
      </c>
      <c r="B14" t="n">
        <v>141.83</v>
      </c>
      <c r="C14">
        <f>C10+A14*1024*C8</f>
        <v/>
      </c>
      <c r="D14">
        <f>B14/C14</f>
        <v/>
      </c>
      <c r="E14" t="n">
        <v>0.03</v>
      </c>
      <c r="F14">
        <f>A14*1024/(C14*0.000001)/1000000000*C9</f>
        <v/>
      </c>
      <c r="G14">
        <f>E14/F14</f>
        <v/>
      </c>
    </row>
    <row r="15">
      <c r="A15" t="n">
        <v>4</v>
      </c>
      <c r="B15" t="n">
        <v>145.29</v>
      </c>
      <c r="C15">
        <f>C10+A15*1024*C8</f>
        <v/>
      </c>
      <c r="D15">
        <f>B15/C15</f>
        <v/>
      </c>
      <c r="E15" t="n">
        <v>0.05</v>
      </c>
      <c r="F15">
        <f>A15*1024/(C15*0.000001)/1000000000*C9</f>
        <v/>
      </c>
      <c r="G15">
        <f>E15/F15</f>
        <v/>
      </c>
    </row>
    <row r="16">
      <c r="A16" t="n">
        <v>8</v>
      </c>
      <c r="B16" t="n">
        <v>156.52</v>
      </c>
      <c r="C16">
        <f>C10+A16*1024*C8</f>
        <v/>
      </c>
      <c r="D16">
        <f>B16/C16</f>
        <v/>
      </c>
      <c r="E16" t="n">
        <v>0.09</v>
      </c>
      <c r="F16">
        <f>A16*1024/(C16*0.000001)/1000000000*C9</f>
        <v/>
      </c>
      <c r="G16">
        <f>E16/F16</f>
        <v/>
      </c>
    </row>
    <row r="17">
      <c r="A17" t="n">
        <v>16</v>
      </c>
      <c r="B17" t="n">
        <v>184.44</v>
      </c>
      <c r="C17">
        <f>C10+A17*1024*C8</f>
        <v/>
      </c>
      <c r="D17">
        <f>B17/C17</f>
        <v/>
      </c>
      <c r="E17" t="n">
        <v>0.16</v>
      </c>
      <c r="F17">
        <f>A17*1024/(C17*0.000001)/1000000000*C9</f>
        <v/>
      </c>
      <c r="G17">
        <f>E17/F17</f>
        <v/>
      </c>
    </row>
    <row r="18">
      <c r="A18" t="n">
        <v>32</v>
      </c>
      <c r="B18" t="n">
        <v>205.28</v>
      </c>
      <c r="C18">
        <f>C10+A18*1024*C8</f>
        <v/>
      </c>
      <c r="D18">
        <f>B18/C18</f>
        <v/>
      </c>
      <c r="E18" t="n">
        <v>0.28</v>
      </c>
      <c r="F18">
        <f>A18*1024/(C18*0.000001)/1000000000*C9</f>
        <v/>
      </c>
      <c r="G18">
        <f>E18/F18</f>
        <v/>
      </c>
    </row>
    <row r="19">
      <c r="A19" t="n">
        <v>64</v>
      </c>
      <c r="B19" t="n">
        <v>228.12</v>
      </c>
      <c r="C19">
        <f>C10+A19*1024*C8</f>
        <v/>
      </c>
      <c r="D19">
        <f>B19/C19</f>
        <v/>
      </c>
      <c r="E19" t="n">
        <v>0.5</v>
      </c>
      <c r="F19">
        <f>A19*1024/(C19*0.000001)/1000000000*C9</f>
        <v/>
      </c>
      <c r="G19">
        <f>E19/F19</f>
        <v/>
      </c>
    </row>
    <row r="20">
      <c r="A20" t="n">
        <v>128</v>
      </c>
      <c r="B20" t="n">
        <v>272.38</v>
      </c>
      <c r="C20">
        <f>C10+A20*1024*C8</f>
        <v/>
      </c>
      <c r="D20">
        <f>B20/C20</f>
        <v/>
      </c>
      <c r="E20" t="n">
        <v>0.84</v>
      </c>
      <c r="F20">
        <f>A20*1024/(C20*0.000001)/1000000000*C9</f>
        <v/>
      </c>
      <c r="G20">
        <f>E20/F20</f>
        <v/>
      </c>
    </row>
    <row r="21">
      <c r="A21" t="n">
        <v>256</v>
      </c>
      <c r="B21" t="n">
        <v>322.96</v>
      </c>
      <c r="C21">
        <f>C10+A21*1024*C8</f>
        <v/>
      </c>
      <c r="D21">
        <f>B21/C21</f>
        <v/>
      </c>
      <c r="E21" t="n">
        <v>1.42</v>
      </c>
      <c r="F21">
        <f>A21*1024/(C21*0.000001)/1000000000*C9</f>
        <v/>
      </c>
      <c r="G21">
        <f>E21/F21</f>
        <v/>
      </c>
    </row>
    <row r="22">
      <c r="A22" t="n">
        <v>512</v>
      </c>
      <c r="B22" t="n">
        <v>448.47</v>
      </c>
      <c r="C22">
        <f>C10+A22*1024*C8</f>
        <v/>
      </c>
      <c r="D22">
        <f>B22/C22</f>
        <v/>
      </c>
      <c r="E22" t="n">
        <v>2.05</v>
      </c>
      <c r="F22">
        <f>A22*1024/(C22*0.000001)/1000000000*C9</f>
        <v/>
      </c>
      <c r="G22">
        <f>E22/F22</f>
        <v/>
      </c>
    </row>
    <row r="23">
      <c r="A23" t="n">
        <v>1024</v>
      </c>
      <c r="B23" t="n">
        <v>704.9299999999999</v>
      </c>
      <c r="C23">
        <f>C10+A23*1024*C8</f>
        <v/>
      </c>
      <c r="D23">
        <f>B23/C23</f>
        <v/>
      </c>
      <c r="E23" t="n">
        <v>2.6</v>
      </c>
      <c r="F23">
        <f>A23*1024/(C23*0.000001)/1000000000*C9</f>
        <v/>
      </c>
      <c r="G23">
        <f>E23/F23</f>
        <v/>
      </c>
    </row>
    <row r="24">
      <c r="A24" t="n">
        <v>2048</v>
      </c>
      <c r="B24" t="n">
        <v>786.66</v>
      </c>
      <c r="C24">
        <f>C10+A24*1024*C8</f>
        <v/>
      </c>
      <c r="D24">
        <f>B24/C24</f>
        <v/>
      </c>
      <c r="E24" t="n">
        <v>4.67</v>
      </c>
      <c r="F24">
        <f>A24*1024/(C24*0.000001)/1000000000*C9</f>
        <v/>
      </c>
      <c r="G24">
        <f>E24/F24</f>
        <v/>
      </c>
    </row>
    <row r="25">
      <c r="A25" t="n">
        <v>4096</v>
      </c>
      <c r="B25" t="n">
        <v>932.91</v>
      </c>
      <c r="C25">
        <f>C10+A25*1024*C8</f>
        <v/>
      </c>
      <c r="D25">
        <f>B25/C25</f>
        <v/>
      </c>
      <c r="E25" t="n">
        <v>7.87</v>
      </c>
      <c r="F25">
        <f>A25*1024/(C25*0.000001)/1000000000*C9</f>
        <v/>
      </c>
      <c r="G25">
        <f>E25/F25</f>
        <v/>
      </c>
    </row>
    <row r="26">
      <c r="A26" t="n">
        <v>8192</v>
      </c>
      <c r="B26" t="n">
        <v>1336.94</v>
      </c>
      <c r="C26">
        <f>C10+A26*1024*C8</f>
        <v/>
      </c>
      <c r="D26">
        <f>B26/C26</f>
        <v/>
      </c>
      <c r="E26" t="n">
        <v>10.98</v>
      </c>
      <c r="F26">
        <f>A26*1024/(C26*0.000001)/1000000000*C9</f>
        <v/>
      </c>
      <c r="G26">
        <f>E26/F26</f>
        <v/>
      </c>
    </row>
    <row r="27">
      <c r="A27" t="n">
        <v>16384</v>
      </c>
      <c r="B27" t="n">
        <v>2128.71</v>
      </c>
      <c r="C27">
        <f>C10+A27*1024*C8</f>
        <v/>
      </c>
      <c r="D27">
        <f>B27/C27</f>
        <v/>
      </c>
      <c r="E27" t="n">
        <v>13.79</v>
      </c>
      <c r="F27">
        <f>A27*1024/(C27*0.000001)/1000000000*C9</f>
        <v/>
      </c>
      <c r="G27">
        <f>E27/F27</f>
        <v/>
      </c>
    </row>
    <row r="28">
      <c r="A28" t="n">
        <v>32768</v>
      </c>
      <c r="B28" t="n">
        <v>3806.38</v>
      </c>
      <c r="C28">
        <f>C10+A28*1024*C8</f>
        <v/>
      </c>
      <c r="D28">
        <f>B28/C28</f>
        <v/>
      </c>
      <c r="E28" t="n">
        <v>15.43</v>
      </c>
      <c r="F28">
        <f>A28*1024/(C28*0.000001)/1000000000*C9</f>
        <v/>
      </c>
      <c r="G28">
        <f>E28/F28</f>
        <v/>
      </c>
    </row>
    <row r="29">
      <c r="A29" t="n">
        <v>65536</v>
      </c>
      <c r="B29" t="n">
        <v>6853.39</v>
      </c>
      <c r="C29">
        <f>C10+A29*1024*C8</f>
        <v/>
      </c>
      <c r="D29">
        <f>B29/C29</f>
        <v/>
      </c>
      <c r="E29" t="n">
        <v>17.14</v>
      </c>
      <c r="F29">
        <f>A29*1024/(C29*0.000001)/1000000000*C9</f>
        <v/>
      </c>
      <c r="G29">
        <f>E29/F29</f>
        <v/>
      </c>
    </row>
    <row r="30">
      <c r="A30" t="n">
        <v>131072</v>
      </c>
      <c r="B30" t="n">
        <v>12946.2</v>
      </c>
      <c r="C30">
        <f>C10+A30*1024*C8</f>
        <v/>
      </c>
      <c r="D30">
        <f>B30/C30</f>
        <v/>
      </c>
      <c r="E30" t="n">
        <v>18.14</v>
      </c>
      <c r="F30">
        <f>A30*1024/(C30*0.000001)/1000000000*C9</f>
        <v/>
      </c>
      <c r="G30">
        <f>E30/F30</f>
        <v/>
      </c>
    </row>
    <row r="31">
      <c r="A31" t="n">
        <v>262144</v>
      </c>
      <c r="B31" t="n">
        <v>24960.6</v>
      </c>
      <c r="C31">
        <f>C10+A31*1024*C8</f>
        <v/>
      </c>
      <c r="D31">
        <f>B31/C31</f>
        <v/>
      </c>
      <c r="E31" t="n">
        <v>18.82</v>
      </c>
      <c r="F31">
        <f>A31*1024/(C31*0.000001)/1000000000*C9</f>
        <v/>
      </c>
      <c r="G31">
        <f>E31/F31</f>
        <v/>
      </c>
    </row>
    <row r="32">
      <c r="A32" t="n">
        <v>524288</v>
      </c>
      <c r="B32" t="n">
        <v>49256.8</v>
      </c>
      <c r="C32">
        <f>C10+A32*1024*C8</f>
        <v/>
      </c>
      <c r="D32">
        <f>B32/C32</f>
        <v/>
      </c>
      <c r="E32" t="n">
        <v>19.07</v>
      </c>
      <c r="F32">
        <f>A32*1024/(C32*0.000001)/1000000000*C9</f>
        <v/>
      </c>
      <c r="G32">
        <f>E32/F32</f>
        <v/>
      </c>
    </row>
    <row r="33">
      <c r="A33" t="n">
        <v>1048576</v>
      </c>
      <c r="B33" t="n">
        <v>97771</v>
      </c>
      <c r="C33">
        <f>C10+A33*1024*C8</f>
        <v/>
      </c>
      <c r="D33">
        <f>B33/C33</f>
        <v/>
      </c>
      <c r="E33" t="n">
        <v>19.22</v>
      </c>
      <c r="F33">
        <f>A33*1024/(C33*0.000001)/1000000000*C9</f>
        <v/>
      </c>
      <c r="G33">
        <f>E33/F33</f>
        <v/>
      </c>
    </row>
    <row r="34">
      <c r="A34" t="n">
        <v>2097152</v>
      </c>
      <c r="B34" t="n">
        <v>194922</v>
      </c>
      <c r="C34">
        <f>C10+A34*1024*C8</f>
        <v/>
      </c>
      <c r="D34">
        <f>B34/C34</f>
        <v/>
      </c>
      <c r="E34" t="n">
        <v>19.28</v>
      </c>
      <c r="F34">
        <f>A34*1024/(C34*0.000001)/1000000000*C9</f>
        <v/>
      </c>
      <c r="G34">
        <f>E34/F34</f>
        <v/>
      </c>
    </row>
    <row r="35">
      <c r="A35" t="n">
        <v>4194304</v>
      </c>
      <c r="B35" t="n">
        <v>389456</v>
      </c>
      <c r="C35">
        <f>C10+A35*1024*C8</f>
        <v/>
      </c>
      <c r="D35">
        <f>B35/C35</f>
        <v/>
      </c>
      <c r="E35" t="n">
        <v>19.3</v>
      </c>
      <c r="F35">
        <f>A35*1024/(C35*0.000001)/1000000000*C9</f>
        <v/>
      </c>
      <c r="G35">
        <f>E35/F35</f>
        <v/>
      </c>
    </row>
    <row r="36"/>
    <row r="37">
      <c r="A37" t="inlineStr">
        <is>
          <t>Nodes: 8, Protocol: Simple, Channels: 2</t>
        </is>
      </c>
    </row>
    <row r="38">
      <c r="A38" t="inlineStr">
        <is>
          <t>Parameter</t>
        </is>
      </c>
      <c r="B38" t="inlineStr">
        <is>
          <t>Formula</t>
        </is>
      </c>
      <c r="C38" t="inlineStr">
        <is>
          <t>Value</t>
        </is>
      </c>
    </row>
    <row r="39">
      <c r="A39" t="inlineStr">
        <is>
          <t>n</t>
        </is>
      </c>
      <c r="B39" t="inlineStr">
        <is>
          <t>nodes on tree</t>
        </is>
      </c>
      <c r="C39" t="n">
        <v>8</v>
      </c>
    </row>
    <row r="40">
      <c r="A40" t="inlineStr">
        <is>
          <t>nch</t>
        </is>
      </c>
      <c r="B40" t="inlineStr">
        <is>
          <t>channels</t>
        </is>
      </c>
      <c r="C40" t="n">
        <v>2</v>
      </c>
    </row>
    <row r="41">
      <c r="A41" t="inlineStr">
        <is>
          <t>a</t>
        </is>
      </c>
      <c r="B41" t="inlineStr">
        <is>
          <t>RTT (us)</t>
        </is>
      </c>
      <c r="C41" t="n">
        <v>25.8107</v>
      </c>
    </row>
    <row r="42">
      <c r="A42" t="inlineStr">
        <is>
          <t>NIC_BW</t>
        </is>
      </c>
      <c r="B42" t="inlineStr">
        <is>
          <t>bytes/us</t>
        </is>
      </c>
      <c r="C42" t="n">
        <v>48750</v>
      </c>
    </row>
    <row r="43">
      <c r="A43" t="inlineStr">
        <is>
          <t>NIC_BW_REAL</t>
        </is>
      </c>
      <c r="B43" t="inlineStr">
        <is>
          <t>NIC_BW/3</t>
        </is>
      </c>
      <c r="C43">
        <f>C42/3</f>
        <v/>
      </c>
    </row>
    <row r="44">
      <c r="A44" t="inlineStr">
        <is>
          <t>G</t>
        </is>
      </c>
      <c r="B44" t="inlineStr">
        <is>
          <t>1/NIC_BW_REAL</t>
        </is>
      </c>
      <c r="C44">
        <f>1/C43</f>
        <v/>
      </c>
    </row>
    <row r="45">
      <c r="A45" t="inlineStr">
        <is>
          <t>busbw_factor</t>
        </is>
      </c>
      <c r="B45" t="inlineStr">
        <is>
          <t>2*(n-1)/n</t>
        </is>
      </c>
      <c r="C45">
        <f>2*(C39-1)/C39</f>
        <v/>
      </c>
    </row>
    <row r="46">
      <c r="A46" t="inlineStr">
        <is>
          <t>fixed_overhead</t>
        </is>
      </c>
      <c r="B46" t="inlineStr">
        <is>
          <t>(2*LOG2(n)+1)*a/2</t>
        </is>
      </c>
      <c r="C46">
        <f>(2*LOG(C39,2)+1)*C41/2</f>
        <v/>
      </c>
    </row>
    <row r="47"/>
    <row r="48">
      <c r="A48" t="inlineStr">
        <is>
          <t>size_KB</t>
        </is>
      </c>
      <c r="B48" t="inlineStr">
        <is>
          <t>Actual Time (us)</t>
        </is>
      </c>
      <c r="C48" t="inlineStr">
        <is>
          <t>Roofline Time (us)</t>
        </is>
      </c>
      <c r="D48" t="inlineStr">
        <is>
          <t>Actual/Roofline</t>
        </is>
      </c>
      <c r="E48" t="inlineStr">
        <is>
          <t>Actual busBW (GB/s)</t>
        </is>
      </c>
      <c r="F48" t="inlineStr">
        <is>
          <t>Roofline busBW (GB/s)</t>
        </is>
      </c>
      <c r="G48" t="inlineStr">
        <is>
          <t>Meas/Roof busBW</t>
        </is>
      </c>
    </row>
    <row r="49">
      <c r="A49" t="n">
        <v>1</v>
      </c>
      <c r="B49" t="n">
        <v>141.19</v>
      </c>
      <c r="C49">
        <f>C46+A49*1024*C44</f>
        <v/>
      </c>
      <c r="D49">
        <f>B49/C49</f>
        <v/>
      </c>
      <c r="E49" t="n">
        <v>0.01</v>
      </c>
      <c r="F49">
        <f>A49*1024/(C49*0.000001)/1000000000*C45</f>
        <v/>
      </c>
      <c r="G49">
        <f>E49/F49</f>
        <v/>
      </c>
    </row>
    <row r="50">
      <c r="A50" t="n">
        <v>2</v>
      </c>
      <c r="B50" t="n">
        <v>143.29</v>
      </c>
      <c r="C50">
        <f>C46+A50*1024*C44</f>
        <v/>
      </c>
      <c r="D50">
        <f>B50/C50</f>
        <v/>
      </c>
      <c r="E50" t="n">
        <v>0.03</v>
      </c>
      <c r="F50">
        <f>A50*1024/(C50*0.000001)/1000000000*C45</f>
        <v/>
      </c>
      <c r="G50">
        <f>E50/F50</f>
        <v/>
      </c>
    </row>
    <row r="51">
      <c r="A51" t="n">
        <v>4</v>
      </c>
      <c r="B51" t="n">
        <v>144.93</v>
      </c>
      <c r="C51">
        <f>C46+A51*1024*C44</f>
        <v/>
      </c>
      <c r="D51">
        <f>B51/C51</f>
        <v/>
      </c>
      <c r="E51" t="n">
        <v>0.05</v>
      </c>
      <c r="F51">
        <f>A51*1024/(C51*0.000001)/1000000000*C45</f>
        <v/>
      </c>
      <c r="G51">
        <f>E51/F51</f>
        <v/>
      </c>
    </row>
    <row r="52">
      <c r="A52" t="n">
        <v>8</v>
      </c>
      <c r="B52" t="n">
        <v>158.45</v>
      </c>
      <c r="C52">
        <f>C46+A52*1024*C44</f>
        <v/>
      </c>
      <c r="D52">
        <f>B52/C52</f>
        <v/>
      </c>
      <c r="E52" t="n">
        <v>0.09</v>
      </c>
      <c r="F52">
        <f>A52*1024/(C52*0.000001)/1000000000*C45</f>
        <v/>
      </c>
      <c r="G52">
        <f>E52/F52</f>
        <v/>
      </c>
    </row>
    <row r="53">
      <c r="A53" t="n">
        <v>16</v>
      </c>
      <c r="B53" t="n">
        <v>184.37</v>
      </c>
      <c r="C53">
        <f>C46+A53*1024*C44</f>
        <v/>
      </c>
      <c r="D53">
        <f>B53/C53</f>
        <v/>
      </c>
      <c r="E53" t="n">
        <v>0.16</v>
      </c>
      <c r="F53">
        <f>A53*1024/(C53*0.000001)/1000000000*C45</f>
        <v/>
      </c>
      <c r="G53">
        <f>E53/F53</f>
        <v/>
      </c>
    </row>
    <row r="54">
      <c r="A54" t="n">
        <v>32</v>
      </c>
      <c r="B54" t="n">
        <v>205.43</v>
      </c>
      <c r="C54">
        <f>C46+A54*1024*C44</f>
        <v/>
      </c>
      <c r="D54">
        <f>B54/C54</f>
        <v/>
      </c>
      <c r="E54" t="n">
        <v>0.28</v>
      </c>
      <c r="F54">
        <f>A54*1024/(C54*0.000001)/1000000000*C45</f>
        <v/>
      </c>
      <c r="G54">
        <f>E54/F54</f>
        <v/>
      </c>
    </row>
    <row r="55">
      <c r="A55" t="n">
        <v>64</v>
      </c>
      <c r="B55" t="n">
        <v>213.36</v>
      </c>
      <c r="C55">
        <f>C46+A55*1024*C44</f>
        <v/>
      </c>
      <c r="D55">
        <f>B55/C55</f>
        <v/>
      </c>
      <c r="E55" t="n">
        <v>0.54</v>
      </c>
      <c r="F55">
        <f>A55*1024/(C55*0.000001)/1000000000*C45</f>
        <v/>
      </c>
      <c r="G55">
        <f>E55/F55</f>
        <v/>
      </c>
    </row>
    <row r="56">
      <c r="A56" t="n">
        <v>128</v>
      </c>
      <c r="B56" t="n">
        <v>237.72</v>
      </c>
      <c r="C56">
        <f>C46+A56*1024*C44</f>
        <v/>
      </c>
      <c r="D56">
        <f>B56/C56</f>
        <v/>
      </c>
      <c r="E56" t="n">
        <v>0.96</v>
      </c>
      <c r="F56">
        <f>A56*1024/(C56*0.000001)/1000000000*C45</f>
        <v/>
      </c>
      <c r="G56">
        <f>E56/F56</f>
        <v/>
      </c>
    </row>
    <row r="57">
      <c r="A57" t="n">
        <v>256</v>
      </c>
      <c r="B57" t="n">
        <v>286.39</v>
      </c>
      <c r="C57">
        <f>C46+A57*1024*C44</f>
        <v/>
      </c>
      <c r="D57">
        <f>B57/C57</f>
        <v/>
      </c>
      <c r="E57" t="n">
        <v>1.6</v>
      </c>
      <c r="F57">
        <f>A57*1024/(C57*0.000001)/1000000000*C45</f>
        <v/>
      </c>
      <c r="G57">
        <f>E57/F57</f>
        <v/>
      </c>
    </row>
    <row r="58">
      <c r="A58" t="n">
        <v>512</v>
      </c>
      <c r="B58" t="n">
        <v>356.38</v>
      </c>
      <c r="C58">
        <f>C46+A58*1024*C44</f>
        <v/>
      </c>
      <c r="D58">
        <f>B58/C58</f>
        <v/>
      </c>
      <c r="E58" t="n">
        <v>2.57</v>
      </c>
      <c r="F58">
        <f>A58*1024/(C58*0.000001)/1000000000*C45</f>
        <v/>
      </c>
      <c r="G58">
        <f>E58/F58</f>
        <v/>
      </c>
    </row>
    <row r="59">
      <c r="A59" t="n">
        <v>1024</v>
      </c>
      <c r="B59" t="n">
        <v>511.92</v>
      </c>
      <c r="C59">
        <f>C46+A59*1024*C44</f>
        <v/>
      </c>
      <c r="D59">
        <f>B59/C59</f>
        <v/>
      </c>
      <c r="E59" t="n">
        <v>3.58</v>
      </c>
      <c r="F59">
        <f>A59*1024/(C59*0.000001)/1000000000*C45</f>
        <v/>
      </c>
      <c r="G59">
        <f>E59/F59</f>
        <v/>
      </c>
    </row>
    <row r="60">
      <c r="A60" t="n">
        <v>2048</v>
      </c>
      <c r="B60" t="n">
        <v>810.15</v>
      </c>
      <c r="C60">
        <f>C46+A60*1024*C44</f>
        <v/>
      </c>
      <c r="D60">
        <f>B60/C60</f>
        <v/>
      </c>
      <c r="E60" t="n">
        <v>4.53</v>
      </c>
      <c r="F60">
        <f>A60*1024/(C60*0.000001)/1000000000*C45</f>
        <v/>
      </c>
      <c r="G60">
        <f>E60/F60</f>
        <v/>
      </c>
    </row>
    <row r="61">
      <c r="A61" t="n">
        <v>4096</v>
      </c>
      <c r="B61" t="n">
        <v>941.95</v>
      </c>
      <c r="C61">
        <f>C46+A61*1024*C44</f>
        <v/>
      </c>
      <c r="D61">
        <f>B61/C61</f>
        <v/>
      </c>
      <c r="E61" t="n">
        <v>7.79</v>
      </c>
      <c r="F61">
        <f>A61*1024/(C61*0.000001)/1000000000*C45</f>
        <v/>
      </c>
      <c r="G61">
        <f>E61/F61</f>
        <v/>
      </c>
    </row>
    <row r="62">
      <c r="A62" t="n">
        <v>8192</v>
      </c>
      <c r="B62" t="n">
        <v>1252.48</v>
      </c>
      <c r="C62">
        <f>C46+A62*1024*C44</f>
        <v/>
      </c>
      <c r="D62">
        <f>B62/C62</f>
        <v/>
      </c>
      <c r="E62" t="n">
        <v>11.72</v>
      </c>
      <c r="F62">
        <f>A62*1024/(C62*0.000001)/1000000000*C45</f>
        <v/>
      </c>
      <c r="G62">
        <f>E62/F62</f>
        <v/>
      </c>
    </row>
    <row r="63">
      <c r="A63" t="n">
        <v>16384</v>
      </c>
      <c r="B63" t="n">
        <v>1861.39</v>
      </c>
      <c r="C63">
        <f>C46+A63*1024*C44</f>
        <v/>
      </c>
      <c r="D63">
        <f>B63/C63</f>
        <v/>
      </c>
      <c r="E63" t="n">
        <v>15.77</v>
      </c>
      <c r="F63">
        <f>A63*1024/(C63*0.000001)/1000000000*C45</f>
        <v/>
      </c>
      <c r="G63">
        <f>E63/F63</f>
        <v/>
      </c>
    </row>
    <row r="64">
      <c r="A64" t="n">
        <v>32768</v>
      </c>
      <c r="B64" t="n">
        <v>3158.09</v>
      </c>
      <c r="C64">
        <f>C46+A64*1024*C44</f>
        <v/>
      </c>
      <c r="D64">
        <f>B64/C64</f>
        <v/>
      </c>
      <c r="E64" t="n">
        <v>18.59</v>
      </c>
      <c r="F64">
        <f>A64*1024/(C64*0.000001)/1000000000*C45</f>
        <v/>
      </c>
      <c r="G64">
        <f>E64/F64</f>
        <v/>
      </c>
    </row>
    <row r="65">
      <c r="A65" t="n">
        <v>65536</v>
      </c>
      <c r="B65" t="n">
        <v>5642.67</v>
      </c>
      <c r="C65">
        <f>C46+A65*1024*C44</f>
        <v/>
      </c>
      <c r="D65">
        <f>B65/C65</f>
        <v/>
      </c>
      <c r="E65" t="n">
        <v>20.81</v>
      </c>
      <c r="F65">
        <f>A65*1024/(C65*0.000001)/1000000000*C45</f>
        <v/>
      </c>
      <c r="G65">
        <f>E65/F65</f>
        <v/>
      </c>
    </row>
    <row r="66">
      <c r="A66" t="n">
        <v>131072</v>
      </c>
      <c r="B66" t="n">
        <v>10670.1</v>
      </c>
      <c r="C66">
        <f>C46+A66*1024*C44</f>
        <v/>
      </c>
      <c r="D66">
        <f>B66/C66</f>
        <v/>
      </c>
      <c r="E66" t="n">
        <v>22.01</v>
      </c>
      <c r="F66">
        <f>A66*1024/(C66*0.000001)/1000000000*C45</f>
        <v/>
      </c>
      <c r="G66">
        <f>E66/F66</f>
        <v/>
      </c>
    </row>
    <row r="67">
      <c r="A67" t="n">
        <v>262144</v>
      </c>
      <c r="B67" t="n">
        <v>20696.7</v>
      </c>
      <c r="C67">
        <f>C46+A67*1024*C44</f>
        <v/>
      </c>
      <c r="D67">
        <f>B67/C67</f>
        <v/>
      </c>
      <c r="E67" t="n">
        <v>22.7</v>
      </c>
      <c r="F67">
        <f>A67*1024/(C67*0.000001)/1000000000*C45</f>
        <v/>
      </c>
      <c r="G67">
        <f>E67/F67</f>
        <v/>
      </c>
    </row>
    <row r="68">
      <c r="A68" t="n">
        <v>524288</v>
      </c>
      <c r="B68" t="n">
        <v>39370.6</v>
      </c>
      <c r="C68">
        <f>C46+A68*1024*C44</f>
        <v/>
      </c>
      <c r="D68">
        <f>B68/C68</f>
        <v/>
      </c>
      <c r="E68" t="n">
        <v>23.86</v>
      </c>
      <c r="F68">
        <f>A68*1024/(C68*0.000001)/1000000000*C45</f>
        <v/>
      </c>
      <c r="G68">
        <f>E68/F68</f>
        <v/>
      </c>
    </row>
    <row r="69">
      <c r="A69" t="n">
        <v>1048576</v>
      </c>
      <c r="B69" t="n">
        <v>75312</v>
      </c>
      <c r="C69">
        <f>C46+A69*1024*C44</f>
        <v/>
      </c>
      <c r="D69">
        <f>B69/C69</f>
        <v/>
      </c>
      <c r="E69" t="n">
        <v>24.95</v>
      </c>
      <c r="F69">
        <f>A69*1024/(C69*0.000001)/1000000000*C45</f>
        <v/>
      </c>
      <c r="G69">
        <f>E69/F69</f>
        <v/>
      </c>
    </row>
    <row r="70">
      <c r="A70" t="n">
        <v>2097152</v>
      </c>
      <c r="B70" t="n">
        <v>149490</v>
      </c>
      <c r="C70">
        <f>C46+A70*1024*C44</f>
        <v/>
      </c>
      <c r="D70">
        <f>B70/C70</f>
        <v/>
      </c>
      <c r="E70" t="n">
        <v>25.14</v>
      </c>
      <c r="F70">
        <f>A70*1024/(C70*0.000001)/1000000000*C45</f>
        <v/>
      </c>
      <c r="G70">
        <f>E70/F70</f>
        <v/>
      </c>
    </row>
    <row r="71">
      <c r="A71" t="n">
        <v>4194304</v>
      </c>
      <c r="B71" t="n">
        <v>297877</v>
      </c>
      <c r="C71">
        <f>C46+A71*1024*C44</f>
        <v/>
      </c>
      <c r="D71">
        <f>B71/C71</f>
        <v/>
      </c>
      <c r="E71" t="n">
        <v>25.23</v>
      </c>
      <c r="F71">
        <f>A71*1024/(C71*0.000001)/1000000000*C45</f>
        <v/>
      </c>
      <c r="G71">
        <f>E71/F71</f>
        <v/>
      </c>
    </row>
    <row r="72"/>
    <row r="73">
      <c r="A73" t="inlineStr">
        <is>
          <t>Nodes: 8, Protocol: Simple, Channels: 4</t>
        </is>
      </c>
    </row>
    <row r="74">
      <c r="A74" t="inlineStr">
        <is>
          <t>Parameter</t>
        </is>
      </c>
      <c r="B74" t="inlineStr">
        <is>
          <t>Formula</t>
        </is>
      </c>
      <c r="C74" t="inlineStr">
        <is>
          <t>Value</t>
        </is>
      </c>
    </row>
    <row r="75">
      <c r="A75" t="inlineStr">
        <is>
          <t>n</t>
        </is>
      </c>
      <c r="B75" t="inlineStr">
        <is>
          <t>nodes on tree</t>
        </is>
      </c>
      <c r="C75" t="n">
        <v>8</v>
      </c>
    </row>
    <row r="76">
      <c r="A76" t="inlineStr">
        <is>
          <t>nch</t>
        </is>
      </c>
      <c r="B76" t="inlineStr">
        <is>
          <t>channels</t>
        </is>
      </c>
      <c r="C76" t="n">
        <v>4</v>
      </c>
    </row>
    <row r="77">
      <c r="A77" t="inlineStr">
        <is>
          <t>a</t>
        </is>
      </c>
      <c r="B77" t="inlineStr">
        <is>
          <t>RTT (us)</t>
        </is>
      </c>
      <c r="C77" t="n">
        <v>25.8107</v>
      </c>
    </row>
    <row r="78">
      <c r="A78" t="inlineStr">
        <is>
          <t>NIC_BW</t>
        </is>
      </c>
      <c r="B78" t="inlineStr">
        <is>
          <t>bytes/us</t>
        </is>
      </c>
      <c r="C78" t="n">
        <v>48750</v>
      </c>
    </row>
    <row r="79">
      <c r="A79" t="inlineStr">
        <is>
          <t>NIC_BW_REAL</t>
        </is>
      </c>
      <c r="B79" t="inlineStr">
        <is>
          <t>NIC_BW/2</t>
        </is>
      </c>
      <c r="C79">
        <f>C78/2</f>
        <v/>
      </c>
    </row>
    <row r="80">
      <c r="A80" t="inlineStr">
        <is>
          <t>G</t>
        </is>
      </c>
      <c r="B80" t="inlineStr">
        <is>
          <t>1/NIC_BW_REAL</t>
        </is>
      </c>
      <c r="C80">
        <f>1/C79</f>
        <v/>
      </c>
    </row>
    <row r="81">
      <c r="A81" t="inlineStr">
        <is>
          <t>busbw_factor</t>
        </is>
      </c>
      <c r="B81" t="inlineStr">
        <is>
          <t>2*(n-1)/n</t>
        </is>
      </c>
      <c r="C81">
        <f>2*(C75-1)/C75</f>
        <v/>
      </c>
    </row>
    <row r="82">
      <c r="A82" t="inlineStr">
        <is>
          <t>fixed_overhead</t>
        </is>
      </c>
      <c r="B82" t="inlineStr">
        <is>
          <t>(2*LOG2(n)+1)*a/2</t>
        </is>
      </c>
      <c r="C82">
        <f>(2*LOG(C75,2)+1)*C77/2</f>
        <v/>
      </c>
    </row>
    <row r="83"/>
    <row r="84">
      <c r="A84" t="inlineStr">
        <is>
          <t>size_KB</t>
        </is>
      </c>
      <c r="B84" t="inlineStr">
        <is>
          <t>Actual Time (us)</t>
        </is>
      </c>
      <c r="C84" t="inlineStr">
        <is>
          <t>Roofline Time (us)</t>
        </is>
      </c>
      <c r="D84" t="inlineStr">
        <is>
          <t>Actual/Roofline</t>
        </is>
      </c>
      <c r="E84" t="inlineStr">
        <is>
          <t>Actual busBW (GB/s)</t>
        </is>
      </c>
      <c r="F84" t="inlineStr">
        <is>
          <t>Roofline busBW (GB/s)</t>
        </is>
      </c>
      <c r="G84" t="inlineStr">
        <is>
          <t>Meas/Roof busBW</t>
        </is>
      </c>
    </row>
    <row r="85">
      <c r="A85" t="n">
        <v>1</v>
      </c>
      <c r="B85" t="n">
        <v>141.3</v>
      </c>
      <c r="C85">
        <f>C82+A85*1024*C80</f>
        <v/>
      </c>
      <c r="D85">
        <f>B85/C85</f>
        <v/>
      </c>
      <c r="E85" t="n">
        <v>0.01</v>
      </c>
      <c r="F85">
        <f>A85*1024/(C85*0.000001)/1000000000*C81</f>
        <v/>
      </c>
      <c r="G85">
        <f>E85/F85</f>
        <v/>
      </c>
    </row>
    <row r="86">
      <c r="A86" t="n">
        <v>2</v>
      </c>
      <c r="B86" t="n">
        <v>143.91</v>
      </c>
      <c r="C86">
        <f>C82+A86*1024*C80</f>
        <v/>
      </c>
      <c r="D86">
        <f>B86/C86</f>
        <v/>
      </c>
      <c r="E86" t="n">
        <v>0.02</v>
      </c>
      <c r="F86">
        <f>A86*1024/(C86*0.000001)/1000000000*C81</f>
        <v/>
      </c>
      <c r="G86">
        <f>E86/F86</f>
        <v/>
      </c>
    </row>
    <row r="87">
      <c r="A87" t="n">
        <v>4</v>
      </c>
      <c r="B87" t="n">
        <v>145.04</v>
      </c>
      <c r="C87">
        <f>C82+A87*1024*C80</f>
        <v/>
      </c>
      <c r="D87">
        <f>B87/C87</f>
        <v/>
      </c>
      <c r="E87" t="n">
        <v>0.05</v>
      </c>
      <c r="F87">
        <f>A87*1024/(C87*0.000001)/1000000000*C81</f>
        <v/>
      </c>
      <c r="G87">
        <f>E87/F87</f>
        <v/>
      </c>
    </row>
    <row r="88">
      <c r="A88" t="n">
        <v>8</v>
      </c>
      <c r="B88" t="n">
        <v>156.08</v>
      </c>
      <c r="C88">
        <f>C82+A88*1024*C80</f>
        <v/>
      </c>
      <c r="D88">
        <f>B88/C88</f>
        <v/>
      </c>
      <c r="E88" t="n">
        <v>0.09</v>
      </c>
      <c r="F88">
        <f>A88*1024/(C88*0.000001)/1000000000*C81</f>
        <v/>
      </c>
      <c r="G88">
        <f>E88/F88</f>
        <v/>
      </c>
    </row>
    <row r="89">
      <c r="A89" t="n">
        <v>16</v>
      </c>
      <c r="B89" t="n">
        <v>183.85</v>
      </c>
      <c r="C89">
        <f>C82+A89*1024*C80</f>
        <v/>
      </c>
      <c r="D89">
        <f>B89/C89</f>
        <v/>
      </c>
      <c r="E89" t="n">
        <v>0.16</v>
      </c>
      <c r="F89">
        <f>A89*1024/(C89*0.000001)/1000000000*C81</f>
        <v/>
      </c>
      <c r="G89">
        <f>E89/F89</f>
        <v/>
      </c>
    </row>
    <row r="90">
      <c r="A90" t="n">
        <v>32</v>
      </c>
      <c r="B90" t="n">
        <v>204.85</v>
      </c>
      <c r="C90">
        <f>C82+A90*1024*C80</f>
        <v/>
      </c>
      <c r="D90">
        <f>B90/C90</f>
        <v/>
      </c>
      <c r="E90" t="n">
        <v>0.28</v>
      </c>
      <c r="F90">
        <f>A90*1024/(C90*0.000001)/1000000000*C81</f>
        <v/>
      </c>
      <c r="G90">
        <f>E90/F90</f>
        <v/>
      </c>
    </row>
    <row r="91">
      <c r="A91" t="n">
        <v>64</v>
      </c>
      <c r="B91" t="n">
        <v>215.47</v>
      </c>
      <c r="C91">
        <f>C82+A91*1024*C80</f>
        <v/>
      </c>
      <c r="D91">
        <f>B91/C91</f>
        <v/>
      </c>
      <c r="E91" t="n">
        <v>0.53</v>
      </c>
      <c r="F91">
        <f>A91*1024/(C91*0.000001)/1000000000*C81</f>
        <v/>
      </c>
      <c r="G91">
        <f>E91/F91</f>
        <v/>
      </c>
    </row>
    <row r="92">
      <c r="A92" t="n">
        <v>128</v>
      </c>
      <c r="B92" t="n">
        <v>218.06</v>
      </c>
      <c r="C92">
        <f>C82+A92*1024*C80</f>
        <v/>
      </c>
      <c r="D92">
        <f>B92/C92</f>
        <v/>
      </c>
      <c r="E92" t="n">
        <v>1.05</v>
      </c>
      <c r="F92">
        <f>A92*1024/(C92*0.000001)/1000000000*C81</f>
        <v/>
      </c>
      <c r="G92">
        <f>E92/F92</f>
        <v/>
      </c>
    </row>
    <row r="93">
      <c r="A93" t="n">
        <v>256</v>
      </c>
      <c r="B93" t="n">
        <v>244.95</v>
      </c>
      <c r="C93">
        <f>C82+A93*1024*C80</f>
        <v/>
      </c>
      <c r="D93">
        <f>B93/C93</f>
        <v/>
      </c>
      <c r="E93" t="n">
        <v>1.87</v>
      </c>
      <c r="F93">
        <f>A93*1024/(C93*0.000001)/1000000000*C81</f>
        <v/>
      </c>
      <c r="G93">
        <f>E93/F93</f>
        <v/>
      </c>
    </row>
    <row r="94">
      <c r="A94" t="n">
        <v>512</v>
      </c>
      <c r="B94" t="n">
        <v>297.12</v>
      </c>
      <c r="C94">
        <f>C82+A94*1024*C80</f>
        <v/>
      </c>
      <c r="D94">
        <f>B94/C94</f>
        <v/>
      </c>
      <c r="E94" t="n">
        <v>3.09</v>
      </c>
      <c r="F94">
        <f>A94*1024/(C94*0.000001)/1000000000*C81</f>
        <v/>
      </c>
      <c r="G94">
        <f>E94/F94</f>
        <v/>
      </c>
    </row>
    <row r="95">
      <c r="A95" t="n">
        <v>1024</v>
      </c>
      <c r="B95" t="n">
        <v>367.77</v>
      </c>
      <c r="C95">
        <f>C82+A95*1024*C80</f>
        <v/>
      </c>
      <c r="D95">
        <f>B95/C95</f>
        <v/>
      </c>
      <c r="E95" t="n">
        <v>4.99</v>
      </c>
      <c r="F95">
        <f>A95*1024/(C95*0.000001)/1000000000*C81</f>
        <v/>
      </c>
      <c r="G95">
        <f>E95/F95</f>
        <v/>
      </c>
    </row>
    <row r="96">
      <c r="A96" t="n">
        <v>2048</v>
      </c>
      <c r="B96" t="n">
        <v>526.0599999999999</v>
      </c>
      <c r="C96">
        <f>C82+A96*1024*C80</f>
        <v/>
      </c>
      <c r="D96">
        <f>B96/C96</f>
        <v/>
      </c>
      <c r="E96" t="n">
        <v>6.98</v>
      </c>
      <c r="F96">
        <f>A96*1024/(C96*0.000001)/1000000000*C81</f>
        <v/>
      </c>
      <c r="G96">
        <f>E96/F96</f>
        <v/>
      </c>
    </row>
    <row r="97">
      <c r="A97" t="n">
        <v>4096</v>
      </c>
      <c r="B97" t="n">
        <v>830.96</v>
      </c>
      <c r="C97">
        <f>C82+A97*1024*C80</f>
        <v/>
      </c>
      <c r="D97">
        <f>B97/C97</f>
        <v/>
      </c>
      <c r="E97" t="n">
        <v>8.83</v>
      </c>
      <c r="F97">
        <f>A97*1024/(C97*0.000001)/1000000000*C81</f>
        <v/>
      </c>
      <c r="G97">
        <f>E97/F97</f>
        <v/>
      </c>
    </row>
    <row r="98">
      <c r="A98" t="n">
        <v>8192</v>
      </c>
      <c r="B98" t="n">
        <v>972.05</v>
      </c>
      <c r="C98">
        <f>C82+A98*1024*C80</f>
        <v/>
      </c>
      <c r="D98">
        <f>B98/C98</f>
        <v/>
      </c>
      <c r="E98" t="n">
        <v>15.1</v>
      </c>
      <c r="F98">
        <f>A98*1024/(C98*0.000001)/1000000000*C81</f>
        <v/>
      </c>
      <c r="G98">
        <f>E98/F98</f>
        <v/>
      </c>
    </row>
    <row r="99">
      <c r="A99" t="n">
        <v>16384</v>
      </c>
      <c r="B99" t="n">
        <v>1315.41</v>
      </c>
      <c r="C99">
        <f>C82+A99*1024*C80</f>
        <v/>
      </c>
      <c r="D99">
        <f>B99/C99</f>
        <v/>
      </c>
      <c r="E99" t="n">
        <v>22.32</v>
      </c>
      <c r="F99">
        <f>A99*1024/(C99*0.000001)/1000000000*C81</f>
        <v/>
      </c>
      <c r="G99">
        <f>E99/F99</f>
        <v/>
      </c>
    </row>
    <row r="100">
      <c r="A100" t="n">
        <v>32768</v>
      </c>
      <c r="B100" t="n">
        <v>2038.76</v>
      </c>
      <c r="C100">
        <f>C82+A100*1024*C80</f>
        <v/>
      </c>
      <c r="D100">
        <f>B100/C100</f>
        <v/>
      </c>
      <c r="E100" t="n">
        <v>28.8</v>
      </c>
      <c r="F100">
        <f>A100*1024/(C100*0.000001)/1000000000*C81</f>
        <v/>
      </c>
      <c r="G100">
        <f>E100/F100</f>
        <v/>
      </c>
    </row>
    <row r="101">
      <c r="A101" t="n">
        <v>65536</v>
      </c>
      <c r="B101" t="n">
        <v>3737.07</v>
      </c>
      <c r="C101">
        <f>C82+A101*1024*C80</f>
        <v/>
      </c>
      <c r="D101">
        <f>B101/C101</f>
        <v/>
      </c>
      <c r="E101" t="n">
        <v>31.43</v>
      </c>
      <c r="F101">
        <f>A101*1024/(C101*0.000001)/1000000000*C81</f>
        <v/>
      </c>
      <c r="G101">
        <f>E101/F101</f>
        <v/>
      </c>
    </row>
    <row r="102">
      <c r="A102" t="n">
        <v>131072</v>
      </c>
      <c r="B102" t="n">
        <v>6741.55</v>
      </c>
      <c r="C102">
        <f>C82+A102*1024*C80</f>
        <v/>
      </c>
      <c r="D102">
        <f>B102/C102</f>
        <v/>
      </c>
      <c r="E102" t="n">
        <v>34.84</v>
      </c>
      <c r="F102">
        <f>A102*1024/(C102*0.000001)/1000000000*C81</f>
        <v/>
      </c>
      <c r="G102">
        <f>E102/F102</f>
        <v/>
      </c>
    </row>
    <row r="103">
      <c r="A103" t="n">
        <v>262144</v>
      </c>
      <c r="B103" t="n">
        <v>12811</v>
      </c>
      <c r="C103">
        <f>C82+A103*1024*C80</f>
        <v/>
      </c>
      <c r="D103">
        <f>B103/C103</f>
        <v/>
      </c>
      <c r="E103" t="n">
        <v>36.67</v>
      </c>
      <c r="F103">
        <f>A103*1024/(C103*0.000001)/1000000000*C81</f>
        <v/>
      </c>
      <c r="G103">
        <f>E103/F103</f>
        <v/>
      </c>
    </row>
    <row r="104">
      <c r="A104" t="n">
        <v>524288</v>
      </c>
      <c r="B104" t="n">
        <v>24852.7</v>
      </c>
      <c r="C104">
        <f>C82+A104*1024*C80</f>
        <v/>
      </c>
      <c r="D104">
        <f>B104/C104</f>
        <v/>
      </c>
      <c r="E104" t="n">
        <v>37.8</v>
      </c>
      <c r="F104">
        <f>A104*1024/(C104*0.000001)/1000000000*C81</f>
        <v/>
      </c>
      <c r="G104">
        <f>E104/F104</f>
        <v/>
      </c>
    </row>
    <row r="105">
      <c r="A105" t="n">
        <v>1048576</v>
      </c>
      <c r="B105" t="n">
        <v>49501.2</v>
      </c>
      <c r="C105">
        <f>C82+A105*1024*C80</f>
        <v/>
      </c>
      <c r="D105">
        <f>B105/C105</f>
        <v/>
      </c>
      <c r="E105" t="n">
        <v>37.96</v>
      </c>
      <c r="F105">
        <f>A105*1024/(C105*0.000001)/1000000000*C81</f>
        <v/>
      </c>
      <c r="G105">
        <f>E105/F105</f>
        <v/>
      </c>
    </row>
    <row r="106">
      <c r="A106" t="n">
        <v>2097152</v>
      </c>
      <c r="B106" t="n">
        <v>99299.89999999999</v>
      </c>
      <c r="C106">
        <f>C82+A106*1024*C80</f>
        <v/>
      </c>
      <c r="D106">
        <f>B106/C106</f>
        <v/>
      </c>
      <c r="E106" t="n">
        <v>37.85</v>
      </c>
      <c r="F106">
        <f>A106*1024/(C106*0.000001)/1000000000*C81</f>
        <v/>
      </c>
      <c r="G106">
        <f>E106/F106</f>
        <v/>
      </c>
    </row>
    <row r="107">
      <c r="A107" t="n">
        <v>4194304</v>
      </c>
      <c r="B107" t="n">
        <v>199142</v>
      </c>
      <c r="C107">
        <f>C82+A107*1024*C80</f>
        <v/>
      </c>
      <c r="D107">
        <f>B107/C107</f>
        <v/>
      </c>
      <c r="E107" t="n">
        <v>37.74</v>
      </c>
      <c r="F107">
        <f>A107*1024/(C107*0.000001)/1000000000*C81</f>
        <v/>
      </c>
      <c r="G107">
        <f>E107/F107</f>
        <v/>
      </c>
    </row>
    <row r="108"/>
    <row r="109">
      <c r="A109" t="inlineStr">
        <is>
          <t>Nodes: 8, Protocol: Simple, Channels: 8</t>
        </is>
      </c>
    </row>
    <row r="110">
      <c r="A110" t="inlineStr">
        <is>
          <t>Parameter</t>
        </is>
      </c>
      <c r="B110" t="inlineStr">
        <is>
          <t>Formula</t>
        </is>
      </c>
      <c r="C110" t="inlineStr">
        <is>
          <t>Value</t>
        </is>
      </c>
    </row>
    <row r="111">
      <c r="A111" t="inlineStr">
        <is>
          <t>n</t>
        </is>
      </c>
      <c r="B111" t="inlineStr">
        <is>
          <t>nodes on tree</t>
        </is>
      </c>
      <c r="C111" t="n">
        <v>8</v>
      </c>
    </row>
    <row r="112">
      <c r="A112" t="inlineStr">
        <is>
          <t>nch</t>
        </is>
      </c>
      <c r="B112" t="inlineStr">
        <is>
          <t>channels</t>
        </is>
      </c>
      <c r="C112" t="n">
        <v>8</v>
      </c>
    </row>
    <row r="113">
      <c r="A113" t="inlineStr">
        <is>
          <t>a</t>
        </is>
      </c>
      <c r="B113" t="inlineStr">
        <is>
          <t>RTT (us)</t>
        </is>
      </c>
      <c r="C113" t="n">
        <v>25.8107</v>
      </c>
    </row>
    <row r="114">
      <c r="A114" t="inlineStr">
        <is>
          <t>NIC_BW</t>
        </is>
      </c>
      <c r="B114" t="inlineStr">
        <is>
          <t>bytes/us</t>
        </is>
      </c>
      <c r="C114" t="n">
        <v>48750</v>
      </c>
    </row>
    <row r="115">
      <c r="A115" t="inlineStr">
        <is>
          <t>NIC_BW_REAL</t>
        </is>
      </c>
      <c r="B115" t="inlineStr">
        <is>
          <t>NIC_BW/2</t>
        </is>
      </c>
      <c r="C115">
        <f>C114/2</f>
        <v/>
      </c>
    </row>
    <row r="116">
      <c r="A116" t="inlineStr">
        <is>
          <t>G</t>
        </is>
      </c>
      <c r="B116" t="inlineStr">
        <is>
          <t>1/NIC_BW_REAL</t>
        </is>
      </c>
      <c r="C116">
        <f>1/C115</f>
        <v/>
      </c>
    </row>
    <row r="117">
      <c r="A117" t="inlineStr">
        <is>
          <t>busbw_factor</t>
        </is>
      </c>
      <c r="B117" t="inlineStr">
        <is>
          <t>2*(n-1)/n</t>
        </is>
      </c>
      <c r="C117">
        <f>2*(C111-1)/C111</f>
        <v/>
      </c>
    </row>
    <row r="118">
      <c r="A118" t="inlineStr">
        <is>
          <t>fixed_overhead</t>
        </is>
      </c>
      <c r="B118" t="inlineStr">
        <is>
          <t>(2*LOG2(n)+1)*a/2</t>
        </is>
      </c>
      <c r="C118">
        <f>(2*LOG(C111,2)+1)*C113/2</f>
        <v/>
      </c>
    </row>
    <row r="119"/>
    <row r="120">
      <c r="A120" t="inlineStr">
        <is>
          <t>size_KB</t>
        </is>
      </c>
      <c r="B120" t="inlineStr">
        <is>
          <t>Actual Time (us)</t>
        </is>
      </c>
      <c r="C120" t="inlineStr">
        <is>
          <t>Roofline Time (us)</t>
        </is>
      </c>
      <c r="D120" t="inlineStr">
        <is>
          <t>Actual/Roofline</t>
        </is>
      </c>
      <c r="E120" t="inlineStr">
        <is>
          <t>Actual busBW (GB/s)</t>
        </is>
      </c>
      <c r="F120" t="inlineStr">
        <is>
          <t>Roofline busBW (GB/s)</t>
        </is>
      </c>
      <c r="G120" t="inlineStr">
        <is>
          <t>Meas/Roof busBW</t>
        </is>
      </c>
    </row>
    <row r="121">
      <c r="A121" t="n">
        <v>1</v>
      </c>
      <c r="B121" t="n">
        <v>140.76</v>
      </c>
      <c r="C121">
        <f>C118+A121*1024*C116</f>
        <v/>
      </c>
      <c r="D121">
        <f>B121/C121</f>
        <v/>
      </c>
      <c r="E121" t="n">
        <v>0.01</v>
      </c>
      <c r="F121">
        <f>A121*1024/(C121*0.000001)/1000000000*C117</f>
        <v/>
      </c>
      <c r="G121">
        <f>E121/F121</f>
        <v/>
      </c>
    </row>
    <row r="122">
      <c r="A122" t="n">
        <v>2</v>
      </c>
      <c r="B122" t="n">
        <v>141.63</v>
      </c>
      <c r="C122">
        <f>C118+A122*1024*C116</f>
        <v/>
      </c>
      <c r="D122">
        <f>B122/C122</f>
        <v/>
      </c>
      <c r="E122" t="n">
        <v>0.03</v>
      </c>
      <c r="F122">
        <f>A122*1024/(C122*0.000001)/1000000000*C117</f>
        <v/>
      </c>
      <c r="G122">
        <f>E122/F122</f>
        <v/>
      </c>
    </row>
    <row r="123">
      <c r="A123" t="n">
        <v>4</v>
      </c>
      <c r="B123" t="n">
        <v>145.48</v>
      </c>
      <c r="C123">
        <f>C118+A123*1024*C116</f>
        <v/>
      </c>
      <c r="D123">
        <f>B123/C123</f>
        <v/>
      </c>
      <c r="E123" t="n">
        <v>0.05</v>
      </c>
      <c r="F123">
        <f>A123*1024/(C123*0.000001)/1000000000*C117</f>
        <v/>
      </c>
      <c r="G123">
        <f>E123/F123</f>
        <v/>
      </c>
    </row>
    <row r="124">
      <c r="A124" t="n">
        <v>8</v>
      </c>
      <c r="B124" t="n">
        <v>156.43</v>
      </c>
      <c r="C124">
        <f>C118+A124*1024*C116</f>
        <v/>
      </c>
      <c r="D124">
        <f>B124/C124</f>
        <v/>
      </c>
      <c r="E124" t="n">
        <v>0.09</v>
      </c>
      <c r="F124">
        <f>A124*1024/(C124*0.000001)/1000000000*C117</f>
        <v/>
      </c>
      <c r="G124">
        <f>E124/F124</f>
        <v/>
      </c>
    </row>
    <row r="125">
      <c r="A125" t="n">
        <v>16</v>
      </c>
      <c r="B125" t="n">
        <v>184.86</v>
      </c>
      <c r="C125">
        <f>C118+A125*1024*C116</f>
        <v/>
      </c>
      <c r="D125">
        <f>B125/C125</f>
        <v/>
      </c>
      <c r="E125" t="n">
        <v>0.16</v>
      </c>
      <c r="F125">
        <f>A125*1024/(C125*0.000001)/1000000000*C117</f>
        <v/>
      </c>
      <c r="G125">
        <f>E125/F125</f>
        <v/>
      </c>
    </row>
    <row r="126">
      <c r="A126" t="n">
        <v>32</v>
      </c>
      <c r="B126" t="n">
        <v>205.15</v>
      </c>
      <c r="C126">
        <f>C118+A126*1024*C116</f>
        <v/>
      </c>
      <c r="D126">
        <f>B126/C126</f>
        <v/>
      </c>
      <c r="E126" t="n">
        <v>0.28</v>
      </c>
      <c r="F126">
        <f>A126*1024/(C126*0.000001)/1000000000*C117</f>
        <v/>
      </c>
      <c r="G126">
        <f>E126/F126</f>
        <v/>
      </c>
    </row>
    <row r="127">
      <c r="A127" t="n">
        <v>64</v>
      </c>
      <c r="B127" t="n">
        <v>215.61</v>
      </c>
      <c r="C127">
        <f>C118+A127*1024*C116</f>
        <v/>
      </c>
      <c r="D127">
        <f>B127/C127</f>
        <v/>
      </c>
      <c r="E127" t="n">
        <v>0.53</v>
      </c>
      <c r="F127">
        <f>A127*1024/(C127*0.000001)/1000000000*C117</f>
        <v/>
      </c>
      <c r="G127">
        <f>E127/F127</f>
        <v/>
      </c>
    </row>
    <row r="128">
      <c r="A128" t="n">
        <v>128</v>
      </c>
      <c r="B128" t="n">
        <v>218.08</v>
      </c>
      <c r="C128">
        <f>C118+A128*1024*C116</f>
        <v/>
      </c>
      <c r="D128">
        <f>B128/C128</f>
        <v/>
      </c>
      <c r="E128" t="n">
        <v>1.05</v>
      </c>
      <c r="F128">
        <f>A128*1024/(C128*0.000001)/1000000000*C117</f>
        <v/>
      </c>
      <c r="G128">
        <f>E128/F128</f>
        <v/>
      </c>
    </row>
    <row r="129">
      <c r="A129" t="n">
        <v>256</v>
      </c>
      <c r="B129" t="n">
        <v>238.97</v>
      </c>
      <c r="C129">
        <f>C118+A129*1024*C116</f>
        <v/>
      </c>
      <c r="D129">
        <f>B129/C129</f>
        <v/>
      </c>
      <c r="E129" t="n">
        <v>1.92</v>
      </c>
      <c r="F129">
        <f>A129*1024/(C129*0.000001)/1000000000*C117</f>
        <v/>
      </c>
      <c r="G129">
        <f>E129/F129</f>
        <v/>
      </c>
    </row>
    <row r="130">
      <c r="A130" t="n">
        <v>512</v>
      </c>
      <c r="B130" t="n">
        <v>274.78</v>
      </c>
      <c r="C130">
        <f>C118+A130*1024*C116</f>
        <v/>
      </c>
      <c r="D130">
        <f>B130/C130</f>
        <v/>
      </c>
      <c r="E130" t="n">
        <v>3.34</v>
      </c>
      <c r="F130">
        <f>A130*1024/(C130*0.000001)/1000000000*C117</f>
        <v/>
      </c>
      <c r="G130">
        <f>E130/F130</f>
        <v/>
      </c>
    </row>
    <row r="131">
      <c r="A131" t="n">
        <v>1024</v>
      </c>
      <c r="B131" t="n">
        <v>338.06</v>
      </c>
      <c r="C131">
        <f>C118+A131*1024*C116</f>
        <v/>
      </c>
      <c r="D131">
        <f>B131/C131</f>
        <v/>
      </c>
      <c r="E131" t="n">
        <v>5.43</v>
      </c>
      <c r="F131">
        <f>A131*1024/(C131*0.000001)/1000000000*C117</f>
        <v/>
      </c>
      <c r="G131">
        <f>E131/F131</f>
        <v/>
      </c>
    </row>
    <row r="132">
      <c r="A132" t="n">
        <v>2048</v>
      </c>
      <c r="B132" t="n">
        <v>435.2</v>
      </c>
      <c r="C132">
        <f>C118+A132*1024*C116</f>
        <v/>
      </c>
      <c r="D132">
        <f>B132/C132</f>
        <v/>
      </c>
      <c r="E132" t="n">
        <v>8.43</v>
      </c>
      <c r="F132">
        <f>A132*1024/(C132*0.000001)/1000000000*C117</f>
        <v/>
      </c>
      <c r="G132">
        <f>E132/F132</f>
        <v/>
      </c>
    </row>
    <row r="133">
      <c r="A133" t="n">
        <v>4096</v>
      </c>
      <c r="B133" t="n">
        <v>638.66</v>
      </c>
      <c r="C133">
        <f>C118+A133*1024*C116</f>
        <v/>
      </c>
      <c r="D133">
        <f>B133/C133</f>
        <v/>
      </c>
      <c r="E133" t="n">
        <v>11.49</v>
      </c>
      <c r="F133">
        <f>A133*1024/(C133*0.000001)/1000000000*C117</f>
        <v/>
      </c>
      <c r="G133">
        <f>E133/F133</f>
        <v/>
      </c>
    </row>
    <row r="134">
      <c r="A134" t="n">
        <v>8192</v>
      </c>
      <c r="B134" t="n">
        <v>1023.6</v>
      </c>
      <c r="C134">
        <f>C118+A134*1024*C116</f>
        <v/>
      </c>
      <c r="D134">
        <f>B134/C134</f>
        <v/>
      </c>
      <c r="E134" t="n">
        <v>14.34</v>
      </c>
      <c r="F134">
        <f>A134*1024/(C134*0.000001)/1000000000*C117</f>
        <v/>
      </c>
      <c r="G134">
        <f>E134/F134</f>
        <v/>
      </c>
    </row>
    <row r="135">
      <c r="A135" t="n">
        <v>16384</v>
      </c>
      <c r="B135" t="n">
        <v>1337.31</v>
      </c>
      <c r="C135">
        <f>C118+A135*1024*C116</f>
        <v/>
      </c>
      <c r="D135">
        <f>B135/C135</f>
        <v/>
      </c>
      <c r="E135" t="n">
        <v>21.95</v>
      </c>
      <c r="F135">
        <f>A135*1024/(C135*0.000001)/1000000000*C117</f>
        <v/>
      </c>
      <c r="G135">
        <f>E135/F135</f>
        <v/>
      </c>
    </row>
    <row r="136">
      <c r="A136" t="n">
        <v>32768</v>
      </c>
      <c r="B136" t="n">
        <v>2075.87</v>
      </c>
      <c r="C136">
        <f>C118+A136*1024*C116</f>
        <v/>
      </c>
      <c r="D136">
        <f>B136/C136</f>
        <v/>
      </c>
      <c r="E136" t="n">
        <v>28.29</v>
      </c>
      <c r="F136">
        <f>A136*1024/(C136*0.000001)/1000000000*C117</f>
        <v/>
      </c>
      <c r="G136">
        <f>E136/F136</f>
        <v/>
      </c>
    </row>
    <row r="137">
      <c r="A137" t="n">
        <v>65536</v>
      </c>
      <c r="B137" t="n">
        <v>3766.76</v>
      </c>
      <c r="C137">
        <f>C118+A137*1024*C116</f>
        <v/>
      </c>
      <c r="D137">
        <f>B137/C137</f>
        <v/>
      </c>
      <c r="E137" t="n">
        <v>31.18</v>
      </c>
      <c r="F137">
        <f>A137*1024/(C137*0.000001)/1000000000*C117</f>
        <v/>
      </c>
      <c r="G137">
        <f>E137/F137</f>
        <v/>
      </c>
    </row>
    <row r="138">
      <c r="A138" t="n">
        <v>131072</v>
      </c>
      <c r="B138" t="n">
        <v>6902.12</v>
      </c>
      <c r="C138">
        <f>C118+A138*1024*C116</f>
        <v/>
      </c>
      <c r="D138">
        <f>B138/C138</f>
        <v/>
      </c>
      <c r="E138" t="n">
        <v>34.03</v>
      </c>
      <c r="F138">
        <f>A138*1024/(C138*0.000001)/1000000000*C117</f>
        <v/>
      </c>
      <c r="G138">
        <f>E138/F138</f>
        <v/>
      </c>
    </row>
    <row r="139">
      <c r="A139" t="n">
        <v>262144</v>
      </c>
      <c r="B139" t="n">
        <v>13228.5</v>
      </c>
      <c r="C139">
        <f>C118+A139*1024*C116</f>
        <v/>
      </c>
      <c r="D139">
        <f>B139/C139</f>
        <v/>
      </c>
      <c r="E139" t="n">
        <v>35.51</v>
      </c>
      <c r="F139">
        <f>A139*1024/(C139*0.000001)/1000000000*C117</f>
        <v/>
      </c>
      <c r="G139">
        <f>E139/F139</f>
        <v/>
      </c>
    </row>
    <row r="140">
      <c r="A140" t="n">
        <v>524288</v>
      </c>
      <c r="B140" t="n">
        <v>25162.1</v>
      </c>
      <c r="C140">
        <f>C118+A140*1024*C116</f>
        <v/>
      </c>
      <c r="D140">
        <f>B140/C140</f>
        <v/>
      </c>
      <c r="E140" t="n">
        <v>37.34</v>
      </c>
      <c r="F140">
        <f>A140*1024/(C140*0.000001)/1000000000*C117</f>
        <v/>
      </c>
      <c r="G140">
        <f>E140/F140</f>
        <v/>
      </c>
    </row>
    <row r="141">
      <c r="A141" t="n">
        <v>1048576</v>
      </c>
      <c r="B141" t="n">
        <v>49493.2</v>
      </c>
      <c r="C141">
        <f>C118+A141*1024*C116</f>
        <v/>
      </c>
      <c r="D141">
        <f>B141/C141</f>
        <v/>
      </c>
      <c r="E141" t="n">
        <v>37.97</v>
      </c>
      <c r="F141">
        <f>A141*1024/(C141*0.000001)/1000000000*C117</f>
        <v/>
      </c>
      <c r="G141">
        <f>E141/F141</f>
        <v/>
      </c>
    </row>
    <row r="142">
      <c r="A142" t="n">
        <v>2097152</v>
      </c>
      <c r="B142" t="n">
        <v>98787.3</v>
      </c>
      <c r="C142">
        <f>C118+A142*1024*C116</f>
        <v/>
      </c>
      <c r="D142">
        <f>B142/C142</f>
        <v/>
      </c>
      <c r="E142" t="n">
        <v>38.04</v>
      </c>
      <c r="F142">
        <f>A142*1024/(C142*0.000001)/1000000000*C117</f>
        <v/>
      </c>
      <c r="G142">
        <f>E142/F142</f>
        <v/>
      </c>
    </row>
    <row r="143">
      <c r="A143" t="n">
        <v>4194304</v>
      </c>
      <c r="B143" t="n">
        <v>198439</v>
      </c>
      <c r="C143">
        <f>C118+A143*1024*C116</f>
        <v/>
      </c>
      <c r="D143">
        <f>B143/C143</f>
        <v/>
      </c>
      <c r="E143" t="n">
        <v>37.88</v>
      </c>
      <c r="F143">
        <f>A143*1024/(C143*0.000001)/1000000000*C117</f>
        <v/>
      </c>
      <c r="G143">
        <f>E143/F143</f>
        <v/>
      </c>
    </row>
    <row r="144"/>
    <row r="145">
      <c r="A145" t="inlineStr">
        <is>
          <t>Nodes: 8, Protocol: Simple, Channels: 16</t>
        </is>
      </c>
    </row>
    <row r="146">
      <c r="A146" t="inlineStr">
        <is>
          <t>Parameter</t>
        </is>
      </c>
      <c r="B146" t="inlineStr">
        <is>
          <t>Formula</t>
        </is>
      </c>
      <c r="C146" t="inlineStr">
        <is>
          <t>Value</t>
        </is>
      </c>
    </row>
    <row r="147">
      <c r="A147" t="inlineStr">
        <is>
          <t>n</t>
        </is>
      </c>
      <c r="B147" t="inlineStr">
        <is>
          <t>nodes on tree</t>
        </is>
      </c>
      <c r="C147" t="n">
        <v>8</v>
      </c>
    </row>
    <row r="148">
      <c r="A148" t="inlineStr">
        <is>
          <t>nch</t>
        </is>
      </c>
      <c r="B148" t="inlineStr">
        <is>
          <t>channels</t>
        </is>
      </c>
      <c r="C148" t="n">
        <v>16</v>
      </c>
    </row>
    <row r="149">
      <c r="A149" t="inlineStr">
        <is>
          <t>a</t>
        </is>
      </c>
      <c r="B149" t="inlineStr">
        <is>
          <t>RTT (us)</t>
        </is>
      </c>
      <c r="C149" t="n">
        <v>25.8107</v>
      </c>
    </row>
    <row r="150">
      <c r="A150" t="inlineStr">
        <is>
          <t>NIC_BW</t>
        </is>
      </c>
      <c r="B150" t="inlineStr">
        <is>
          <t>bytes/us</t>
        </is>
      </c>
      <c r="C150" t="n">
        <v>48750</v>
      </c>
    </row>
    <row r="151">
      <c r="A151" t="inlineStr">
        <is>
          <t>NIC_BW_REAL</t>
        </is>
      </c>
      <c r="B151" t="inlineStr">
        <is>
          <t>NIC_BW/2</t>
        </is>
      </c>
      <c r="C151">
        <f>C150/2</f>
        <v/>
      </c>
    </row>
    <row r="152">
      <c r="A152" t="inlineStr">
        <is>
          <t>G</t>
        </is>
      </c>
      <c r="B152" t="inlineStr">
        <is>
          <t>1/NIC_BW_REAL</t>
        </is>
      </c>
      <c r="C152">
        <f>1/C151</f>
        <v/>
      </c>
    </row>
    <row r="153">
      <c r="A153" t="inlineStr">
        <is>
          <t>busbw_factor</t>
        </is>
      </c>
      <c r="B153" t="inlineStr">
        <is>
          <t>2*(n-1)/n</t>
        </is>
      </c>
      <c r="C153">
        <f>2*(C147-1)/C147</f>
        <v/>
      </c>
    </row>
    <row r="154">
      <c r="A154" t="inlineStr">
        <is>
          <t>fixed_overhead</t>
        </is>
      </c>
      <c r="B154" t="inlineStr">
        <is>
          <t>(2*LOG2(n)+1)*a/2</t>
        </is>
      </c>
      <c r="C154">
        <f>(2*LOG(C147,2)+1)*C149/2</f>
        <v/>
      </c>
    </row>
    <row r="155"/>
    <row r="156">
      <c r="A156" t="inlineStr">
        <is>
          <t>size_KB</t>
        </is>
      </c>
      <c r="B156" t="inlineStr">
        <is>
          <t>Actual Time (us)</t>
        </is>
      </c>
      <c r="C156" t="inlineStr">
        <is>
          <t>Roofline Time (us)</t>
        </is>
      </c>
      <c r="D156" t="inlineStr">
        <is>
          <t>Actual/Roofline</t>
        </is>
      </c>
      <c r="E156" t="inlineStr">
        <is>
          <t>Actual busBW (GB/s)</t>
        </is>
      </c>
      <c r="F156" t="inlineStr">
        <is>
          <t>Roofline busBW (GB/s)</t>
        </is>
      </c>
      <c r="G156" t="inlineStr">
        <is>
          <t>Meas/Roof busBW</t>
        </is>
      </c>
    </row>
    <row r="157">
      <c r="A157" t="n">
        <v>1</v>
      </c>
      <c r="B157" t="n">
        <v>140.99</v>
      </c>
      <c r="C157">
        <f>C154+A157*1024*C152</f>
        <v/>
      </c>
      <c r="D157">
        <f>B157/C157</f>
        <v/>
      </c>
      <c r="E157" t="n">
        <v>0.01</v>
      </c>
      <c r="F157">
        <f>A157*1024/(C157*0.000001)/1000000000*C153</f>
        <v/>
      </c>
      <c r="G157">
        <f>E157/F157</f>
        <v/>
      </c>
    </row>
    <row r="158">
      <c r="A158" t="n">
        <v>2</v>
      </c>
      <c r="B158" t="n">
        <v>142.17</v>
      </c>
      <c r="C158">
        <f>C154+A158*1024*C152</f>
        <v/>
      </c>
      <c r="D158">
        <f>B158/C158</f>
        <v/>
      </c>
      <c r="E158" t="n">
        <v>0.03</v>
      </c>
      <c r="F158">
        <f>A158*1024/(C158*0.000001)/1000000000*C153</f>
        <v/>
      </c>
      <c r="G158">
        <f>E158/F158</f>
        <v/>
      </c>
    </row>
    <row r="159">
      <c r="A159" t="n">
        <v>4</v>
      </c>
      <c r="B159" t="n">
        <v>145.75</v>
      </c>
      <c r="C159">
        <f>C154+A159*1024*C152</f>
        <v/>
      </c>
      <c r="D159">
        <f>B159/C159</f>
        <v/>
      </c>
      <c r="E159" t="n">
        <v>0.05</v>
      </c>
      <c r="F159">
        <f>A159*1024/(C159*0.000001)/1000000000*C153</f>
        <v/>
      </c>
      <c r="G159">
        <f>E159/F159</f>
        <v/>
      </c>
    </row>
    <row r="160">
      <c r="A160" t="n">
        <v>8</v>
      </c>
      <c r="B160" t="n">
        <v>156.6</v>
      </c>
      <c r="C160">
        <f>C154+A160*1024*C152</f>
        <v/>
      </c>
      <c r="D160">
        <f>B160/C160</f>
        <v/>
      </c>
      <c r="E160" t="n">
        <v>0.09</v>
      </c>
      <c r="F160">
        <f>A160*1024/(C160*0.000001)/1000000000*C153</f>
        <v/>
      </c>
      <c r="G160">
        <f>E160/F160</f>
        <v/>
      </c>
    </row>
    <row r="161">
      <c r="A161" t="n">
        <v>16</v>
      </c>
      <c r="B161" t="n">
        <v>184.3</v>
      </c>
      <c r="C161">
        <f>C154+A161*1024*C152</f>
        <v/>
      </c>
      <c r="D161">
        <f>B161/C161</f>
        <v/>
      </c>
      <c r="E161" t="n">
        <v>0.16</v>
      </c>
      <c r="F161">
        <f>A161*1024/(C161*0.000001)/1000000000*C153</f>
        <v/>
      </c>
      <c r="G161">
        <f>E161/F161</f>
        <v/>
      </c>
    </row>
    <row r="162">
      <c r="A162" t="n">
        <v>32</v>
      </c>
      <c r="B162" t="n">
        <v>205.3</v>
      </c>
      <c r="C162">
        <f>C154+A162*1024*C152</f>
        <v/>
      </c>
      <c r="D162">
        <f>B162/C162</f>
        <v/>
      </c>
      <c r="E162" t="n">
        <v>0.28</v>
      </c>
      <c r="F162">
        <f>A162*1024/(C162*0.000001)/1000000000*C153</f>
        <v/>
      </c>
      <c r="G162">
        <f>E162/F162</f>
        <v/>
      </c>
    </row>
    <row r="163">
      <c r="A163" t="n">
        <v>64</v>
      </c>
      <c r="B163" t="n">
        <v>213.13</v>
      </c>
      <c r="C163">
        <f>C154+A163*1024*C152</f>
        <v/>
      </c>
      <c r="D163">
        <f>B163/C163</f>
        <v/>
      </c>
      <c r="E163" t="n">
        <v>0.54</v>
      </c>
      <c r="F163">
        <f>A163*1024/(C163*0.000001)/1000000000*C153</f>
        <v/>
      </c>
      <c r="G163">
        <f>E163/F163</f>
        <v/>
      </c>
    </row>
    <row r="164">
      <c r="A164" t="n">
        <v>128</v>
      </c>
      <c r="B164" t="n">
        <v>218.21</v>
      </c>
      <c r="C164">
        <f>C154+A164*1024*C152</f>
        <v/>
      </c>
      <c r="D164">
        <f>B164/C164</f>
        <v/>
      </c>
      <c r="E164" t="n">
        <v>1.05</v>
      </c>
      <c r="F164">
        <f>A164*1024/(C164*0.000001)/1000000000*C153</f>
        <v/>
      </c>
      <c r="G164">
        <f>E164/F164</f>
        <v/>
      </c>
    </row>
    <row r="165">
      <c r="A165" t="n">
        <v>256</v>
      </c>
      <c r="B165" t="n">
        <v>239.25</v>
      </c>
      <c r="C165">
        <f>C154+A165*1024*C152</f>
        <v/>
      </c>
      <c r="D165">
        <f>B165/C165</f>
        <v/>
      </c>
      <c r="E165" t="n">
        <v>1.92</v>
      </c>
      <c r="F165">
        <f>A165*1024/(C165*0.000001)/1000000000*C153</f>
        <v/>
      </c>
      <c r="G165">
        <f>E165/F165</f>
        <v/>
      </c>
    </row>
    <row r="166">
      <c r="A166" t="n">
        <v>512</v>
      </c>
      <c r="B166" t="n">
        <v>286.41</v>
      </c>
      <c r="C166">
        <f>C154+A166*1024*C152</f>
        <v/>
      </c>
      <c r="D166">
        <f>B166/C166</f>
        <v/>
      </c>
      <c r="E166" t="n">
        <v>3.2</v>
      </c>
      <c r="F166">
        <f>A166*1024/(C166*0.000001)/1000000000*C153</f>
        <v/>
      </c>
      <c r="G166">
        <f>E166/F166</f>
        <v/>
      </c>
    </row>
    <row r="167">
      <c r="A167" t="n">
        <v>1024</v>
      </c>
      <c r="B167" t="n">
        <v>324.9</v>
      </c>
      <c r="C167">
        <f>C154+A167*1024*C152</f>
        <v/>
      </c>
      <c r="D167">
        <f>B167/C167</f>
        <v/>
      </c>
      <c r="E167" t="n">
        <v>5.65</v>
      </c>
      <c r="F167">
        <f>A167*1024/(C167*0.000001)/1000000000*C153</f>
        <v/>
      </c>
      <c r="G167">
        <f>E167/F167</f>
        <v/>
      </c>
    </row>
    <row r="168">
      <c r="A168" t="n">
        <v>2048</v>
      </c>
      <c r="B168" t="n">
        <v>415.22</v>
      </c>
      <c r="C168">
        <f>C154+A168*1024*C152</f>
        <v/>
      </c>
      <c r="D168">
        <f>B168/C168</f>
        <v/>
      </c>
      <c r="E168" t="n">
        <v>8.84</v>
      </c>
      <c r="F168">
        <f>A168*1024/(C168*0.000001)/1000000000*C153</f>
        <v/>
      </c>
      <c r="G168">
        <f>E168/F168</f>
        <v/>
      </c>
    </row>
    <row r="169">
      <c r="A169" t="n">
        <v>4096</v>
      </c>
      <c r="B169" t="n">
        <v>560.28</v>
      </c>
      <c r="C169">
        <f>C154+A169*1024*C152</f>
        <v/>
      </c>
      <c r="D169">
        <f>B169/C169</f>
        <v/>
      </c>
      <c r="E169" t="n">
        <v>13.1</v>
      </c>
      <c r="F169">
        <f>A169*1024/(C169*0.000001)/1000000000*C153</f>
        <v/>
      </c>
      <c r="G169">
        <f>E169/F169</f>
        <v/>
      </c>
    </row>
    <row r="170">
      <c r="A170" t="n">
        <v>8192</v>
      </c>
      <c r="B170" t="n">
        <v>833.39</v>
      </c>
      <c r="C170">
        <f>C154+A170*1024*C152</f>
        <v/>
      </c>
      <c r="D170">
        <f>B170/C170</f>
        <v/>
      </c>
      <c r="E170" t="n">
        <v>17.61</v>
      </c>
      <c r="F170">
        <f>A170*1024/(C170*0.000001)/1000000000*C153</f>
        <v/>
      </c>
      <c r="G170">
        <f>E170/F170</f>
        <v/>
      </c>
    </row>
    <row r="171">
      <c r="A171" t="n">
        <v>16384</v>
      </c>
      <c r="B171" t="n">
        <v>1393.54</v>
      </c>
      <c r="C171">
        <f>C154+A171*1024*C152</f>
        <v/>
      </c>
      <c r="D171">
        <f>B171/C171</f>
        <v/>
      </c>
      <c r="E171" t="n">
        <v>21.07</v>
      </c>
      <c r="F171">
        <f>A171*1024/(C171*0.000001)/1000000000*C153</f>
        <v/>
      </c>
      <c r="G171">
        <f>E171/F171</f>
        <v/>
      </c>
    </row>
    <row r="172">
      <c r="A172" t="n">
        <v>32768</v>
      </c>
      <c r="B172" t="n">
        <v>2141.34</v>
      </c>
      <c r="C172">
        <f>C154+A172*1024*C152</f>
        <v/>
      </c>
      <c r="D172">
        <f>B172/C172</f>
        <v/>
      </c>
      <c r="E172" t="n">
        <v>27.42</v>
      </c>
      <c r="F172">
        <f>A172*1024/(C172*0.000001)/1000000000*C153</f>
        <v/>
      </c>
      <c r="G172">
        <f>E172/F172</f>
        <v/>
      </c>
    </row>
    <row r="173">
      <c r="A173" t="n">
        <v>65536</v>
      </c>
      <c r="B173" t="n">
        <v>3819.23</v>
      </c>
      <c r="C173">
        <f>C154+A173*1024*C152</f>
        <v/>
      </c>
      <c r="D173">
        <f>B173/C173</f>
        <v/>
      </c>
      <c r="E173" t="n">
        <v>30.75</v>
      </c>
      <c r="F173">
        <f>A173*1024/(C173*0.000001)/1000000000*C153</f>
        <v/>
      </c>
      <c r="G173">
        <f>E173/F173</f>
        <v/>
      </c>
    </row>
    <row r="174">
      <c r="A174" t="n">
        <v>131072</v>
      </c>
      <c r="B174" t="n">
        <v>6987.97</v>
      </c>
      <c r="C174">
        <f>C154+A174*1024*C152</f>
        <v/>
      </c>
      <c r="D174">
        <f>B174/C174</f>
        <v/>
      </c>
      <c r="E174" t="n">
        <v>33.61</v>
      </c>
      <c r="F174">
        <f>A174*1024/(C174*0.000001)/1000000000*C153</f>
        <v/>
      </c>
      <c r="G174">
        <f>E174/F174</f>
        <v/>
      </c>
    </row>
    <row r="175">
      <c r="A175" t="n">
        <v>262144</v>
      </c>
      <c r="B175" t="n">
        <v>13627.5</v>
      </c>
      <c r="C175">
        <f>C154+A175*1024*C152</f>
        <v/>
      </c>
      <c r="D175">
        <f>B175/C175</f>
        <v/>
      </c>
      <c r="E175" t="n">
        <v>34.47</v>
      </c>
      <c r="F175">
        <f>A175*1024/(C175*0.000001)/1000000000*C153</f>
        <v/>
      </c>
      <c r="G175">
        <f>E175/F175</f>
        <v/>
      </c>
    </row>
    <row r="176">
      <c r="A176" t="n">
        <v>524288</v>
      </c>
      <c r="B176" t="n">
        <v>25754.7</v>
      </c>
      <c r="C176">
        <f>C154+A176*1024*C152</f>
        <v/>
      </c>
      <c r="D176">
        <f>B176/C176</f>
        <v/>
      </c>
      <c r="E176" t="n">
        <v>36.48</v>
      </c>
      <c r="F176">
        <f>A176*1024/(C176*0.000001)/1000000000*C153</f>
        <v/>
      </c>
      <c r="G176">
        <f>E176/F176</f>
        <v/>
      </c>
    </row>
    <row r="177">
      <c r="A177" t="n">
        <v>1048576</v>
      </c>
      <c r="B177" t="n">
        <v>49466.1</v>
      </c>
      <c r="C177">
        <f>C154+A177*1024*C152</f>
        <v/>
      </c>
      <c r="D177">
        <f>B177/C177</f>
        <v/>
      </c>
      <c r="E177" t="n">
        <v>37.99</v>
      </c>
      <c r="F177">
        <f>A177*1024/(C177*0.000001)/1000000000*C153</f>
        <v/>
      </c>
      <c r="G177">
        <f>E177/F177</f>
        <v/>
      </c>
    </row>
    <row r="178">
      <c r="A178" t="n">
        <v>2097152</v>
      </c>
      <c r="B178" t="n">
        <v>97988.89999999999</v>
      </c>
      <c r="C178">
        <f>C154+A178*1024*C152</f>
        <v/>
      </c>
      <c r="D178">
        <f>B178/C178</f>
        <v/>
      </c>
      <c r="E178" t="n">
        <v>38.35</v>
      </c>
      <c r="F178">
        <f>A178*1024/(C178*0.000001)/1000000000*C153</f>
        <v/>
      </c>
      <c r="G178">
        <f>E178/F178</f>
        <v/>
      </c>
    </row>
    <row r="179">
      <c r="A179" t="n">
        <v>4194304</v>
      </c>
      <c r="B179" t="n">
        <v>196082</v>
      </c>
      <c r="C179">
        <f>C154+A179*1024*C152</f>
        <v/>
      </c>
      <c r="D179">
        <f>B179/C179</f>
        <v/>
      </c>
      <c r="E179" t="n">
        <v>38.33</v>
      </c>
      <c r="F179">
        <f>A179*1024/(C179*0.000001)/1000000000*C153</f>
        <v/>
      </c>
      <c r="G179">
        <f>E179/F179</f>
        <v/>
      </c>
    </row>
    <row r="180"/>
    <row r="181">
      <c r="A181" t="inlineStr">
        <is>
          <t>Nodes: 8, Protocol: LL, Channels: 1</t>
        </is>
      </c>
    </row>
    <row r="182">
      <c r="A182" t="inlineStr">
        <is>
          <t>Parameter</t>
        </is>
      </c>
      <c r="B182" t="inlineStr">
        <is>
          <t>Formula</t>
        </is>
      </c>
      <c r="C182" t="inlineStr">
        <is>
          <t>Value</t>
        </is>
      </c>
    </row>
    <row r="183">
      <c r="A183" t="inlineStr">
        <is>
          <t>n</t>
        </is>
      </c>
      <c r="B183" t="inlineStr">
        <is>
          <t>nodes on tree</t>
        </is>
      </c>
      <c r="C183" t="n">
        <v>8</v>
      </c>
    </row>
    <row r="184">
      <c r="A184" t="inlineStr">
        <is>
          <t>nch</t>
        </is>
      </c>
      <c r="B184" t="inlineStr">
        <is>
          <t>channels</t>
        </is>
      </c>
      <c r="C184" t="n">
        <v>1</v>
      </c>
    </row>
    <row r="185">
      <c r="A185" t="inlineStr">
        <is>
          <t>a</t>
        </is>
      </c>
      <c r="B185" t="inlineStr">
        <is>
          <t>RTT (us)</t>
        </is>
      </c>
      <c r="C185" t="n">
        <v>25.8107</v>
      </c>
    </row>
    <row r="186">
      <c r="A186" t="inlineStr">
        <is>
          <t>NIC_BW</t>
        </is>
      </c>
      <c r="B186" t="inlineStr">
        <is>
          <t>bytes/us</t>
        </is>
      </c>
      <c r="C186" t="n">
        <v>48750</v>
      </c>
    </row>
    <row r="187">
      <c r="A187" t="inlineStr">
        <is>
          <t>NIC_BW_REAL</t>
        </is>
      </c>
      <c r="B187" t="inlineStr">
        <is>
          <t>(NIC_BW/2)/3</t>
        </is>
      </c>
      <c r="C187">
        <f>(C186/2)/3</f>
        <v/>
      </c>
    </row>
    <row r="188">
      <c r="A188" t="inlineStr">
        <is>
          <t>G</t>
        </is>
      </c>
      <c r="B188" t="inlineStr">
        <is>
          <t>1/NIC_BW_REAL</t>
        </is>
      </c>
      <c r="C188">
        <f>1/C187</f>
        <v/>
      </c>
    </row>
    <row r="189">
      <c r="A189" t="inlineStr">
        <is>
          <t>busbw_factor</t>
        </is>
      </c>
      <c r="B189" t="inlineStr">
        <is>
          <t>2*(n-1)/n</t>
        </is>
      </c>
      <c r="C189">
        <f>2*(C183-1)/C183</f>
        <v/>
      </c>
    </row>
    <row r="190">
      <c r="A190" t="inlineStr">
        <is>
          <t>fixed_overhead</t>
        </is>
      </c>
      <c r="B190" t="inlineStr">
        <is>
          <t>(2*LOG2(n)+1)*a/2</t>
        </is>
      </c>
      <c r="C190">
        <f>(2*LOG(C183,2)+1)*C185/2</f>
        <v/>
      </c>
    </row>
    <row r="191"/>
    <row r="192">
      <c r="A192" t="inlineStr">
        <is>
          <t>size_KB</t>
        </is>
      </c>
      <c r="B192" t="inlineStr">
        <is>
          <t>Actual Time (us)</t>
        </is>
      </c>
      <c r="C192" t="inlineStr">
        <is>
          <t>Roofline Time (us)</t>
        </is>
      </c>
      <c r="D192" t="inlineStr">
        <is>
          <t>Actual/Roofline</t>
        </is>
      </c>
      <c r="E192" t="inlineStr">
        <is>
          <t>Actual busBW (GB/s)</t>
        </is>
      </c>
      <c r="F192" t="inlineStr">
        <is>
          <t>Roofline busBW (GB/s)</t>
        </is>
      </c>
      <c r="G192" t="inlineStr">
        <is>
          <t>Meas/Roof busBW</t>
        </is>
      </c>
    </row>
    <row r="193">
      <c r="A193" t="n">
        <v>1</v>
      </c>
      <c r="B193" t="n">
        <v>93.23999999999999</v>
      </c>
      <c r="C193">
        <f>C190+A193*1024*C188</f>
        <v/>
      </c>
      <c r="D193">
        <f>B193/C193</f>
        <v/>
      </c>
      <c r="E193" t="n">
        <v>0.02</v>
      </c>
      <c r="F193">
        <f>A193*1024/(C193*0.000001)/1000000000*C189</f>
        <v/>
      </c>
      <c r="G193">
        <f>E193/F193</f>
        <v/>
      </c>
    </row>
    <row r="194">
      <c r="A194" t="n">
        <v>2</v>
      </c>
      <c r="B194" t="n">
        <v>97.56</v>
      </c>
      <c r="C194">
        <f>C190+A194*1024*C188</f>
        <v/>
      </c>
      <c r="D194">
        <f>B194/C194</f>
        <v/>
      </c>
      <c r="E194" t="n">
        <v>0.04</v>
      </c>
      <c r="F194">
        <f>A194*1024/(C194*0.000001)/1000000000*C189</f>
        <v/>
      </c>
      <c r="G194">
        <f>E194/F194</f>
        <v/>
      </c>
    </row>
    <row r="195">
      <c r="A195" t="n">
        <v>4</v>
      </c>
      <c r="B195" t="n">
        <v>110.3</v>
      </c>
      <c r="C195">
        <f>C190+A195*1024*C188</f>
        <v/>
      </c>
      <c r="D195">
        <f>B195/C195</f>
        <v/>
      </c>
      <c r="E195" t="n">
        <v>0.06</v>
      </c>
      <c r="F195">
        <f>A195*1024/(C195*0.000001)/1000000000*C189</f>
        <v/>
      </c>
      <c r="G195">
        <f>E195/F195</f>
        <v/>
      </c>
    </row>
    <row r="196">
      <c r="A196" t="n">
        <v>8</v>
      </c>
      <c r="B196" t="n">
        <v>119.87</v>
      </c>
      <c r="C196">
        <f>C190+A196*1024*C188</f>
        <v/>
      </c>
      <c r="D196">
        <f>B196/C196</f>
        <v/>
      </c>
      <c r="E196" t="n">
        <v>0.12</v>
      </c>
      <c r="F196">
        <f>A196*1024/(C196*0.000001)/1000000000*C189</f>
        <v/>
      </c>
      <c r="G196">
        <f>E196/F196</f>
        <v/>
      </c>
    </row>
    <row r="197">
      <c r="A197" t="n">
        <v>16</v>
      </c>
      <c r="B197" t="n">
        <v>134.89</v>
      </c>
      <c r="C197">
        <f>C190+A197*1024*C188</f>
        <v/>
      </c>
      <c r="D197">
        <f>B197/C197</f>
        <v/>
      </c>
      <c r="E197" t="n">
        <v>0.21</v>
      </c>
      <c r="F197">
        <f>A197*1024/(C197*0.000001)/1000000000*C189</f>
        <v/>
      </c>
      <c r="G197">
        <f>E197/F197</f>
        <v/>
      </c>
    </row>
    <row r="198">
      <c r="A198" t="n">
        <v>32</v>
      </c>
      <c r="B198" t="n">
        <v>166.38</v>
      </c>
      <c r="C198">
        <f>C190+A198*1024*C188</f>
        <v/>
      </c>
      <c r="D198">
        <f>B198/C198</f>
        <v/>
      </c>
      <c r="E198" t="n">
        <v>0.34</v>
      </c>
      <c r="F198">
        <f>A198*1024/(C198*0.000001)/1000000000*C189</f>
        <v/>
      </c>
      <c r="G198">
        <f>E198/F198</f>
        <v/>
      </c>
    </row>
    <row r="199">
      <c r="A199" t="n">
        <v>64</v>
      </c>
      <c r="B199" t="n">
        <v>181.95</v>
      </c>
      <c r="C199">
        <f>C190+A199*1024*C188</f>
        <v/>
      </c>
      <c r="D199">
        <f>B199/C199</f>
        <v/>
      </c>
      <c r="E199" t="n">
        <v>0.63</v>
      </c>
      <c r="F199">
        <f>A199*1024/(C199*0.000001)/1000000000*C189</f>
        <v/>
      </c>
      <c r="G199">
        <f>E199/F199</f>
        <v/>
      </c>
    </row>
    <row r="200">
      <c r="A200" t="n">
        <v>128</v>
      </c>
      <c r="B200" t="n">
        <v>208.54</v>
      </c>
      <c r="C200">
        <f>C190+A200*1024*C188</f>
        <v/>
      </c>
      <c r="D200">
        <f>B200/C200</f>
        <v/>
      </c>
      <c r="E200" t="n">
        <v>1.1</v>
      </c>
      <c r="F200">
        <f>A200*1024/(C200*0.000001)/1000000000*C189</f>
        <v/>
      </c>
      <c r="G200">
        <f>E200/F200</f>
        <v/>
      </c>
    </row>
    <row r="201">
      <c r="A201" t="n">
        <v>256</v>
      </c>
      <c r="B201" t="n">
        <v>268.11</v>
      </c>
      <c r="C201">
        <f>C190+A201*1024*C188</f>
        <v/>
      </c>
      <c r="D201">
        <f>B201/C201</f>
        <v/>
      </c>
      <c r="E201" t="n">
        <v>1.71</v>
      </c>
      <c r="F201">
        <f>A201*1024/(C201*0.000001)/1000000000*C189</f>
        <v/>
      </c>
      <c r="G201">
        <f>E201/F201</f>
        <v/>
      </c>
    </row>
    <row r="202">
      <c r="A202" t="n">
        <v>512</v>
      </c>
      <c r="B202" t="n">
        <v>446.74</v>
      </c>
      <c r="C202">
        <f>C190+A202*1024*C188</f>
        <v/>
      </c>
      <c r="D202">
        <f>B202/C202</f>
        <v/>
      </c>
      <c r="E202" t="n">
        <v>2.05</v>
      </c>
      <c r="F202">
        <f>A202*1024/(C202*0.000001)/1000000000*C189</f>
        <v/>
      </c>
      <c r="G202">
        <f>E202/F202</f>
        <v/>
      </c>
    </row>
    <row r="203">
      <c r="A203" t="n">
        <v>1024</v>
      </c>
      <c r="B203" t="n">
        <v>799.62</v>
      </c>
      <c r="C203">
        <f>C190+A203*1024*C188</f>
        <v/>
      </c>
      <c r="D203">
        <f>B203/C203</f>
        <v/>
      </c>
      <c r="E203" t="n">
        <v>2.29</v>
      </c>
      <c r="F203">
        <f>A203*1024/(C203*0.000001)/1000000000*C189</f>
        <v/>
      </c>
      <c r="G203">
        <f>E203/F203</f>
        <v/>
      </c>
    </row>
    <row r="204">
      <c r="A204" t="n">
        <v>2048</v>
      </c>
      <c r="B204" t="n">
        <v>1492.15</v>
      </c>
      <c r="C204">
        <f>C190+A204*1024*C188</f>
        <v/>
      </c>
      <c r="D204">
        <f>B204/C204</f>
        <v/>
      </c>
      <c r="E204" t="n">
        <v>2.46</v>
      </c>
      <c r="F204">
        <f>A204*1024/(C204*0.000001)/1000000000*C189</f>
        <v/>
      </c>
      <c r="G204">
        <f>E204/F204</f>
        <v/>
      </c>
    </row>
    <row r="205">
      <c r="A205" t="n">
        <v>4096</v>
      </c>
      <c r="B205" t="n">
        <v>2873.84</v>
      </c>
      <c r="C205">
        <f>C190+A205*1024*C188</f>
        <v/>
      </c>
      <c r="D205">
        <f>B205/C205</f>
        <v/>
      </c>
      <c r="E205" t="n">
        <v>2.55</v>
      </c>
      <c r="F205">
        <f>A205*1024/(C205*0.000001)/1000000000*C189</f>
        <v/>
      </c>
      <c r="G205">
        <f>E205/F205</f>
        <v/>
      </c>
    </row>
    <row r="206">
      <c r="A206" t="n">
        <v>8192</v>
      </c>
      <c r="B206" t="n">
        <v>5649.57</v>
      </c>
      <c r="C206">
        <f>C190+A206*1024*C188</f>
        <v/>
      </c>
      <c r="D206">
        <f>B206/C206</f>
        <v/>
      </c>
      <c r="E206" t="n">
        <v>2.6</v>
      </c>
      <c r="F206">
        <f>A206*1024/(C206*0.000001)/1000000000*C189</f>
        <v/>
      </c>
      <c r="G206">
        <f>E206/F206</f>
        <v/>
      </c>
    </row>
    <row r="207">
      <c r="A207" t="n">
        <v>16384</v>
      </c>
      <c r="B207" t="n">
        <v>11239.3</v>
      </c>
      <c r="C207">
        <f>C190+A207*1024*C188</f>
        <v/>
      </c>
      <c r="D207">
        <f>B207/C207</f>
        <v/>
      </c>
      <c r="E207" t="n">
        <v>2.61</v>
      </c>
      <c r="F207">
        <f>A207*1024/(C207*0.000001)/1000000000*C189</f>
        <v/>
      </c>
      <c r="G207">
        <f>E207/F207</f>
        <v/>
      </c>
    </row>
    <row r="208">
      <c r="A208" t="n">
        <v>32768</v>
      </c>
      <c r="B208" t="n">
        <v>22408.1</v>
      </c>
      <c r="C208">
        <f>C190+A208*1024*C188</f>
        <v/>
      </c>
      <c r="D208">
        <f>B208/C208</f>
        <v/>
      </c>
      <c r="E208" t="n">
        <v>2.62</v>
      </c>
      <c r="F208">
        <f>A208*1024/(C208*0.000001)/1000000000*C189</f>
        <v/>
      </c>
      <c r="G208">
        <f>E208/F208</f>
        <v/>
      </c>
    </row>
    <row r="209">
      <c r="A209" t="n">
        <v>65536</v>
      </c>
      <c r="B209" t="n">
        <v>44718.3</v>
      </c>
      <c r="C209">
        <f>C190+A209*1024*C188</f>
        <v/>
      </c>
      <c r="D209">
        <f>B209/C209</f>
        <v/>
      </c>
      <c r="E209" t="n">
        <v>2.63</v>
      </c>
      <c r="F209">
        <f>A209*1024/(C209*0.000001)/1000000000*C189</f>
        <v/>
      </c>
      <c r="G209">
        <f>E209/F209</f>
        <v/>
      </c>
    </row>
    <row r="210">
      <c r="A210" t="n">
        <v>131072</v>
      </c>
      <c r="B210" t="n">
        <v>89349.89999999999</v>
      </c>
      <c r="C210">
        <f>C190+A210*1024*C188</f>
        <v/>
      </c>
      <c r="D210">
        <f>B210/C210</f>
        <v/>
      </c>
      <c r="E210" t="n">
        <v>2.63</v>
      </c>
      <c r="F210">
        <f>A210*1024/(C210*0.000001)/1000000000*C189</f>
        <v/>
      </c>
      <c r="G210">
        <f>E210/F210</f>
        <v/>
      </c>
    </row>
    <row r="211">
      <c r="A211" t="n">
        <v>262144</v>
      </c>
      <c r="B211" t="n">
        <v>178562</v>
      </c>
      <c r="C211">
        <f>C190+A211*1024*C188</f>
        <v/>
      </c>
      <c r="D211">
        <f>B211/C211</f>
        <v/>
      </c>
      <c r="E211" t="n">
        <v>2.63</v>
      </c>
      <c r="F211">
        <f>A211*1024/(C211*0.000001)/1000000000*C189</f>
        <v/>
      </c>
      <c r="G211">
        <f>E211/F211</f>
        <v/>
      </c>
    </row>
    <row r="212">
      <c r="A212" t="n">
        <v>524288</v>
      </c>
      <c r="B212" t="n">
        <v>357369</v>
      </c>
      <c r="C212">
        <f>C190+A212*1024*C188</f>
        <v/>
      </c>
      <c r="D212">
        <f>B212/C212</f>
        <v/>
      </c>
      <c r="E212" t="n">
        <v>2.63</v>
      </c>
      <c r="F212">
        <f>A212*1024/(C212*0.000001)/1000000000*C189</f>
        <v/>
      </c>
      <c r="G212">
        <f>E212/F212</f>
        <v/>
      </c>
    </row>
    <row r="213">
      <c r="A213" t="n">
        <v>1048576</v>
      </c>
      <c r="B213" t="n">
        <v>713962</v>
      </c>
      <c r="C213">
        <f>C190+A213*1024*C188</f>
        <v/>
      </c>
      <c r="D213">
        <f>B213/C213</f>
        <v/>
      </c>
      <c r="E213" t="n">
        <v>2.63</v>
      </c>
      <c r="F213">
        <f>A213*1024/(C213*0.000001)/1000000000*C189</f>
        <v/>
      </c>
      <c r="G213">
        <f>E213/F213</f>
        <v/>
      </c>
    </row>
    <row r="214"/>
    <row r="215">
      <c r="A215" t="inlineStr">
        <is>
          <t>Nodes: 8, Protocol: LL, Channels: 2</t>
        </is>
      </c>
    </row>
    <row r="216">
      <c r="A216" t="inlineStr">
        <is>
          <t>Parameter</t>
        </is>
      </c>
      <c r="B216" t="inlineStr">
        <is>
          <t>Formula</t>
        </is>
      </c>
      <c r="C216" t="inlineStr">
        <is>
          <t>Value</t>
        </is>
      </c>
    </row>
    <row r="217">
      <c r="A217" t="inlineStr">
        <is>
          <t>n</t>
        </is>
      </c>
      <c r="B217" t="inlineStr">
        <is>
          <t>nodes on tree</t>
        </is>
      </c>
      <c r="C217" t="n">
        <v>8</v>
      </c>
    </row>
    <row r="218">
      <c r="A218" t="inlineStr">
        <is>
          <t>nch</t>
        </is>
      </c>
      <c r="B218" t="inlineStr">
        <is>
          <t>channels</t>
        </is>
      </c>
      <c r="C218" t="n">
        <v>2</v>
      </c>
    </row>
    <row r="219">
      <c r="A219" t="inlineStr">
        <is>
          <t>a</t>
        </is>
      </c>
      <c r="B219" t="inlineStr">
        <is>
          <t>RTT (us)</t>
        </is>
      </c>
      <c r="C219" t="n">
        <v>25.8107</v>
      </c>
    </row>
    <row r="220">
      <c r="A220" t="inlineStr">
        <is>
          <t>NIC_BW</t>
        </is>
      </c>
      <c r="B220" t="inlineStr">
        <is>
          <t>bytes/us</t>
        </is>
      </c>
      <c r="C220" t="n">
        <v>48750</v>
      </c>
    </row>
    <row r="221">
      <c r="A221" t="inlineStr">
        <is>
          <t>NIC_BW_REAL</t>
        </is>
      </c>
      <c r="B221" t="inlineStr">
        <is>
          <t>(NIC_BW/2)/3</t>
        </is>
      </c>
      <c r="C221">
        <f>(C220/2)/3</f>
        <v/>
      </c>
    </row>
    <row r="222">
      <c r="A222" t="inlineStr">
        <is>
          <t>G</t>
        </is>
      </c>
      <c r="B222" t="inlineStr">
        <is>
          <t>1/NIC_BW_REAL</t>
        </is>
      </c>
      <c r="C222">
        <f>1/C221</f>
        <v/>
      </c>
    </row>
    <row r="223">
      <c r="A223" t="inlineStr">
        <is>
          <t>busbw_factor</t>
        </is>
      </c>
      <c r="B223" t="inlineStr">
        <is>
          <t>2*(n-1)/n</t>
        </is>
      </c>
      <c r="C223">
        <f>2*(C217-1)/C217</f>
        <v/>
      </c>
    </row>
    <row r="224">
      <c r="A224" t="inlineStr">
        <is>
          <t>fixed_overhead</t>
        </is>
      </c>
      <c r="B224" t="inlineStr">
        <is>
          <t>(2*LOG2(n)+1)*a/2</t>
        </is>
      </c>
      <c r="C224">
        <f>(2*LOG(C217,2)+1)*C219/2</f>
        <v/>
      </c>
    </row>
    <row r="225"/>
    <row r="226">
      <c r="A226" t="inlineStr">
        <is>
          <t>size_KB</t>
        </is>
      </c>
      <c r="B226" t="inlineStr">
        <is>
          <t>Actual Time (us)</t>
        </is>
      </c>
      <c r="C226" t="inlineStr">
        <is>
          <t>Roofline Time (us)</t>
        </is>
      </c>
      <c r="D226" t="inlineStr">
        <is>
          <t>Actual/Roofline</t>
        </is>
      </c>
      <c r="E226" t="inlineStr">
        <is>
          <t>Actual busBW (GB/s)</t>
        </is>
      </c>
      <c r="F226" t="inlineStr">
        <is>
          <t>Roofline busBW (GB/s)</t>
        </is>
      </c>
      <c r="G226" t="inlineStr">
        <is>
          <t>Meas/Roof busBW</t>
        </is>
      </c>
    </row>
    <row r="227">
      <c r="A227" t="n">
        <v>1</v>
      </c>
      <c r="B227" t="n">
        <v>93.04000000000001</v>
      </c>
      <c r="C227">
        <f>C224+A227*1024*C222</f>
        <v/>
      </c>
      <c r="D227">
        <f>B227/C227</f>
        <v/>
      </c>
      <c r="E227" t="n">
        <v>0.02</v>
      </c>
      <c r="F227">
        <f>A227*1024/(C227*0.000001)/1000000000*C223</f>
        <v/>
      </c>
      <c r="G227">
        <f>E227/F227</f>
        <v/>
      </c>
    </row>
    <row r="228">
      <c r="A228" t="n">
        <v>2</v>
      </c>
      <c r="B228" t="n">
        <v>97.53</v>
      </c>
      <c r="C228">
        <f>C224+A228*1024*C222</f>
        <v/>
      </c>
      <c r="D228">
        <f>B228/C228</f>
        <v/>
      </c>
      <c r="E228" t="n">
        <v>0.04</v>
      </c>
      <c r="F228">
        <f>A228*1024/(C228*0.000001)/1000000000*C223</f>
        <v/>
      </c>
      <c r="G228">
        <f>E228/F228</f>
        <v/>
      </c>
    </row>
    <row r="229">
      <c r="A229" t="n">
        <v>4</v>
      </c>
      <c r="B229" t="n">
        <v>111.13</v>
      </c>
      <c r="C229">
        <f>C224+A229*1024*C222</f>
        <v/>
      </c>
      <c r="D229">
        <f>B229/C229</f>
        <v/>
      </c>
      <c r="E229" t="n">
        <v>0.06</v>
      </c>
      <c r="F229">
        <f>A229*1024/(C229*0.000001)/1000000000*C223</f>
        <v/>
      </c>
      <c r="G229">
        <f>E229/F229</f>
        <v/>
      </c>
    </row>
    <row r="230">
      <c r="A230" t="n">
        <v>8</v>
      </c>
      <c r="B230" t="n">
        <v>114.63</v>
      </c>
      <c r="C230">
        <f>C224+A230*1024*C222</f>
        <v/>
      </c>
      <c r="D230">
        <f>B230/C230</f>
        <v/>
      </c>
      <c r="E230" t="n">
        <v>0.13</v>
      </c>
      <c r="F230">
        <f>A230*1024/(C230*0.000001)/1000000000*C223</f>
        <v/>
      </c>
      <c r="G230">
        <f>E230/F230</f>
        <v/>
      </c>
    </row>
    <row r="231">
      <c r="A231" t="n">
        <v>16</v>
      </c>
      <c r="B231" t="n">
        <v>125.16</v>
      </c>
      <c r="C231">
        <f>C224+A231*1024*C222</f>
        <v/>
      </c>
      <c r="D231">
        <f>B231/C231</f>
        <v/>
      </c>
      <c r="E231" t="n">
        <v>0.23</v>
      </c>
      <c r="F231">
        <f>A231*1024/(C231*0.000001)/1000000000*C223</f>
        <v/>
      </c>
      <c r="G231">
        <f>E231/F231</f>
        <v/>
      </c>
    </row>
    <row r="232">
      <c r="A232" t="n">
        <v>32</v>
      </c>
      <c r="B232" t="n">
        <v>144.2</v>
      </c>
      <c r="C232">
        <f>C224+A232*1024*C222</f>
        <v/>
      </c>
      <c r="D232">
        <f>B232/C232</f>
        <v/>
      </c>
      <c r="E232" t="n">
        <v>0.4</v>
      </c>
      <c r="F232">
        <f>A232*1024/(C232*0.000001)/1000000000*C223</f>
        <v/>
      </c>
      <c r="G232">
        <f>E232/F232</f>
        <v/>
      </c>
    </row>
    <row r="233">
      <c r="A233" t="n">
        <v>64</v>
      </c>
      <c r="B233" t="n">
        <v>183.01</v>
      </c>
      <c r="C233">
        <f>C224+A233*1024*C222</f>
        <v/>
      </c>
      <c r="D233">
        <f>B233/C233</f>
        <v/>
      </c>
      <c r="E233" t="n">
        <v>0.63</v>
      </c>
      <c r="F233">
        <f>A233*1024/(C233*0.000001)/1000000000*C223</f>
        <v/>
      </c>
      <c r="G233">
        <f>E233/F233</f>
        <v/>
      </c>
    </row>
    <row r="234">
      <c r="A234" t="n">
        <v>128</v>
      </c>
      <c r="B234" t="n">
        <v>212.28</v>
      </c>
      <c r="C234">
        <f>C224+A234*1024*C222</f>
        <v/>
      </c>
      <c r="D234">
        <f>B234/C234</f>
        <v/>
      </c>
      <c r="E234" t="n">
        <v>1.08</v>
      </c>
      <c r="F234">
        <f>A234*1024/(C234*0.000001)/1000000000*C223</f>
        <v/>
      </c>
      <c r="G234">
        <f>E234/F234</f>
        <v/>
      </c>
    </row>
    <row r="235">
      <c r="A235" t="n">
        <v>256</v>
      </c>
      <c r="B235" t="n">
        <v>283.18</v>
      </c>
      <c r="C235">
        <f>C224+A235*1024*C222</f>
        <v/>
      </c>
      <c r="D235">
        <f>B235/C235</f>
        <v/>
      </c>
      <c r="E235" t="n">
        <v>1.62</v>
      </c>
      <c r="F235">
        <f>A235*1024/(C235*0.000001)/1000000000*C223</f>
        <v/>
      </c>
      <c r="G235">
        <f>E235/F235</f>
        <v/>
      </c>
    </row>
    <row r="236">
      <c r="A236" t="n">
        <v>512</v>
      </c>
      <c r="B236" t="n">
        <v>430.31</v>
      </c>
      <c r="C236">
        <f>C224+A236*1024*C222</f>
        <v/>
      </c>
      <c r="D236">
        <f>B236/C236</f>
        <v/>
      </c>
      <c r="E236" t="n">
        <v>2.13</v>
      </c>
      <c r="F236">
        <f>A236*1024/(C236*0.000001)/1000000000*C223</f>
        <v/>
      </c>
      <c r="G236">
        <f>E236/F236</f>
        <v/>
      </c>
    </row>
    <row r="237">
      <c r="A237" t="n">
        <v>1024</v>
      </c>
      <c r="B237" t="n">
        <v>753.6</v>
      </c>
      <c r="C237">
        <f>C224+A237*1024*C222</f>
        <v/>
      </c>
      <c r="D237">
        <f>B237/C237</f>
        <v/>
      </c>
      <c r="E237" t="n">
        <v>2.43</v>
      </c>
      <c r="F237">
        <f>A237*1024/(C237*0.000001)/1000000000*C223</f>
        <v/>
      </c>
      <c r="G237">
        <f>E237/F237</f>
        <v/>
      </c>
    </row>
    <row r="238">
      <c r="A238" t="n">
        <v>2048</v>
      </c>
      <c r="B238" t="n">
        <v>1395.93</v>
      </c>
      <c r="C238">
        <f>C224+A238*1024*C222</f>
        <v/>
      </c>
      <c r="D238">
        <f>B238/C238</f>
        <v/>
      </c>
      <c r="E238" t="n">
        <v>2.63</v>
      </c>
      <c r="F238">
        <f>A238*1024/(C238*0.000001)/1000000000*C223</f>
        <v/>
      </c>
      <c r="G238">
        <f>E238/F238</f>
        <v/>
      </c>
    </row>
    <row r="239">
      <c r="A239" t="n">
        <v>4096</v>
      </c>
      <c r="B239" t="n">
        <v>2679.81</v>
      </c>
      <c r="C239">
        <f>C224+A239*1024*C222</f>
        <v/>
      </c>
      <c r="D239">
        <f>B239/C239</f>
        <v/>
      </c>
      <c r="E239" t="n">
        <v>2.74</v>
      </c>
      <c r="F239">
        <f>A239*1024/(C239*0.000001)/1000000000*C223</f>
        <v/>
      </c>
      <c r="G239">
        <f>E239/F239</f>
        <v/>
      </c>
    </row>
    <row r="240">
      <c r="A240" t="n">
        <v>8192</v>
      </c>
      <c r="B240" t="n">
        <v>5240.28</v>
      </c>
      <c r="C240">
        <f>C224+A240*1024*C222</f>
        <v/>
      </c>
      <c r="D240">
        <f>B240/C240</f>
        <v/>
      </c>
      <c r="E240" t="n">
        <v>2.8</v>
      </c>
      <c r="F240">
        <f>A240*1024/(C240*0.000001)/1000000000*C223</f>
        <v/>
      </c>
      <c r="G240">
        <f>E240/F240</f>
        <v/>
      </c>
    </row>
    <row r="241">
      <c r="A241" t="n">
        <v>16384</v>
      </c>
      <c r="B241" t="n">
        <v>10320.3</v>
      </c>
      <c r="C241">
        <f>C224+A241*1024*C222</f>
        <v/>
      </c>
      <c r="D241">
        <f>B241/C241</f>
        <v/>
      </c>
      <c r="E241" t="n">
        <v>2.84</v>
      </c>
      <c r="F241">
        <f>A241*1024/(C241*0.000001)/1000000000*C223</f>
        <v/>
      </c>
      <c r="G241">
        <f>E241/F241</f>
        <v/>
      </c>
    </row>
    <row r="242">
      <c r="A242" t="n">
        <v>32768</v>
      </c>
      <c r="B242" t="n">
        <v>20482.5</v>
      </c>
      <c r="C242">
        <f>C224+A242*1024*C222</f>
        <v/>
      </c>
      <c r="D242">
        <f>B242/C242</f>
        <v/>
      </c>
      <c r="E242" t="n">
        <v>2.87</v>
      </c>
      <c r="F242">
        <f>A242*1024/(C242*0.000001)/1000000000*C223</f>
        <v/>
      </c>
      <c r="G242">
        <f>E242/F242</f>
        <v/>
      </c>
    </row>
    <row r="243">
      <c r="A243" t="n">
        <v>65536</v>
      </c>
      <c r="B243" t="n">
        <v>40811</v>
      </c>
      <c r="C243">
        <f>C224+A243*1024*C222</f>
        <v/>
      </c>
      <c r="D243">
        <f>B243/C243</f>
        <v/>
      </c>
      <c r="E243" t="n">
        <v>2.88</v>
      </c>
      <c r="F243">
        <f>A243*1024/(C243*0.000001)/1000000000*C223</f>
        <v/>
      </c>
      <c r="G243">
        <f>E243/F243</f>
        <v/>
      </c>
    </row>
    <row r="244">
      <c r="A244" t="n">
        <v>131072</v>
      </c>
      <c r="B244" t="n">
        <v>81418.10000000001</v>
      </c>
      <c r="C244">
        <f>C224+A244*1024*C222</f>
        <v/>
      </c>
      <c r="D244">
        <f>B244/C244</f>
        <v/>
      </c>
      <c r="E244" t="n">
        <v>2.88</v>
      </c>
      <c r="F244">
        <f>A244*1024/(C244*0.000001)/1000000000*C223</f>
        <v/>
      </c>
      <c r="G244">
        <f>E244/F244</f>
        <v/>
      </c>
    </row>
    <row r="245">
      <c r="A245" t="n">
        <v>262144</v>
      </c>
      <c r="B245" t="n">
        <v>162709</v>
      </c>
      <c r="C245">
        <f>C224+A245*1024*C222</f>
        <v/>
      </c>
      <c r="D245">
        <f>B245/C245</f>
        <v/>
      </c>
      <c r="E245" t="n">
        <v>2.89</v>
      </c>
      <c r="F245">
        <f>A245*1024/(C245*0.000001)/1000000000*C223</f>
        <v/>
      </c>
      <c r="G245">
        <f>E245/F245</f>
        <v/>
      </c>
    </row>
    <row r="246">
      <c r="A246" t="n">
        <v>524288</v>
      </c>
      <c r="B246" t="n">
        <v>325576</v>
      </c>
      <c r="C246">
        <f>C224+A246*1024*C222</f>
        <v/>
      </c>
      <c r="D246">
        <f>B246/C246</f>
        <v/>
      </c>
      <c r="E246" t="n">
        <v>2.89</v>
      </c>
      <c r="F246">
        <f>A246*1024/(C246*0.000001)/1000000000*C223</f>
        <v/>
      </c>
      <c r="G246">
        <f>E246/F246</f>
        <v/>
      </c>
    </row>
    <row r="247">
      <c r="A247" t="n">
        <v>1048576</v>
      </c>
      <c r="B247" t="n">
        <v>649657</v>
      </c>
      <c r="C247">
        <f>C224+A247*1024*C222</f>
        <v/>
      </c>
      <c r="D247">
        <f>B247/C247</f>
        <v/>
      </c>
      <c r="E247" t="n">
        <v>2.89</v>
      </c>
      <c r="F247">
        <f>A247*1024/(C247*0.000001)/1000000000*C223</f>
        <v/>
      </c>
      <c r="G247">
        <f>E247/F247</f>
        <v/>
      </c>
    </row>
    <row r="248"/>
    <row r="249">
      <c r="A249" t="inlineStr">
        <is>
          <t>Nodes: 8, Protocol: LL, Channels: 4</t>
        </is>
      </c>
    </row>
    <row r="250">
      <c r="A250" t="inlineStr">
        <is>
          <t>Parameter</t>
        </is>
      </c>
      <c r="B250" t="inlineStr">
        <is>
          <t>Formula</t>
        </is>
      </c>
      <c r="C250" t="inlineStr">
        <is>
          <t>Value</t>
        </is>
      </c>
    </row>
    <row r="251">
      <c r="A251" t="inlineStr">
        <is>
          <t>n</t>
        </is>
      </c>
      <c r="B251" t="inlineStr">
        <is>
          <t>nodes on tree</t>
        </is>
      </c>
      <c r="C251" t="n">
        <v>8</v>
      </c>
    </row>
    <row r="252">
      <c r="A252" t="inlineStr">
        <is>
          <t>nch</t>
        </is>
      </c>
      <c r="B252" t="inlineStr">
        <is>
          <t>channels</t>
        </is>
      </c>
      <c r="C252" t="n">
        <v>4</v>
      </c>
    </row>
    <row r="253">
      <c r="A253" t="inlineStr">
        <is>
          <t>a</t>
        </is>
      </c>
      <c r="B253" t="inlineStr">
        <is>
          <t>RTT (us)</t>
        </is>
      </c>
      <c r="C253" t="n">
        <v>25.8107</v>
      </c>
    </row>
    <row r="254">
      <c r="A254" t="inlineStr">
        <is>
          <t>NIC_BW</t>
        </is>
      </c>
      <c r="B254" t="inlineStr">
        <is>
          <t>bytes/us</t>
        </is>
      </c>
      <c r="C254" t="n">
        <v>48750</v>
      </c>
    </row>
    <row r="255">
      <c r="A255" t="inlineStr">
        <is>
          <t>NIC_BW_REAL</t>
        </is>
      </c>
      <c r="B255" t="inlineStr">
        <is>
          <t>(NIC_BW/2)/2</t>
        </is>
      </c>
      <c r="C255">
        <f>(C254/2)/2</f>
        <v/>
      </c>
    </row>
    <row r="256">
      <c r="A256" t="inlineStr">
        <is>
          <t>G</t>
        </is>
      </c>
      <c r="B256" t="inlineStr">
        <is>
          <t>1/NIC_BW_REAL</t>
        </is>
      </c>
      <c r="C256">
        <f>1/C255</f>
        <v/>
      </c>
    </row>
    <row r="257">
      <c r="A257" t="inlineStr">
        <is>
          <t>busbw_factor</t>
        </is>
      </c>
      <c r="B257" t="inlineStr">
        <is>
          <t>2*(n-1)/n</t>
        </is>
      </c>
      <c r="C257">
        <f>2*(C251-1)/C251</f>
        <v/>
      </c>
    </row>
    <row r="258">
      <c r="A258" t="inlineStr">
        <is>
          <t>fixed_overhead</t>
        </is>
      </c>
      <c r="B258" t="inlineStr">
        <is>
          <t>(2*LOG2(n)+1)*a/2</t>
        </is>
      </c>
      <c r="C258">
        <f>(2*LOG(C251,2)+1)*C253/2</f>
        <v/>
      </c>
    </row>
    <row r="259"/>
    <row r="260">
      <c r="A260" t="inlineStr">
        <is>
          <t>size_KB</t>
        </is>
      </c>
      <c r="B260" t="inlineStr">
        <is>
          <t>Actual Time (us)</t>
        </is>
      </c>
      <c r="C260" t="inlineStr">
        <is>
          <t>Roofline Time (us)</t>
        </is>
      </c>
      <c r="D260" t="inlineStr">
        <is>
          <t>Actual/Roofline</t>
        </is>
      </c>
      <c r="E260" t="inlineStr">
        <is>
          <t>Actual busBW (GB/s)</t>
        </is>
      </c>
      <c r="F260" t="inlineStr">
        <is>
          <t>Roofline busBW (GB/s)</t>
        </is>
      </c>
      <c r="G260" t="inlineStr">
        <is>
          <t>Meas/Roof busBW</t>
        </is>
      </c>
    </row>
    <row r="261">
      <c r="A261" t="n">
        <v>1</v>
      </c>
      <c r="B261" t="n">
        <v>92.72</v>
      </c>
      <c r="C261">
        <f>C258+A261*1024*C256</f>
        <v/>
      </c>
      <c r="D261">
        <f>B261/C261</f>
        <v/>
      </c>
      <c r="E261" t="n">
        <v>0.02</v>
      </c>
      <c r="F261">
        <f>A261*1024/(C261*0.000001)/1000000000*C257</f>
        <v/>
      </c>
      <c r="G261">
        <f>E261/F261</f>
        <v/>
      </c>
    </row>
    <row r="262">
      <c r="A262" t="n">
        <v>2</v>
      </c>
      <c r="B262" t="n">
        <v>97.05</v>
      </c>
      <c r="C262">
        <f>C258+A262*1024*C256</f>
        <v/>
      </c>
      <c r="D262">
        <f>B262/C262</f>
        <v/>
      </c>
      <c r="E262" t="n">
        <v>0.04</v>
      </c>
      <c r="F262">
        <f>A262*1024/(C262*0.000001)/1000000000*C257</f>
        <v/>
      </c>
      <c r="G262">
        <f>E262/F262</f>
        <v/>
      </c>
    </row>
    <row r="263">
      <c r="A263" t="n">
        <v>4</v>
      </c>
      <c r="B263" t="n">
        <v>110.93</v>
      </c>
      <c r="C263">
        <f>C258+A263*1024*C256</f>
        <v/>
      </c>
      <c r="D263">
        <f>B263/C263</f>
        <v/>
      </c>
      <c r="E263" t="n">
        <v>0.06</v>
      </c>
      <c r="F263">
        <f>A263*1024/(C263*0.000001)/1000000000*C257</f>
        <v/>
      </c>
      <c r="G263">
        <f>E263/F263</f>
        <v/>
      </c>
    </row>
    <row r="264">
      <c r="A264" t="n">
        <v>8</v>
      </c>
      <c r="B264" t="n">
        <v>114.11</v>
      </c>
      <c r="C264">
        <f>C258+A264*1024*C256</f>
        <v/>
      </c>
      <c r="D264">
        <f>B264/C264</f>
        <v/>
      </c>
      <c r="E264" t="n">
        <v>0.13</v>
      </c>
      <c r="F264">
        <f>A264*1024/(C264*0.000001)/1000000000*C257</f>
        <v/>
      </c>
      <c r="G264">
        <f>E264/F264</f>
        <v/>
      </c>
    </row>
    <row r="265">
      <c r="A265" t="n">
        <v>16</v>
      </c>
      <c r="B265" t="n">
        <v>115.77</v>
      </c>
      <c r="C265">
        <f>C258+A265*1024*C256</f>
        <v/>
      </c>
      <c r="D265">
        <f>B265/C265</f>
        <v/>
      </c>
      <c r="E265" t="n">
        <v>0.25</v>
      </c>
      <c r="F265">
        <f>A265*1024/(C265*0.000001)/1000000000*C257</f>
        <v/>
      </c>
      <c r="G265">
        <f>E265/F265</f>
        <v/>
      </c>
    </row>
    <row r="266">
      <c r="A266" t="n">
        <v>32</v>
      </c>
      <c r="B266" t="n">
        <v>127.25</v>
      </c>
      <c r="C266">
        <f>C258+A266*1024*C256</f>
        <v/>
      </c>
      <c r="D266">
        <f>B266/C266</f>
        <v/>
      </c>
      <c r="E266" t="n">
        <v>0.45</v>
      </c>
      <c r="F266">
        <f>A266*1024/(C266*0.000001)/1000000000*C257</f>
        <v/>
      </c>
      <c r="G266">
        <f>E266/F266</f>
        <v/>
      </c>
    </row>
    <row r="267">
      <c r="A267" t="n">
        <v>64</v>
      </c>
      <c r="B267" t="n">
        <v>147.52</v>
      </c>
      <c r="C267">
        <f>C258+A267*1024*C256</f>
        <v/>
      </c>
      <c r="D267">
        <f>B267/C267</f>
        <v/>
      </c>
      <c r="E267" t="n">
        <v>0.78</v>
      </c>
      <c r="F267">
        <f>A267*1024/(C267*0.000001)/1000000000*C257</f>
        <v/>
      </c>
      <c r="G267">
        <f>E267/F267</f>
        <v/>
      </c>
    </row>
    <row r="268">
      <c r="A268" t="n">
        <v>128</v>
      </c>
      <c r="B268" t="n">
        <v>189.5</v>
      </c>
      <c r="C268">
        <f>C258+A268*1024*C256</f>
        <v/>
      </c>
      <c r="D268">
        <f>B268/C268</f>
        <v/>
      </c>
      <c r="E268" t="n">
        <v>1.21</v>
      </c>
      <c r="F268">
        <f>A268*1024/(C268*0.000001)/1000000000*C257</f>
        <v/>
      </c>
      <c r="G268">
        <f>E268/F268</f>
        <v/>
      </c>
    </row>
    <row r="269">
      <c r="A269" t="n">
        <v>256</v>
      </c>
      <c r="B269" t="n">
        <v>221.58</v>
      </c>
      <c r="C269">
        <f>C258+A269*1024*C256</f>
        <v/>
      </c>
      <c r="D269">
        <f>B269/C269</f>
        <v/>
      </c>
      <c r="E269" t="n">
        <v>2.07</v>
      </c>
      <c r="F269">
        <f>A269*1024/(C269*0.000001)/1000000000*C257</f>
        <v/>
      </c>
      <c r="G269">
        <f>E269/F269</f>
        <v/>
      </c>
    </row>
    <row r="270">
      <c r="A270" t="n">
        <v>512</v>
      </c>
      <c r="B270" t="n">
        <v>304.59</v>
      </c>
      <c r="C270">
        <f>C258+A270*1024*C256</f>
        <v/>
      </c>
      <c r="D270">
        <f>B270/C270</f>
        <v/>
      </c>
      <c r="E270" t="n">
        <v>3.01</v>
      </c>
      <c r="F270">
        <f>A270*1024/(C270*0.000001)/1000000000*C257</f>
        <v/>
      </c>
      <c r="G270">
        <f>E270/F270</f>
        <v/>
      </c>
    </row>
    <row r="271">
      <c r="A271" t="n">
        <v>1024</v>
      </c>
      <c r="B271" t="n">
        <v>510.98</v>
      </c>
      <c r="C271">
        <f>C258+A271*1024*C256</f>
        <v/>
      </c>
      <c r="D271">
        <f>B271/C271</f>
        <v/>
      </c>
      <c r="E271" t="n">
        <v>3.59</v>
      </c>
      <c r="F271">
        <f>A271*1024/(C271*0.000001)/1000000000*C257</f>
        <v/>
      </c>
      <c r="G271">
        <f>E271/F271</f>
        <v/>
      </c>
    </row>
    <row r="272">
      <c r="A272" t="n">
        <v>2048</v>
      </c>
      <c r="B272" t="n">
        <v>920.25</v>
      </c>
      <c r="C272">
        <f>C258+A272*1024*C256</f>
        <v/>
      </c>
      <c r="D272">
        <f>B272/C272</f>
        <v/>
      </c>
      <c r="E272" t="n">
        <v>3.99</v>
      </c>
      <c r="F272">
        <f>A272*1024/(C272*0.000001)/1000000000*C257</f>
        <v/>
      </c>
      <c r="G272">
        <f>E272/F272</f>
        <v/>
      </c>
    </row>
    <row r="273">
      <c r="A273" t="n">
        <v>4096</v>
      </c>
      <c r="B273" t="n">
        <v>1777.29</v>
      </c>
      <c r="C273">
        <f>C258+A273*1024*C256</f>
        <v/>
      </c>
      <c r="D273">
        <f>B273/C273</f>
        <v/>
      </c>
      <c r="E273" t="n">
        <v>4.13</v>
      </c>
      <c r="F273">
        <f>A273*1024/(C273*0.000001)/1000000000*C257</f>
        <v/>
      </c>
      <c r="G273">
        <f>E273/F273</f>
        <v/>
      </c>
    </row>
    <row r="274">
      <c r="A274" t="n">
        <v>8192</v>
      </c>
      <c r="B274" t="n">
        <v>3428.6</v>
      </c>
      <c r="C274">
        <f>C258+A274*1024*C256</f>
        <v/>
      </c>
      <c r="D274">
        <f>B274/C274</f>
        <v/>
      </c>
      <c r="E274" t="n">
        <v>4.28</v>
      </c>
      <c r="F274">
        <f>A274*1024/(C274*0.000001)/1000000000*C257</f>
        <v/>
      </c>
      <c r="G274">
        <f>E274/F274</f>
        <v/>
      </c>
    </row>
    <row r="275">
      <c r="A275" t="n">
        <v>16384</v>
      </c>
      <c r="B275" t="n">
        <v>6745.6</v>
      </c>
      <c r="C275">
        <f>C258+A275*1024*C256</f>
        <v/>
      </c>
      <c r="D275">
        <f>B275/C275</f>
        <v/>
      </c>
      <c r="E275" t="n">
        <v>4.35</v>
      </c>
      <c r="F275">
        <f>A275*1024/(C275*0.000001)/1000000000*C257</f>
        <v/>
      </c>
      <c r="G275">
        <f>E275/F275</f>
        <v/>
      </c>
    </row>
    <row r="276">
      <c r="A276" t="n">
        <v>32768</v>
      </c>
      <c r="B276" t="n">
        <v>13359.2</v>
      </c>
      <c r="C276">
        <f>C258+A276*1024*C256</f>
        <v/>
      </c>
      <c r="D276">
        <f>B276/C276</f>
        <v/>
      </c>
      <c r="E276" t="n">
        <v>4.4</v>
      </c>
      <c r="F276">
        <f>A276*1024/(C276*0.000001)/1000000000*C257</f>
        <v/>
      </c>
      <c r="G276">
        <f>E276/F276</f>
        <v/>
      </c>
    </row>
    <row r="277">
      <c r="A277" t="n">
        <v>65536</v>
      </c>
      <c r="B277" t="n">
        <v>26571.8</v>
      </c>
      <c r="C277">
        <f>C258+A277*1024*C256</f>
        <v/>
      </c>
      <c r="D277">
        <f>B277/C277</f>
        <v/>
      </c>
      <c r="E277" t="n">
        <v>4.42</v>
      </c>
      <c r="F277">
        <f>A277*1024/(C277*0.000001)/1000000000*C257</f>
        <v/>
      </c>
      <c r="G277">
        <f>E277/F277</f>
        <v/>
      </c>
    </row>
    <row r="278">
      <c r="A278" t="n">
        <v>131072</v>
      </c>
      <c r="B278" t="n">
        <v>52993.5</v>
      </c>
      <c r="C278">
        <f>C258+A278*1024*C256</f>
        <v/>
      </c>
      <c r="D278">
        <f>B278/C278</f>
        <v/>
      </c>
      <c r="E278" t="n">
        <v>4.43</v>
      </c>
      <c r="F278">
        <f>A278*1024/(C278*0.000001)/1000000000*C257</f>
        <v/>
      </c>
      <c r="G278">
        <f>E278/F278</f>
        <v/>
      </c>
    </row>
    <row r="279">
      <c r="A279" t="n">
        <v>262144</v>
      </c>
      <c r="B279" t="n">
        <v>105822</v>
      </c>
      <c r="C279">
        <f>C258+A279*1024*C256</f>
        <v/>
      </c>
      <c r="D279">
        <f>B279/C279</f>
        <v/>
      </c>
      <c r="E279" t="n">
        <v>4.44</v>
      </c>
      <c r="F279">
        <f>A279*1024/(C279*0.000001)/1000000000*C257</f>
        <v/>
      </c>
      <c r="G279">
        <f>E279/F279</f>
        <v/>
      </c>
    </row>
    <row r="280">
      <c r="A280" t="n">
        <v>524288</v>
      </c>
      <c r="B280" t="n">
        <v>211464</v>
      </c>
      <c r="C280">
        <f>C258+A280*1024*C256</f>
        <v/>
      </c>
      <c r="D280">
        <f>B280/C280</f>
        <v/>
      </c>
      <c r="E280" t="n">
        <v>4.44</v>
      </c>
      <c r="F280">
        <f>A280*1024/(C280*0.000001)/1000000000*C257</f>
        <v/>
      </c>
      <c r="G280">
        <f>E280/F280</f>
        <v/>
      </c>
    </row>
    <row r="281">
      <c r="A281" t="n">
        <v>1048576</v>
      </c>
      <c r="B281" t="n">
        <v>423358</v>
      </c>
      <c r="C281">
        <f>C258+A281*1024*C256</f>
        <v/>
      </c>
      <c r="D281">
        <f>B281/C281</f>
        <v/>
      </c>
      <c r="E281" t="n">
        <v>4.44</v>
      </c>
      <c r="F281">
        <f>A281*1024/(C281*0.000001)/1000000000*C257</f>
        <v/>
      </c>
      <c r="G281">
        <f>E281/F281</f>
        <v/>
      </c>
    </row>
    <row r="282"/>
    <row r="283">
      <c r="A283" t="inlineStr">
        <is>
          <t>Nodes: 8, Protocol: LL, Channels: 8</t>
        </is>
      </c>
    </row>
    <row r="284">
      <c r="A284" t="inlineStr">
        <is>
          <t>Parameter</t>
        </is>
      </c>
      <c r="B284" t="inlineStr">
        <is>
          <t>Formula</t>
        </is>
      </c>
      <c r="C284" t="inlineStr">
        <is>
          <t>Value</t>
        </is>
      </c>
    </row>
    <row r="285">
      <c r="A285" t="inlineStr">
        <is>
          <t>n</t>
        </is>
      </c>
      <c r="B285" t="inlineStr">
        <is>
          <t>nodes on tree</t>
        </is>
      </c>
      <c r="C285" t="n">
        <v>8</v>
      </c>
    </row>
    <row r="286">
      <c r="A286" t="inlineStr">
        <is>
          <t>nch</t>
        </is>
      </c>
      <c r="B286" t="inlineStr">
        <is>
          <t>channels</t>
        </is>
      </c>
      <c r="C286" t="n">
        <v>8</v>
      </c>
    </row>
    <row r="287">
      <c r="A287" t="inlineStr">
        <is>
          <t>a</t>
        </is>
      </c>
      <c r="B287" t="inlineStr">
        <is>
          <t>RTT (us)</t>
        </is>
      </c>
      <c r="C287" t="n">
        <v>25.8107</v>
      </c>
    </row>
    <row r="288">
      <c r="A288" t="inlineStr">
        <is>
          <t>NIC_BW</t>
        </is>
      </c>
      <c r="B288" t="inlineStr">
        <is>
          <t>bytes/us</t>
        </is>
      </c>
      <c r="C288" t="n">
        <v>48750</v>
      </c>
    </row>
    <row r="289">
      <c r="A289" t="inlineStr">
        <is>
          <t>NIC_BW_REAL</t>
        </is>
      </c>
      <c r="B289" t="inlineStr">
        <is>
          <t>(NIC_BW/2)/2</t>
        </is>
      </c>
      <c r="C289">
        <f>(C288/2)/2</f>
        <v/>
      </c>
    </row>
    <row r="290">
      <c r="A290" t="inlineStr">
        <is>
          <t>G</t>
        </is>
      </c>
      <c r="B290" t="inlineStr">
        <is>
          <t>1/NIC_BW_REAL</t>
        </is>
      </c>
      <c r="C290">
        <f>1/C289</f>
        <v/>
      </c>
    </row>
    <row r="291">
      <c r="A291" t="inlineStr">
        <is>
          <t>busbw_factor</t>
        </is>
      </c>
      <c r="B291" t="inlineStr">
        <is>
          <t>2*(n-1)/n</t>
        </is>
      </c>
      <c r="C291">
        <f>2*(C285-1)/C285</f>
        <v/>
      </c>
    </row>
    <row r="292">
      <c r="A292" t="inlineStr">
        <is>
          <t>fixed_overhead</t>
        </is>
      </c>
      <c r="B292" t="inlineStr">
        <is>
          <t>(2*LOG2(n)+1)*a/2</t>
        </is>
      </c>
      <c r="C292">
        <f>(2*LOG(C285,2)+1)*C287/2</f>
        <v/>
      </c>
    </row>
    <row r="293"/>
    <row r="294">
      <c r="A294" t="inlineStr">
        <is>
          <t>size_KB</t>
        </is>
      </c>
      <c r="B294" t="inlineStr">
        <is>
          <t>Actual Time (us)</t>
        </is>
      </c>
      <c r="C294" t="inlineStr">
        <is>
          <t>Roofline Time (us)</t>
        </is>
      </c>
      <c r="D294" t="inlineStr">
        <is>
          <t>Actual/Roofline</t>
        </is>
      </c>
      <c r="E294" t="inlineStr">
        <is>
          <t>Actual busBW (GB/s)</t>
        </is>
      </c>
      <c r="F294" t="inlineStr">
        <is>
          <t>Roofline busBW (GB/s)</t>
        </is>
      </c>
      <c r="G294" t="inlineStr">
        <is>
          <t>Meas/Roof busBW</t>
        </is>
      </c>
    </row>
    <row r="295">
      <c r="A295" t="n">
        <v>1</v>
      </c>
      <c r="B295" t="n">
        <v>92.54000000000001</v>
      </c>
      <c r="C295">
        <f>C292+A295*1024*C290</f>
        <v/>
      </c>
      <c r="D295">
        <f>B295/C295</f>
        <v/>
      </c>
      <c r="E295" t="n">
        <v>0.02</v>
      </c>
      <c r="F295">
        <f>A295*1024/(C295*0.000001)/1000000000*C291</f>
        <v/>
      </c>
      <c r="G295">
        <f>E295/F295</f>
        <v/>
      </c>
    </row>
    <row r="296">
      <c r="A296" t="n">
        <v>2</v>
      </c>
      <c r="B296" t="n">
        <v>97.95</v>
      </c>
      <c r="C296">
        <f>C292+A296*1024*C290</f>
        <v/>
      </c>
      <c r="D296">
        <f>B296/C296</f>
        <v/>
      </c>
      <c r="E296" t="n">
        <v>0.04</v>
      </c>
      <c r="F296">
        <f>A296*1024/(C296*0.000001)/1000000000*C291</f>
        <v/>
      </c>
      <c r="G296">
        <f>E296/F296</f>
        <v/>
      </c>
    </row>
    <row r="297">
      <c r="A297" t="n">
        <v>4</v>
      </c>
      <c r="B297" t="n">
        <v>110.49</v>
      </c>
      <c r="C297">
        <f>C292+A297*1024*C290</f>
        <v/>
      </c>
      <c r="D297">
        <f>B297/C297</f>
        <v/>
      </c>
      <c r="E297" t="n">
        <v>0.06</v>
      </c>
      <c r="F297">
        <f>A297*1024/(C297*0.000001)/1000000000*C291</f>
        <v/>
      </c>
      <c r="G297">
        <f>E297/F297</f>
        <v/>
      </c>
    </row>
    <row r="298">
      <c r="A298" t="n">
        <v>8</v>
      </c>
      <c r="B298" t="n">
        <v>114.58</v>
      </c>
      <c r="C298">
        <f>C292+A298*1024*C290</f>
        <v/>
      </c>
      <c r="D298">
        <f>B298/C298</f>
        <v/>
      </c>
      <c r="E298" t="n">
        <v>0.13</v>
      </c>
      <c r="F298">
        <f>A298*1024/(C298*0.000001)/1000000000*C291</f>
        <v/>
      </c>
      <c r="G298">
        <f>E298/F298</f>
        <v/>
      </c>
    </row>
    <row r="299">
      <c r="A299" t="n">
        <v>16</v>
      </c>
      <c r="B299" t="n">
        <v>115.86</v>
      </c>
      <c r="C299">
        <f>C292+A299*1024*C290</f>
        <v/>
      </c>
      <c r="D299">
        <f>B299/C299</f>
        <v/>
      </c>
      <c r="E299" t="n">
        <v>0.25</v>
      </c>
      <c r="F299">
        <f>A299*1024/(C299*0.000001)/1000000000*C291</f>
        <v/>
      </c>
      <c r="G299">
        <f>E299/F299</f>
        <v/>
      </c>
    </row>
    <row r="300">
      <c r="A300" t="n">
        <v>32</v>
      </c>
      <c r="B300" t="n">
        <v>126.55</v>
      </c>
      <c r="C300">
        <f>C292+A300*1024*C290</f>
        <v/>
      </c>
      <c r="D300">
        <f>B300/C300</f>
        <v/>
      </c>
      <c r="E300" t="n">
        <v>0.45</v>
      </c>
      <c r="F300">
        <f>A300*1024/(C300*0.000001)/1000000000*C291</f>
        <v/>
      </c>
      <c r="G300">
        <f>E300/F300</f>
        <v/>
      </c>
    </row>
    <row r="301">
      <c r="A301" t="n">
        <v>64</v>
      </c>
      <c r="B301" t="n">
        <v>140.27</v>
      </c>
      <c r="C301">
        <f>C292+A301*1024*C290</f>
        <v/>
      </c>
      <c r="D301">
        <f>B301/C301</f>
        <v/>
      </c>
      <c r="E301" t="n">
        <v>0.82</v>
      </c>
      <c r="F301">
        <f>A301*1024/(C301*0.000001)/1000000000*C291</f>
        <v/>
      </c>
      <c r="G301">
        <f>E301/F301</f>
        <v/>
      </c>
    </row>
    <row r="302">
      <c r="A302" t="n">
        <v>128</v>
      </c>
      <c r="B302" t="n">
        <v>168.03</v>
      </c>
      <c r="C302">
        <f>C292+A302*1024*C290</f>
        <v/>
      </c>
      <c r="D302">
        <f>B302/C302</f>
        <v/>
      </c>
      <c r="E302" t="n">
        <v>1.37</v>
      </c>
      <c r="F302">
        <f>A302*1024/(C302*0.000001)/1000000000*C291</f>
        <v/>
      </c>
      <c r="G302">
        <f>E302/F302</f>
        <v/>
      </c>
    </row>
    <row r="303">
      <c r="A303" t="n">
        <v>256</v>
      </c>
      <c r="B303" t="n">
        <v>232.4</v>
      </c>
      <c r="C303">
        <f>C292+A303*1024*C290</f>
        <v/>
      </c>
      <c r="D303">
        <f>B303/C303</f>
        <v/>
      </c>
      <c r="E303" t="n">
        <v>1.97</v>
      </c>
      <c r="F303">
        <f>A303*1024/(C303*0.000001)/1000000000*C291</f>
        <v/>
      </c>
      <c r="G303">
        <f>E303/F303</f>
        <v/>
      </c>
    </row>
    <row r="304">
      <c r="A304" t="n">
        <v>512</v>
      </c>
      <c r="B304" t="n">
        <v>312.61</v>
      </c>
      <c r="C304">
        <f>C292+A304*1024*C290</f>
        <v/>
      </c>
      <c r="D304">
        <f>B304/C304</f>
        <v/>
      </c>
      <c r="E304" t="n">
        <v>2.94</v>
      </c>
      <c r="F304">
        <f>A304*1024/(C304*0.000001)/1000000000*C291</f>
        <v/>
      </c>
      <c r="G304">
        <f>E304/F304</f>
        <v/>
      </c>
    </row>
    <row r="305">
      <c r="A305" t="n">
        <v>1024</v>
      </c>
      <c r="B305" t="n">
        <v>517.9400000000001</v>
      </c>
      <c r="C305">
        <f>C292+A305*1024*C290</f>
        <v/>
      </c>
      <c r="D305">
        <f>B305/C305</f>
        <v/>
      </c>
      <c r="E305" t="n">
        <v>3.54</v>
      </c>
      <c r="F305">
        <f>A305*1024/(C305*0.000001)/1000000000*C291</f>
        <v/>
      </c>
      <c r="G305">
        <f>E305/F305</f>
        <v/>
      </c>
    </row>
    <row r="306">
      <c r="A306" t="n">
        <v>2048</v>
      </c>
      <c r="B306" t="n">
        <v>932.13</v>
      </c>
      <c r="C306">
        <f>C292+A306*1024*C290</f>
        <v/>
      </c>
      <c r="D306">
        <f>B306/C306</f>
        <v/>
      </c>
      <c r="E306" t="n">
        <v>3.94</v>
      </c>
      <c r="F306">
        <f>A306*1024/(C306*0.000001)/1000000000*C291</f>
        <v/>
      </c>
      <c r="G306">
        <f>E306/F306</f>
        <v/>
      </c>
    </row>
    <row r="307">
      <c r="A307" t="n">
        <v>4096</v>
      </c>
      <c r="B307" t="n">
        <v>1764.87</v>
      </c>
      <c r="C307">
        <f>C292+A307*1024*C290</f>
        <v/>
      </c>
      <c r="D307">
        <f>B307/C307</f>
        <v/>
      </c>
      <c r="E307" t="n">
        <v>4.16</v>
      </c>
      <c r="F307">
        <f>A307*1024/(C307*0.000001)/1000000000*C291</f>
        <v/>
      </c>
      <c r="G307">
        <f>E307/F307</f>
        <v/>
      </c>
    </row>
    <row r="308">
      <c r="A308" t="n">
        <v>8192</v>
      </c>
      <c r="B308" t="n">
        <v>3379.83</v>
      </c>
      <c r="C308">
        <f>C292+A308*1024*C290</f>
        <v/>
      </c>
      <c r="D308">
        <f>B308/C308</f>
        <v/>
      </c>
      <c r="E308" t="n">
        <v>4.34</v>
      </c>
      <c r="F308">
        <f>A308*1024/(C308*0.000001)/1000000000*C291</f>
        <v/>
      </c>
      <c r="G308">
        <f>E308/F308</f>
        <v/>
      </c>
    </row>
    <row r="309">
      <c r="A309" t="n">
        <v>16384</v>
      </c>
      <c r="B309" t="n">
        <v>6607.15</v>
      </c>
      <c r="C309">
        <f>C292+A309*1024*C290</f>
        <v/>
      </c>
      <c r="D309">
        <f>B309/C309</f>
        <v/>
      </c>
      <c r="E309" t="n">
        <v>4.44</v>
      </c>
      <c r="F309">
        <f>A309*1024/(C309*0.000001)/1000000000*C291</f>
        <v/>
      </c>
      <c r="G309">
        <f>E309/F309</f>
        <v/>
      </c>
    </row>
    <row r="310">
      <c r="A310" t="n">
        <v>32768</v>
      </c>
      <c r="B310" t="n">
        <v>13059.5</v>
      </c>
      <c r="C310">
        <f>C292+A310*1024*C290</f>
        <v/>
      </c>
      <c r="D310">
        <f>B310/C310</f>
        <v/>
      </c>
      <c r="E310" t="n">
        <v>4.5</v>
      </c>
      <c r="F310">
        <f>A310*1024/(C310*0.000001)/1000000000*C291</f>
        <v/>
      </c>
      <c r="G310">
        <f>E310/F310</f>
        <v/>
      </c>
    </row>
    <row r="311">
      <c r="A311" t="n">
        <v>65536</v>
      </c>
      <c r="B311" t="n">
        <v>25952.6</v>
      </c>
      <c r="C311">
        <f>C292+A311*1024*C290</f>
        <v/>
      </c>
      <c r="D311">
        <f>B311/C311</f>
        <v/>
      </c>
      <c r="E311" t="n">
        <v>4.53</v>
      </c>
      <c r="F311">
        <f>A311*1024/(C311*0.000001)/1000000000*C291</f>
        <v/>
      </c>
      <c r="G311">
        <f>E311/F311</f>
        <v/>
      </c>
    </row>
    <row r="312">
      <c r="A312" t="n">
        <v>131072</v>
      </c>
      <c r="B312" t="n">
        <v>51757.5</v>
      </c>
      <c r="C312">
        <f>C292+A312*1024*C290</f>
        <v/>
      </c>
      <c r="D312">
        <f>B312/C312</f>
        <v/>
      </c>
      <c r="E312" t="n">
        <v>4.54</v>
      </c>
      <c r="F312">
        <f>A312*1024/(C312*0.000001)/1000000000*C291</f>
        <v/>
      </c>
      <c r="G312">
        <f>E312/F312</f>
        <v/>
      </c>
    </row>
    <row r="313">
      <c r="A313" t="n">
        <v>262144</v>
      </c>
      <c r="B313" t="n">
        <v>103357</v>
      </c>
      <c r="C313">
        <f>C292+A313*1024*C290</f>
        <v/>
      </c>
      <c r="D313">
        <f>B313/C313</f>
        <v/>
      </c>
      <c r="E313" t="n">
        <v>4.55</v>
      </c>
      <c r="F313">
        <f>A313*1024/(C313*0.000001)/1000000000*C291</f>
        <v/>
      </c>
      <c r="G313">
        <f>E313/F313</f>
        <v/>
      </c>
    </row>
    <row r="314">
      <c r="A314" t="n">
        <v>524288</v>
      </c>
      <c r="B314" t="n">
        <v>206704</v>
      </c>
      <c r="C314">
        <f>C292+A314*1024*C290</f>
        <v/>
      </c>
      <c r="D314">
        <f>B314/C314</f>
        <v/>
      </c>
      <c r="E314" t="n">
        <v>4.55</v>
      </c>
      <c r="F314">
        <f>A314*1024/(C314*0.000001)/1000000000*C291</f>
        <v/>
      </c>
      <c r="G314">
        <f>E314/F314</f>
        <v/>
      </c>
    </row>
    <row r="315">
      <c r="A315" t="n">
        <v>1048576</v>
      </c>
      <c r="B315" t="n">
        <v>413063</v>
      </c>
      <c r="C315">
        <f>C292+A315*1024*C290</f>
        <v/>
      </c>
      <c r="D315">
        <f>B315/C315</f>
        <v/>
      </c>
      <c r="E315" t="n">
        <v>4.55</v>
      </c>
      <c r="F315">
        <f>A315*1024/(C315*0.000001)/1000000000*C291</f>
        <v/>
      </c>
      <c r="G315">
        <f>E315/F315</f>
        <v/>
      </c>
    </row>
    <row r="316"/>
    <row r="317">
      <c r="A317" t="inlineStr">
        <is>
          <t>Nodes: 8, Protocol: LL, Channels: 16</t>
        </is>
      </c>
    </row>
    <row r="318">
      <c r="A318" t="inlineStr">
        <is>
          <t>Parameter</t>
        </is>
      </c>
      <c r="B318" t="inlineStr">
        <is>
          <t>Formula</t>
        </is>
      </c>
      <c r="C318" t="inlineStr">
        <is>
          <t>Value</t>
        </is>
      </c>
    </row>
    <row r="319">
      <c r="A319" t="inlineStr">
        <is>
          <t>n</t>
        </is>
      </c>
      <c r="B319" t="inlineStr">
        <is>
          <t>nodes on tree</t>
        </is>
      </c>
      <c r="C319" t="n">
        <v>8</v>
      </c>
    </row>
    <row r="320">
      <c r="A320" t="inlineStr">
        <is>
          <t>nch</t>
        </is>
      </c>
      <c r="B320" t="inlineStr">
        <is>
          <t>channels</t>
        </is>
      </c>
      <c r="C320" t="n">
        <v>16</v>
      </c>
    </row>
    <row r="321">
      <c r="A321" t="inlineStr">
        <is>
          <t>a</t>
        </is>
      </c>
      <c r="B321" t="inlineStr">
        <is>
          <t>RTT (us)</t>
        </is>
      </c>
      <c r="C321" t="n">
        <v>25.8107</v>
      </c>
    </row>
    <row r="322">
      <c r="A322" t="inlineStr">
        <is>
          <t>NIC_BW</t>
        </is>
      </c>
      <c r="B322" t="inlineStr">
        <is>
          <t>bytes/us</t>
        </is>
      </c>
      <c r="C322" t="n">
        <v>48750</v>
      </c>
    </row>
    <row r="323">
      <c r="A323" t="inlineStr">
        <is>
          <t>NIC_BW_REAL</t>
        </is>
      </c>
      <c r="B323" t="inlineStr">
        <is>
          <t>(NIC_BW/2)/2</t>
        </is>
      </c>
      <c r="C323">
        <f>(C322/2)/2</f>
        <v/>
      </c>
    </row>
    <row r="324">
      <c r="A324" t="inlineStr">
        <is>
          <t>G</t>
        </is>
      </c>
      <c r="B324" t="inlineStr">
        <is>
          <t>1/NIC_BW_REAL</t>
        </is>
      </c>
      <c r="C324">
        <f>1/C323</f>
        <v/>
      </c>
    </row>
    <row r="325">
      <c r="A325" t="inlineStr">
        <is>
          <t>busbw_factor</t>
        </is>
      </c>
      <c r="B325" t="inlineStr">
        <is>
          <t>2*(n-1)/n</t>
        </is>
      </c>
      <c r="C325">
        <f>2*(C319-1)/C319</f>
        <v/>
      </c>
    </row>
    <row r="326">
      <c r="A326" t="inlineStr">
        <is>
          <t>fixed_overhead</t>
        </is>
      </c>
      <c r="B326" t="inlineStr">
        <is>
          <t>(2*LOG2(n)+1)*a/2</t>
        </is>
      </c>
      <c r="C326">
        <f>(2*LOG(C319,2)+1)*C321/2</f>
        <v/>
      </c>
    </row>
    <row r="327"/>
    <row r="328">
      <c r="A328" t="inlineStr">
        <is>
          <t>size_KB</t>
        </is>
      </c>
      <c r="B328" t="inlineStr">
        <is>
          <t>Actual Time (us)</t>
        </is>
      </c>
      <c r="C328" t="inlineStr">
        <is>
          <t>Roofline Time (us)</t>
        </is>
      </c>
      <c r="D328" t="inlineStr">
        <is>
          <t>Actual/Roofline</t>
        </is>
      </c>
      <c r="E328" t="inlineStr">
        <is>
          <t>Actual busBW (GB/s)</t>
        </is>
      </c>
      <c r="F328" t="inlineStr">
        <is>
          <t>Roofline busBW (GB/s)</t>
        </is>
      </c>
      <c r="G328" t="inlineStr">
        <is>
          <t>Meas/Roof busBW</t>
        </is>
      </c>
    </row>
    <row r="329">
      <c r="A329" t="n">
        <v>1</v>
      </c>
      <c r="B329" t="n">
        <v>94.15000000000001</v>
      </c>
      <c r="C329">
        <f>C326+A329*1024*C324</f>
        <v/>
      </c>
      <c r="D329">
        <f>B329/C329</f>
        <v/>
      </c>
      <c r="E329" t="n">
        <v>0.02</v>
      </c>
      <c r="F329">
        <f>A329*1024/(C329*0.000001)/1000000000*C325</f>
        <v/>
      </c>
      <c r="G329">
        <f>E329/F329</f>
        <v/>
      </c>
    </row>
    <row r="330">
      <c r="A330" t="n">
        <v>2</v>
      </c>
      <c r="B330" t="n">
        <v>98.15000000000001</v>
      </c>
      <c r="C330">
        <f>C326+A330*1024*C324</f>
        <v/>
      </c>
      <c r="D330">
        <f>B330/C330</f>
        <v/>
      </c>
      <c r="E330" t="n">
        <v>0.04</v>
      </c>
      <c r="F330">
        <f>A330*1024/(C330*0.000001)/1000000000*C325</f>
        <v/>
      </c>
      <c r="G330">
        <f>E330/F330</f>
        <v/>
      </c>
    </row>
    <row r="331">
      <c r="A331" t="n">
        <v>4</v>
      </c>
      <c r="B331" t="n">
        <v>110.6</v>
      </c>
      <c r="C331">
        <f>C326+A331*1024*C324</f>
        <v/>
      </c>
      <c r="D331">
        <f>B331/C331</f>
        <v/>
      </c>
      <c r="E331" t="n">
        <v>0.06</v>
      </c>
      <c r="F331">
        <f>A331*1024/(C331*0.000001)/1000000000*C325</f>
        <v/>
      </c>
      <c r="G331">
        <f>E331/F331</f>
        <v/>
      </c>
    </row>
    <row r="332">
      <c r="A332" t="n">
        <v>8</v>
      </c>
      <c r="B332" t="n">
        <v>114.1</v>
      </c>
      <c r="C332">
        <f>C326+A332*1024*C324</f>
        <v/>
      </c>
      <c r="D332">
        <f>B332/C332</f>
        <v/>
      </c>
      <c r="E332" t="n">
        <v>0.13</v>
      </c>
      <c r="F332">
        <f>A332*1024/(C332*0.000001)/1000000000*C325</f>
        <v/>
      </c>
      <c r="G332">
        <f>E332/F332</f>
        <v/>
      </c>
    </row>
    <row r="333">
      <c r="A333" t="n">
        <v>16</v>
      </c>
      <c r="B333" t="n">
        <v>115.76</v>
      </c>
      <c r="C333">
        <f>C326+A333*1024*C324</f>
        <v/>
      </c>
      <c r="D333">
        <f>B333/C333</f>
        <v/>
      </c>
      <c r="E333" t="n">
        <v>0.25</v>
      </c>
      <c r="F333">
        <f>A333*1024/(C333*0.000001)/1000000000*C325</f>
        <v/>
      </c>
      <c r="G333">
        <f>E333/F333</f>
        <v/>
      </c>
    </row>
    <row r="334">
      <c r="A334" t="n">
        <v>32</v>
      </c>
      <c r="B334" t="n">
        <v>126.76</v>
      </c>
      <c r="C334">
        <f>C326+A334*1024*C324</f>
        <v/>
      </c>
      <c r="D334">
        <f>B334/C334</f>
        <v/>
      </c>
      <c r="E334" t="n">
        <v>0.45</v>
      </c>
      <c r="F334">
        <f>A334*1024/(C334*0.000001)/1000000000*C325</f>
        <v/>
      </c>
      <c r="G334">
        <f>E334/F334</f>
        <v/>
      </c>
    </row>
    <row r="335">
      <c r="A335" t="n">
        <v>64</v>
      </c>
      <c r="B335" t="n">
        <v>159.62</v>
      </c>
      <c r="C335">
        <f>C326+A335*1024*C324</f>
        <v/>
      </c>
      <c r="D335">
        <f>B335/C335</f>
        <v/>
      </c>
      <c r="E335" t="n">
        <v>0.72</v>
      </c>
      <c r="F335">
        <f>A335*1024/(C335*0.000001)/1000000000*C325</f>
        <v/>
      </c>
      <c r="G335">
        <f>E335/F335</f>
        <v/>
      </c>
    </row>
    <row r="336">
      <c r="A336" t="n">
        <v>128</v>
      </c>
      <c r="B336" t="n">
        <v>174.58</v>
      </c>
      <c r="C336">
        <f>C326+A336*1024*C324</f>
        <v/>
      </c>
      <c r="D336">
        <f>B336/C336</f>
        <v/>
      </c>
      <c r="E336" t="n">
        <v>1.31</v>
      </c>
      <c r="F336">
        <f>A336*1024/(C336*0.000001)/1000000000*C325</f>
        <v/>
      </c>
      <c r="G336">
        <f>E336/F336</f>
        <v/>
      </c>
    </row>
    <row r="337">
      <c r="A337" t="n">
        <v>256</v>
      </c>
      <c r="B337" t="n">
        <v>221.1</v>
      </c>
      <c r="C337">
        <f>C326+A337*1024*C324</f>
        <v/>
      </c>
      <c r="D337">
        <f>B337/C337</f>
        <v/>
      </c>
      <c r="E337" t="n">
        <v>2.07</v>
      </c>
      <c r="F337">
        <f>A337*1024/(C337*0.000001)/1000000000*C325</f>
        <v/>
      </c>
      <c r="G337">
        <f>E337/F337</f>
        <v/>
      </c>
    </row>
    <row r="338">
      <c r="A338" t="n">
        <v>512</v>
      </c>
      <c r="B338" t="n">
        <v>334.87</v>
      </c>
      <c r="C338">
        <f>C326+A338*1024*C324</f>
        <v/>
      </c>
      <c r="D338">
        <f>B338/C338</f>
        <v/>
      </c>
      <c r="E338" t="n">
        <v>2.74</v>
      </c>
      <c r="F338">
        <f>A338*1024/(C338*0.000001)/1000000000*C325</f>
        <v/>
      </c>
      <c r="G338">
        <f>E338/F338</f>
        <v/>
      </c>
    </row>
    <row r="339">
      <c r="A339" t="n">
        <v>1024</v>
      </c>
      <c r="B339" t="n">
        <v>536.9400000000001</v>
      </c>
      <c r="C339">
        <f>C326+A339*1024*C324</f>
        <v/>
      </c>
      <c r="D339">
        <f>B339/C339</f>
        <v/>
      </c>
      <c r="E339" t="n">
        <v>3.42</v>
      </c>
      <c r="F339">
        <f>A339*1024/(C339*0.000001)/1000000000*C325</f>
        <v/>
      </c>
      <c r="G339">
        <f>E339/F339</f>
        <v/>
      </c>
    </row>
    <row r="340">
      <c r="A340" t="n">
        <v>2048</v>
      </c>
      <c r="B340" t="n">
        <v>961.62</v>
      </c>
      <c r="C340">
        <f>C326+A340*1024*C324</f>
        <v/>
      </c>
      <c r="D340">
        <f>B340/C340</f>
        <v/>
      </c>
      <c r="E340" t="n">
        <v>3.82</v>
      </c>
      <c r="F340">
        <f>A340*1024/(C340*0.000001)/1000000000*C325</f>
        <v/>
      </c>
      <c r="G340">
        <f>E340/F340</f>
        <v/>
      </c>
    </row>
    <row r="341">
      <c r="A341" t="n">
        <v>4096</v>
      </c>
      <c r="B341" t="n">
        <v>1744.38</v>
      </c>
      <c r="C341">
        <f>C326+A341*1024*C324</f>
        <v/>
      </c>
      <c r="D341">
        <f>B341/C341</f>
        <v/>
      </c>
      <c r="E341" t="n">
        <v>4.21</v>
      </c>
      <c r="F341">
        <f>A341*1024/(C341*0.000001)/1000000000*C325</f>
        <v/>
      </c>
      <c r="G341">
        <f>E341/F341</f>
        <v/>
      </c>
    </row>
    <row r="342">
      <c r="A342" t="n">
        <v>8192</v>
      </c>
      <c r="B342" t="n">
        <v>3491.82</v>
      </c>
      <c r="C342">
        <f>C326+A342*1024*C324</f>
        <v/>
      </c>
      <c r="D342">
        <f>B342/C342</f>
        <v/>
      </c>
      <c r="E342" t="n">
        <v>4.2</v>
      </c>
      <c r="F342">
        <f>A342*1024/(C342*0.000001)/1000000000*C325</f>
        <v/>
      </c>
      <c r="G342">
        <f>E342/F342</f>
        <v/>
      </c>
    </row>
    <row r="343">
      <c r="A343" t="n">
        <v>16384</v>
      </c>
      <c r="B343" t="n">
        <v>6949.58</v>
      </c>
      <c r="C343">
        <f>C326+A343*1024*C324</f>
        <v/>
      </c>
      <c r="D343">
        <f>B343/C343</f>
        <v/>
      </c>
      <c r="E343" t="n">
        <v>4.22</v>
      </c>
      <c r="F343">
        <f>A343*1024/(C343*0.000001)/1000000000*C325</f>
        <v/>
      </c>
      <c r="G343">
        <f>E343/F343</f>
        <v/>
      </c>
    </row>
    <row r="344">
      <c r="A344" t="n">
        <v>32768</v>
      </c>
      <c r="B344" t="n">
        <v>13810.8</v>
      </c>
      <c r="C344">
        <f>C326+A344*1024*C324</f>
        <v/>
      </c>
      <c r="D344">
        <f>B344/C344</f>
        <v/>
      </c>
      <c r="E344" t="n">
        <v>4.25</v>
      </c>
      <c r="F344">
        <f>A344*1024/(C344*0.000001)/1000000000*C325</f>
        <v/>
      </c>
      <c r="G344">
        <f>E344/F344</f>
        <v/>
      </c>
    </row>
    <row r="345">
      <c r="A345" t="n">
        <v>65536</v>
      </c>
      <c r="B345" t="n">
        <v>27449.8</v>
      </c>
      <c r="C345">
        <f>C326+A345*1024*C324</f>
        <v/>
      </c>
      <c r="D345">
        <f>B345/C345</f>
        <v/>
      </c>
      <c r="E345" t="n">
        <v>4.28</v>
      </c>
      <c r="F345">
        <f>A345*1024/(C345*0.000001)/1000000000*C325</f>
        <v/>
      </c>
      <c r="G345">
        <f>E345/F345</f>
        <v/>
      </c>
    </row>
    <row r="346">
      <c r="A346" t="n">
        <v>131072</v>
      </c>
      <c r="B346" t="n">
        <v>54823.3</v>
      </c>
      <c r="C346">
        <f>C326+A346*1024*C324</f>
        <v/>
      </c>
      <c r="D346">
        <f>B346/C346</f>
        <v/>
      </c>
      <c r="E346" t="n">
        <v>4.28</v>
      </c>
      <c r="F346">
        <f>A346*1024/(C346*0.000001)/1000000000*C325</f>
        <v/>
      </c>
      <c r="G346">
        <f>E346/F346</f>
        <v/>
      </c>
    </row>
    <row r="347">
      <c r="A347" t="n">
        <v>262144</v>
      </c>
      <c r="B347" t="n">
        <v>109810</v>
      </c>
      <c r="C347">
        <f>C326+A347*1024*C324</f>
        <v/>
      </c>
      <c r="D347">
        <f>B347/C347</f>
        <v/>
      </c>
      <c r="E347" t="n">
        <v>4.28</v>
      </c>
      <c r="F347">
        <f>A347*1024/(C347*0.000001)/1000000000*C325</f>
        <v/>
      </c>
      <c r="G347">
        <f>E347/F347</f>
        <v/>
      </c>
    </row>
    <row r="348">
      <c r="A348" t="n">
        <v>524288</v>
      </c>
      <c r="B348" t="n">
        <v>218850</v>
      </c>
      <c r="C348">
        <f>C326+A348*1024*C324</f>
        <v/>
      </c>
      <c r="D348">
        <f>B348/C348</f>
        <v/>
      </c>
      <c r="E348" t="n">
        <v>4.29</v>
      </c>
      <c r="F348">
        <f>A348*1024/(C348*0.000001)/1000000000*C325</f>
        <v/>
      </c>
      <c r="G348">
        <f>E348/F348</f>
        <v/>
      </c>
    </row>
    <row r="349">
      <c r="A349" t="n">
        <v>1048576</v>
      </c>
      <c r="B349" t="n">
        <v>438667</v>
      </c>
      <c r="C349">
        <f>C326+A349*1024*C324</f>
        <v/>
      </c>
      <c r="D349">
        <f>B349/C349</f>
        <v/>
      </c>
      <c r="E349" t="n">
        <v>4.28</v>
      </c>
      <c r="F349">
        <f>A349*1024/(C349*0.000001)/1000000000*C325</f>
        <v/>
      </c>
      <c r="G349">
        <f>E349/F349</f>
        <v/>
      </c>
    </row>
    <row r="350"/>
    <row r="351">
      <c r="A351" t="inlineStr">
        <is>
          <t>Nodes: 8, Protocol: LL128, Channels: 1</t>
        </is>
      </c>
    </row>
    <row r="352">
      <c r="A352" t="inlineStr">
        <is>
          <t>Parameter</t>
        </is>
      </c>
      <c r="B352" t="inlineStr">
        <is>
          <t>Formula</t>
        </is>
      </c>
      <c r="C352" t="inlineStr">
        <is>
          <t>Value</t>
        </is>
      </c>
    </row>
    <row r="353">
      <c r="A353" t="inlineStr">
        <is>
          <t>n</t>
        </is>
      </c>
      <c r="B353" t="inlineStr">
        <is>
          <t>nodes on tree</t>
        </is>
      </c>
      <c r="C353" t="n">
        <v>8</v>
      </c>
    </row>
    <row r="354">
      <c r="A354" t="inlineStr">
        <is>
          <t>nch</t>
        </is>
      </c>
      <c r="B354" t="inlineStr">
        <is>
          <t>channels</t>
        </is>
      </c>
      <c r="C354" t="n">
        <v>1</v>
      </c>
    </row>
    <row r="355">
      <c r="A355" t="inlineStr">
        <is>
          <t>a</t>
        </is>
      </c>
      <c r="B355" t="inlineStr">
        <is>
          <t>RTT (us)</t>
        </is>
      </c>
      <c r="C355" t="n">
        <v>25.8107</v>
      </c>
    </row>
    <row r="356">
      <c r="A356" t="inlineStr">
        <is>
          <t>NIC_BW</t>
        </is>
      </c>
      <c r="B356" t="inlineStr">
        <is>
          <t>bytes/us</t>
        </is>
      </c>
      <c r="C356" t="n">
        <v>48750</v>
      </c>
    </row>
    <row r="357">
      <c r="A357" t="inlineStr">
        <is>
          <t>NIC_BW_REAL</t>
        </is>
      </c>
      <c r="B357" t="inlineStr">
        <is>
          <t>(NIC_BW*15/16)/3</t>
        </is>
      </c>
      <c r="C357">
        <f>(C356*15/16)/3</f>
        <v/>
      </c>
    </row>
    <row r="358">
      <c r="A358" t="inlineStr">
        <is>
          <t>G</t>
        </is>
      </c>
      <c r="B358" t="inlineStr">
        <is>
          <t>1/NIC_BW_REAL</t>
        </is>
      </c>
      <c r="C358">
        <f>1/C357</f>
        <v/>
      </c>
    </row>
    <row r="359">
      <c r="A359" t="inlineStr">
        <is>
          <t>busbw_factor</t>
        </is>
      </c>
      <c r="B359" t="inlineStr">
        <is>
          <t>2*(n-1)/n</t>
        </is>
      </c>
      <c r="C359">
        <f>2*(C353-1)/C353</f>
        <v/>
      </c>
    </row>
    <row r="360">
      <c r="A360" t="inlineStr">
        <is>
          <t>fixed_overhead</t>
        </is>
      </c>
      <c r="B360" t="inlineStr">
        <is>
          <t>(2*LOG2(n)+1)*a/2</t>
        </is>
      </c>
      <c r="C360">
        <f>(2*LOG(C353,2)+1)*C355/2</f>
        <v/>
      </c>
    </row>
    <row r="361"/>
    <row r="362">
      <c r="A362" t="inlineStr">
        <is>
          <t>size_KB</t>
        </is>
      </c>
      <c r="B362" t="inlineStr">
        <is>
          <t>Actual Time (us)</t>
        </is>
      </c>
      <c r="C362" t="inlineStr">
        <is>
          <t>Roofline Time (us)</t>
        </is>
      </c>
      <c r="D362" t="inlineStr">
        <is>
          <t>Actual/Roofline</t>
        </is>
      </c>
      <c r="E362" t="inlineStr">
        <is>
          <t>Actual busBW (GB/s)</t>
        </is>
      </c>
      <c r="F362" t="inlineStr">
        <is>
          <t>Roofline busBW (GB/s)</t>
        </is>
      </c>
      <c r="G362" t="inlineStr">
        <is>
          <t>Meas/Roof busBW</t>
        </is>
      </c>
    </row>
    <row r="363">
      <c r="A363" t="n">
        <v>1</v>
      </c>
      <c r="B363" t="n">
        <v>111.18</v>
      </c>
      <c r="C363">
        <f>C360+A363*1024*C358</f>
        <v/>
      </c>
      <c r="D363">
        <f>B363/C363</f>
        <v/>
      </c>
      <c r="E363" t="n">
        <v>0.02</v>
      </c>
      <c r="F363">
        <f>A363*1024/(C363*0.000001)/1000000000*C359</f>
        <v/>
      </c>
      <c r="G363">
        <f>E363/F363</f>
        <v/>
      </c>
    </row>
    <row r="364">
      <c r="A364" t="n">
        <v>2</v>
      </c>
      <c r="B364" t="n">
        <v>114.65</v>
      </c>
      <c r="C364">
        <f>C360+A364*1024*C358</f>
        <v/>
      </c>
      <c r="D364">
        <f>B364/C364</f>
        <v/>
      </c>
      <c r="E364" t="n">
        <v>0.03</v>
      </c>
      <c r="F364">
        <f>A364*1024/(C364*0.000001)/1000000000*C359</f>
        <v/>
      </c>
      <c r="G364">
        <f>E364/F364</f>
        <v/>
      </c>
    </row>
    <row r="365">
      <c r="A365" t="n">
        <v>4</v>
      </c>
      <c r="B365" t="n">
        <v>120.23</v>
      </c>
      <c r="C365">
        <f>C360+A365*1024*C358</f>
        <v/>
      </c>
      <c r="D365">
        <f>B365/C365</f>
        <v/>
      </c>
      <c r="E365" t="n">
        <v>0.06</v>
      </c>
      <c r="F365">
        <f>A365*1024/(C365*0.000001)/1000000000*C359</f>
        <v/>
      </c>
      <c r="G365">
        <f>E365/F365</f>
        <v/>
      </c>
    </row>
    <row r="366">
      <c r="A366" t="n">
        <v>8</v>
      </c>
      <c r="B366" t="n">
        <v>128.03</v>
      </c>
      <c r="C366">
        <f>C360+A366*1024*C358</f>
        <v/>
      </c>
      <c r="D366">
        <f>B366/C366</f>
        <v/>
      </c>
      <c r="E366" t="n">
        <v>0.11</v>
      </c>
      <c r="F366">
        <f>A366*1024/(C366*0.000001)/1000000000*C359</f>
        <v/>
      </c>
      <c r="G366">
        <f>E366/F366</f>
        <v/>
      </c>
    </row>
    <row r="367">
      <c r="A367" t="n">
        <v>16</v>
      </c>
      <c r="B367" t="n">
        <v>134</v>
      </c>
      <c r="C367">
        <f>C360+A367*1024*C358</f>
        <v/>
      </c>
      <c r="D367">
        <f>B367/C367</f>
        <v/>
      </c>
      <c r="E367" t="n">
        <v>0.21</v>
      </c>
      <c r="F367">
        <f>A367*1024/(C367*0.000001)/1000000000*C359</f>
        <v/>
      </c>
      <c r="G367">
        <f>E367/F367</f>
        <v/>
      </c>
    </row>
    <row r="368">
      <c r="A368" t="n">
        <v>32</v>
      </c>
      <c r="B368" t="n">
        <v>139.67</v>
      </c>
      <c r="C368">
        <f>C360+A368*1024*C358</f>
        <v/>
      </c>
      <c r="D368">
        <f>B368/C368</f>
        <v/>
      </c>
      <c r="E368" t="n">
        <v>0.41</v>
      </c>
      <c r="F368">
        <f>A368*1024/(C368*0.000001)/1000000000*C359</f>
        <v/>
      </c>
      <c r="G368">
        <f>E368/F368</f>
        <v/>
      </c>
    </row>
    <row r="369">
      <c r="A369" t="n">
        <v>64</v>
      </c>
      <c r="B369" t="n">
        <v>148.5</v>
      </c>
      <c r="C369">
        <f>C360+A369*1024*C358</f>
        <v/>
      </c>
      <c r="D369">
        <f>B369/C369</f>
        <v/>
      </c>
      <c r="E369" t="n">
        <v>0.77</v>
      </c>
      <c r="F369">
        <f>A369*1024/(C369*0.000001)/1000000000*C359</f>
        <v/>
      </c>
      <c r="G369">
        <f>E369/F369</f>
        <v/>
      </c>
    </row>
    <row r="370">
      <c r="A370" t="n">
        <v>128</v>
      </c>
      <c r="B370" t="n">
        <v>166.19</v>
      </c>
      <c r="C370">
        <f>C360+A370*1024*C358</f>
        <v/>
      </c>
      <c r="D370">
        <f>B370/C370</f>
        <v/>
      </c>
      <c r="E370" t="n">
        <v>1.38</v>
      </c>
      <c r="F370">
        <f>A370*1024/(C370*0.000001)/1000000000*C359</f>
        <v/>
      </c>
      <c r="G370">
        <f>E370/F370</f>
        <v/>
      </c>
    </row>
    <row r="371">
      <c r="A371" t="n">
        <v>256</v>
      </c>
      <c r="B371" t="n">
        <v>213.22</v>
      </c>
      <c r="C371">
        <f>C360+A371*1024*C358</f>
        <v/>
      </c>
      <c r="D371">
        <f>B371/C371</f>
        <v/>
      </c>
      <c r="E371" t="n">
        <v>2.15</v>
      </c>
      <c r="F371">
        <f>A371*1024/(C371*0.000001)/1000000000*C359</f>
        <v/>
      </c>
      <c r="G371">
        <f>E371/F371</f>
        <v/>
      </c>
    </row>
    <row r="372">
      <c r="A372" t="n">
        <v>512</v>
      </c>
      <c r="B372" t="n">
        <v>312.83</v>
      </c>
      <c r="C372">
        <f>C360+A372*1024*C358</f>
        <v/>
      </c>
      <c r="D372">
        <f>B372/C372</f>
        <v/>
      </c>
      <c r="E372" t="n">
        <v>2.93</v>
      </c>
      <c r="F372">
        <f>A372*1024/(C372*0.000001)/1000000000*C359</f>
        <v/>
      </c>
      <c r="G372">
        <f>E372/F372</f>
        <v/>
      </c>
    </row>
    <row r="373">
      <c r="A373" t="n">
        <v>1024</v>
      </c>
      <c r="B373" t="n">
        <v>506.84</v>
      </c>
      <c r="C373">
        <f>C360+A373*1024*C358</f>
        <v/>
      </c>
      <c r="D373">
        <f>B373/C373</f>
        <v/>
      </c>
      <c r="E373" t="n">
        <v>3.62</v>
      </c>
      <c r="F373">
        <f>A373*1024/(C373*0.000001)/1000000000*C359</f>
        <v/>
      </c>
      <c r="G373">
        <f>E373/F373</f>
        <v/>
      </c>
    </row>
    <row r="374">
      <c r="A374" t="n">
        <v>2048</v>
      </c>
      <c r="B374" t="n">
        <v>901.23</v>
      </c>
      <c r="C374">
        <f>C360+A374*1024*C358</f>
        <v/>
      </c>
      <c r="D374">
        <f>B374/C374</f>
        <v/>
      </c>
      <c r="E374" t="n">
        <v>4.07</v>
      </c>
      <c r="F374">
        <f>A374*1024/(C374*0.000001)/1000000000*C359</f>
        <v/>
      </c>
      <c r="G374">
        <f>E374/F374</f>
        <v/>
      </c>
    </row>
    <row r="375">
      <c r="A375" t="n">
        <v>4096</v>
      </c>
      <c r="B375" t="n">
        <v>1023.26</v>
      </c>
      <c r="C375">
        <f>C360+A375*1024*C358</f>
        <v/>
      </c>
      <c r="D375">
        <f>B375/C375</f>
        <v/>
      </c>
      <c r="E375" t="n">
        <v>7.17</v>
      </c>
      <c r="F375">
        <f>A375*1024/(C375*0.000001)/1000000000*C359</f>
        <v/>
      </c>
      <c r="G375">
        <f>E375/F375</f>
        <v/>
      </c>
    </row>
    <row r="376">
      <c r="A376" t="n">
        <v>8192</v>
      </c>
      <c r="B376" t="n">
        <v>1541.95</v>
      </c>
      <c r="C376">
        <f>C360+A376*1024*C358</f>
        <v/>
      </c>
      <c r="D376">
        <f>B376/C376</f>
        <v/>
      </c>
      <c r="E376" t="n">
        <v>9.52</v>
      </c>
      <c r="F376">
        <f>A376*1024/(C376*0.000001)/1000000000*C359</f>
        <v/>
      </c>
      <c r="G376">
        <f>E376/F376</f>
        <v/>
      </c>
    </row>
    <row r="377">
      <c r="A377" t="n">
        <v>16384</v>
      </c>
      <c r="B377" t="n">
        <v>2920.1</v>
      </c>
      <c r="C377">
        <f>C360+A377*1024*C358</f>
        <v/>
      </c>
      <c r="D377">
        <f>B377/C377</f>
        <v/>
      </c>
      <c r="E377" t="n">
        <v>10.05</v>
      </c>
      <c r="F377">
        <f>A377*1024/(C377*0.000001)/1000000000*C359</f>
        <v/>
      </c>
      <c r="G377">
        <f>E377/F377</f>
        <v/>
      </c>
    </row>
    <row r="378">
      <c r="A378" t="n">
        <v>32768</v>
      </c>
      <c r="B378" t="n">
        <v>5680.29</v>
      </c>
      <c r="C378">
        <f>C360+A378*1024*C358</f>
        <v/>
      </c>
      <c r="D378">
        <f>B378/C378</f>
        <v/>
      </c>
      <c r="E378" t="n">
        <v>10.34</v>
      </c>
      <c r="F378">
        <f>A378*1024/(C378*0.000001)/1000000000*C359</f>
        <v/>
      </c>
      <c r="G378">
        <f>E378/F378</f>
        <v/>
      </c>
    </row>
    <row r="379">
      <c r="A379" t="n">
        <v>65536</v>
      </c>
      <c r="B379" t="n">
        <v>9609.219999999999</v>
      </c>
      <c r="C379">
        <f>C360+A379*1024*C358</f>
        <v/>
      </c>
      <c r="D379">
        <f>B379/C379</f>
        <v/>
      </c>
      <c r="E379" t="n">
        <v>12.22</v>
      </c>
      <c r="F379">
        <f>A379*1024/(C379*0.000001)/1000000000*C359</f>
        <v/>
      </c>
      <c r="G379">
        <f>E379/F379</f>
        <v/>
      </c>
    </row>
    <row r="380">
      <c r="A380" t="n">
        <v>131072</v>
      </c>
      <c r="B380" t="n">
        <v>17760</v>
      </c>
      <c r="C380">
        <f>C360+A380*1024*C358</f>
        <v/>
      </c>
      <c r="D380">
        <f>B380/C380</f>
        <v/>
      </c>
      <c r="E380" t="n">
        <v>13.23</v>
      </c>
      <c r="F380">
        <f>A380*1024/(C380*0.000001)/1000000000*C359</f>
        <v/>
      </c>
      <c r="G380">
        <f>E380/F380</f>
        <v/>
      </c>
    </row>
    <row r="381">
      <c r="A381" t="n">
        <v>262144</v>
      </c>
      <c r="B381" t="n">
        <v>34750.4</v>
      </c>
      <c r="C381">
        <f>C360+A381*1024*C358</f>
        <v/>
      </c>
      <c r="D381">
        <f>B381/C381</f>
        <v/>
      </c>
      <c r="E381" t="n">
        <v>13.52</v>
      </c>
      <c r="F381">
        <f>A381*1024/(C381*0.000001)/1000000000*C359</f>
        <v/>
      </c>
      <c r="G381">
        <f>E381/F381</f>
        <v/>
      </c>
    </row>
    <row r="382">
      <c r="A382" t="n">
        <v>524288</v>
      </c>
      <c r="B382" t="n">
        <v>69031.8</v>
      </c>
      <c r="C382">
        <f>C360+A382*1024*C358</f>
        <v/>
      </c>
      <c r="D382">
        <f>B382/C382</f>
        <v/>
      </c>
      <c r="E382" t="n">
        <v>13.61</v>
      </c>
      <c r="F382">
        <f>A382*1024/(C382*0.000001)/1000000000*C359</f>
        <v/>
      </c>
      <c r="G382">
        <f>E382/F382</f>
        <v/>
      </c>
    </row>
    <row r="383">
      <c r="A383" t="n">
        <v>1048576</v>
      </c>
      <c r="B383" t="n">
        <v>137603</v>
      </c>
      <c r="C383">
        <f>C360+A383*1024*C358</f>
        <v/>
      </c>
      <c r="D383">
        <f>B383/C383</f>
        <v/>
      </c>
      <c r="E383" t="n">
        <v>13.66</v>
      </c>
      <c r="F383">
        <f>A383*1024/(C383*0.000001)/1000000000*C359</f>
        <v/>
      </c>
      <c r="G383">
        <f>E383/F383</f>
        <v/>
      </c>
    </row>
    <row r="384"/>
    <row r="385">
      <c r="A385" t="inlineStr">
        <is>
          <t>Nodes: 8, Protocol: LL128, Channels: 2</t>
        </is>
      </c>
    </row>
    <row r="386">
      <c r="A386" t="inlineStr">
        <is>
          <t>Parameter</t>
        </is>
      </c>
      <c r="B386" t="inlineStr">
        <is>
          <t>Formula</t>
        </is>
      </c>
      <c r="C386" t="inlineStr">
        <is>
          <t>Value</t>
        </is>
      </c>
    </row>
    <row r="387">
      <c r="A387" t="inlineStr">
        <is>
          <t>n</t>
        </is>
      </c>
      <c r="B387" t="inlineStr">
        <is>
          <t>nodes on tree</t>
        </is>
      </c>
      <c r="C387" t="n">
        <v>8</v>
      </c>
    </row>
    <row r="388">
      <c r="A388" t="inlineStr">
        <is>
          <t>nch</t>
        </is>
      </c>
      <c r="B388" t="inlineStr">
        <is>
          <t>channels</t>
        </is>
      </c>
      <c r="C388" t="n">
        <v>2</v>
      </c>
    </row>
    <row r="389">
      <c r="A389" t="inlineStr">
        <is>
          <t>a</t>
        </is>
      </c>
      <c r="B389" t="inlineStr">
        <is>
          <t>RTT (us)</t>
        </is>
      </c>
      <c r="C389" t="n">
        <v>25.8107</v>
      </c>
    </row>
    <row r="390">
      <c r="A390" t="inlineStr">
        <is>
          <t>NIC_BW</t>
        </is>
      </c>
      <c r="B390" t="inlineStr">
        <is>
          <t>bytes/us</t>
        </is>
      </c>
      <c r="C390" t="n">
        <v>48750</v>
      </c>
    </row>
    <row r="391">
      <c r="A391" t="inlineStr">
        <is>
          <t>NIC_BW_REAL</t>
        </is>
      </c>
      <c r="B391" t="inlineStr">
        <is>
          <t>(NIC_BW*15/16)/3</t>
        </is>
      </c>
      <c r="C391">
        <f>(C390*15/16)/3</f>
        <v/>
      </c>
    </row>
    <row r="392">
      <c r="A392" t="inlineStr">
        <is>
          <t>G</t>
        </is>
      </c>
      <c r="B392" t="inlineStr">
        <is>
          <t>1/NIC_BW_REAL</t>
        </is>
      </c>
      <c r="C392">
        <f>1/C391</f>
        <v/>
      </c>
    </row>
    <row r="393">
      <c r="A393" t="inlineStr">
        <is>
          <t>busbw_factor</t>
        </is>
      </c>
      <c r="B393" t="inlineStr">
        <is>
          <t>2*(n-1)/n</t>
        </is>
      </c>
      <c r="C393">
        <f>2*(C387-1)/C387</f>
        <v/>
      </c>
    </row>
    <row r="394">
      <c r="A394" t="inlineStr">
        <is>
          <t>fixed_overhead</t>
        </is>
      </c>
      <c r="B394" t="inlineStr">
        <is>
          <t>(2*LOG2(n)+1)*a/2</t>
        </is>
      </c>
      <c r="C394">
        <f>(2*LOG(C387,2)+1)*C389/2</f>
        <v/>
      </c>
    </row>
    <row r="395"/>
    <row r="396">
      <c r="A396" t="inlineStr">
        <is>
          <t>size_KB</t>
        </is>
      </c>
      <c r="B396" t="inlineStr">
        <is>
          <t>Actual Time (us)</t>
        </is>
      </c>
      <c r="C396" t="inlineStr">
        <is>
          <t>Roofline Time (us)</t>
        </is>
      </c>
      <c r="D396" t="inlineStr">
        <is>
          <t>Actual/Roofline</t>
        </is>
      </c>
      <c r="E396" t="inlineStr">
        <is>
          <t>Actual busBW (GB/s)</t>
        </is>
      </c>
      <c r="F396" t="inlineStr">
        <is>
          <t>Roofline busBW (GB/s)</t>
        </is>
      </c>
      <c r="G396" t="inlineStr">
        <is>
          <t>Meas/Roof busBW</t>
        </is>
      </c>
    </row>
    <row r="397">
      <c r="A397" t="n">
        <v>1</v>
      </c>
      <c r="B397" t="n">
        <v>111.57</v>
      </c>
      <c r="C397">
        <f>C394+A397*1024*C392</f>
        <v/>
      </c>
      <c r="D397">
        <f>B397/C397</f>
        <v/>
      </c>
      <c r="E397" t="n">
        <v>0.02</v>
      </c>
      <c r="F397">
        <f>A397*1024/(C397*0.000001)/1000000000*C393</f>
        <v/>
      </c>
      <c r="G397">
        <f>E397/F397</f>
        <v/>
      </c>
    </row>
    <row r="398">
      <c r="A398" t="n">
        <v>2</v>
      </c>
      <c r="B398" t="n">
        <v>116.59</v>
      </c>
      <c r="C398">
        <f>C394+A398*1024*C392</f>
        <v/>
      </c>
      <c r="D398">
        <f>B398/C398</f>
        <v/>
      </c>
      <c r="E398" t="n">
        <v>0.03</v>
      </c>
      <c r="F398">
        <f>A398*1024/(C398*0.000001)/1000000000*C393</f>
        <v/>
      </c>
      <c r="G398">
        <f>E398/F398</f>
        <v/>
      </c>
    </row>
    <row r="399">
      <c r="A399" t="n">
        <v>4</v>
      </c>
      <c r="B399" t="n">
        <v>120.18</v>
      </c>
      <c r="C399">
        <f>C394+A399*1024*C392</f>
        <v/>
      </c>
      <c r="D399">
        <f>B399/C399</f>
        <v/>
      </c>
      <c r="E399" t="n">
        <v>0.06</v>
      </c>
      <c r="F399">
        <f>A399*1024/(C399*0.000001)/1000000000*C393</f>
        <v/>
      </c>
      <c r="G399">
        <f>E399/F399</f>
        <v/>
      </c>
    </row>
    <row r="400">
      <c r="A400" t="n">
        <v>8</v>
      </c>
      <c r="B400" t="n">
        <v>128.18</v>
      </c>
      <c r="C400">
        <f>C394+A400*1024*C392</f>
        <v/>
      </c>
      <c r="D400">
        <f>B400/C400</f>
        <v/>
      </c>
      <c r="E400" t="n">
        <v>0.11</v>
      </c>
      <c r="F400">
        <f>A400*1024/(C400*0.000001)/1000000000*C393</f>
        <v/>
      </c>
      <c r="G400">
        <f>E400/F400</f>
        <v/>
      </c>
    </row>
    <row r="401">
      <c r="A401" t="n">
        <v>16</v>
      </c>
      <c r="B401" t="n">
        <v>134.29</v>
      </c>
      <c r="C401">
        <f>C394+A401*1024*C392</f>
        <v/>
      </c>
      <c r="D401">
        <f>B401/C401</f>
        <v/>
      </c>
      <c r="E401" t="n">
        <v>0.21</v>
      </c>
      <c r="F401">
        <f>A401*1024/(C401*0.000001)/1000000000*C393</f>
        <v/>
      </c>
      <c r="G401">
        <f>E401/F401</f>
        <v/>
      </c>
    </row>
    <row r="402">
      <c r="A402" t="n">
        <v>32</v>
      </c>
      <c r="B402" t="n">
        <v>137.78</v>
      </c>
      <c r="C402">
        <f>C394+A402*1024*C392</f>
        <v/>
      </c>
      <c r="D402">
        <f>B402/C402</f>
        <v/>
      </c>
      <c r="E402" t="n">
        <v>0.42</v>
      </c>
      <c r="F402">
        <f>A402*1024/(C402*0.000001)/1000000000*C393</f>
        <v/>
      </c>
      <c r="G402">
        <f>E402/F402</f>
        <v/>
      </c>
    </row>
    <row r="403">
      <c r="A403" t="n">
        <v>64</v>
      </c>
      <c r="B403" t="n">
        <v>143.4</v>
      </c>
      <c r="C403">
        <f>C394+A403*1024*C392</f>
        <v/>
      </c>
      <c r="D403">
        <f>B403/C403</f>
        <v/>
      </c>
      <c r="E403" t="n">
        <v>0.8</v>
      </c>
      <c r="F403">
        <f>A403*1024/(C403*0.000001)/1000000000*C393</f>
        <v/>
      </c>
      <c r="G403">
        <f>E403/F403</f>
        <v/>
      </c>
    </row>
    <row r="404">
      <c r="A404" t="n">
        <v>128</v>
      </c>
      <c r="B404" t="n">
        <v>154.23</v>
      </c>
      <c r="C404">
        <f>C394+A404*1024*C392</f>
        <v/>
      </c>
      <c r="D404">
        <f>B404/C404</f>
        <v/>
      </c>
      <c r="E404" t="n">
        <v>1.49</v>
      </c>
      <c r="F404">
        <f>A404*1024/(C404*0.000001)/1000000000*C393</f>
        <v/>
      </c>
      <c r="G404">
        <f>E404/F404</f>
        <v/>
      </c>
    </row>
    <row r="405">
      <c r="A405" t="n">
        <v>256</v>
      </c>
      <c r="B405" t="n">
        <v>174.5</v>
      </c>
      <c r="C405">
        <f>C394+A405*1024*C392</f>
        <v/>
      </c>
      <c r="D405">
        <f>B405/C405</f>
        <v/>
      </c>
      <c r="E405" t="n">
        <v>2.63</v>
      </c>
      <c r="F405">
        <f>A405*1024/(C405*0.000001)/1000000000*C393</f>
        <v/>
      </c>
      <c r="G405">
        <f>E405/F405</f>
        <v/>
      </c>
    </row>
    <row r="406">
      <c r="A406" t="n">
        <v>512</v>
      </c>
      <c r="B406" t="n">
        <v>253.84</v>
      </c>
      <c r="C406">
        <f>C394+A406*1024*C392</f>
        <v/>
      </c>
      <c r="D406">
        <f>B406/C406</f>
        <v/>
      </c>
      <c r="E406" t="n">
        <v>3.61</v>
      </c>
      <c r="F406">
        <f>A406*1024/(C406*0.000001)/1000000000*C393</f>
        <v/>
      </c>
      <c r="G406">
        <f>E406/F406</f>
        <v/>
      </c>
    </row>
    <row r="407">
      <c r="A407" t="n">
        <v>1024</v>
      </c>
      <c r="B407" t="n">
        <v>416.36</v>
      </c>
      <c r="C407">
        <f>C394+A407*1024*C392</f>
        <v/>
      </c>
      <c r="D407">
        <f>B407/C407</f>
        <v/>
      </c>
      <c r="E407" t="n">
        <v>4.41</v>
      </c>
      <c r="F407">
        <f>A407*1024/(C407*0.000001)/1000000000*C393</f>
        <v/>
      </c>
      <c r="G407">
        <f>E407/F407</f>
        <v/>
      </c>
    </row>
    <row r="408">
      <c r="A408" t="n">
        <v>2048</v>
      </c>
      <c r="B408" t="n">
        <v>740.23</v>
      </c>
      <c r="C408">
        <f>C394+A408*1024*C392</f>
        <v/>
      </c>
      <c r="D408">
        <f>B408/C408</f>
        <v/>
      </c>
      <c r="E408" t="n">
        <v>4.96</v>
      </c>
      <c r="F408">
        <f>A408*1024/(C408*0.000001)/1000000000*C393</f>
        <v/>
      </c>
      <c r="G408">
        <f>E408/F408</f>
        <v/>
      </c>
    </row>
    <row r="409">
      <c r="A409" t="n">
        <v>4096</v>
      </c>
      <c r="B409" t="n">
        <v>1374.12</v>
      </c>
      <c r="C409">
        <f>C394+A409*1024*C392</f>
        <v/>
      </c>
      <c r="D409">
        <f>B409/C409</f>
        <v/>
      </c>
      <c r="E409" t="n">
        <v>5.34</v>
      </c>
      <c r="F409">
        <f>A409*1024/(C409*0.000001)/1000000000*C393</f>
        <v/>
      </c>
      <c r="G409">
        <f>E409/F409</f>
        <v/>
      </c>
    </row>
    <row r="410">
      <c r="A410" t="n">
        <v>8192</v>
      </c>
      <c r="B410" t="n">
        <v>1441.64</v>
      </c>
      <c r="C410">
        <f>C394+A410*1024*C392</f>
        <v/>
      </c>
      <c r="D410">
        <f>B410/C410</f>
        <v/>
      </c>
      <c r="E410" t="n">
        <v>10.18</v>
      </c>
      <c r="F410">
        <f>A410*1024/(C410*0.000001)/1000000000*C393</f>
        <v/>
      </c>
      <c r="G410">
        <f>E410/F410</f>
        <v/>
      </c>
    </row>
    <row r="411">
      <c r="A411" t="n">
        <v>16384</v>
      </c>
      <c r="B411" t="n">
        <v>1675.72</v>
      </c>
      <c r="C411">
        <f>C394+A411*1024*C392</f>
        <v/>
      </c>
      <c r="D411">
        <f>B411/C411</f>
        <v/>
      </c>
      <c r="E411" t="n">
        <v>17.52</v>
      </c>
      <c r="F411">
        <f>A411*1024/(C411*0.000001)/1000000000*C393</f>
        <v/>
      </c>
      <c r="G411">
        <f>E411/F411</f>
        <v/>
      </c>
    </row>
    <row r="412">
      <c r="A412" t="n">
        <v>32768</v>
      </c>
      <c r="B412" t="n">
        <v>3159.66</v>
      </c>
      <c r="C412">
        <f>C394+A412*1024*C392</f>
        <v/>
      </c>
      <c r="D412">
        <f>B412/C412</f>
        <v/>
      </c>
      <c r="E412" t="n">
        <v>18.58</v>
      </c>
      <c r="F412">
        <f>A412*1024/(C412*0.000001)/1000000000*C393</f>
        <v/>
      </c>
      <c r="G412">
        <f>E412/F412</f>
        <v/>
      </c>
    </row>
    <row r="413">
      <c r="A413" t="n">
        <v>65536</v>
      </c>
      <c r="B413" t="n">
        <v>6123.74</v>
      </c>
      <c r="C413">
        <f>C394+A413*1024*C392</f>
        <v/>
      </c>
      <c r="D413">
        <f>B413/C413</f>
        <v/>
      </c>
      <c r="E413" t="n">
        <v>19.18</v>
      </c>
      <c r="F413">
        <f>A413*1024/(C413*0.000001)/1000000000*C393</f>
        <v/>
      </c>
      <c r="G413">
        <f>E413/F413</f>
        <v/>
      </c>
    </row>
    <row r="414">
      <c r="A414" t="n">
        <v>131072</v>
      </c>
      <c r="B414" t="n">
        <v>10315.3</v>
      </c>
      <c r="C414">
        <f>C394+A414*1024*C392</f>
        <v/>
      </c>
      <c r="D414">
        <f>B414/C414</f>
        <v/>
      </c>
      <c r="E414" t="n">
        <v>22.77</v>
      </c>
      <c r="F414">
        <f>A414*1024/(C414*0.000001)/1000000000*C393</f>
        <v/>
      </c>
      <c r="G414">
        <f>E414/F414</f>
        <v/>
      </c>
    </row>
    <row r="415">
      <c r="A415" t="n">
        <v>262144</v>
      </c>
      <c r="B415" t="n">
        <v>20371.4</v>
      </c>
      <c r="C415">
        <f>C394+A415*1024*C392</f>
        <v/>
      </c>
      <c r="D415">
        <f>B415/C415</f>
        <v/>
      </c>
      <c r="E415" t="n">
        <v>23.06</v>
      </c>
      <c r="F415">
        <f>A415*1024/(C415*0.000001)/1000000000*C393</f>
        <v/>
      </c>
      <c r="G415">
        <f>E415/F415</f>
        <v/>
      </c>
    </row>
    <row r="416">
      <c r="A416" t="n">
        <v>524288</v>
      </c>
      <c r="B416" t="n">
        <v>40101.5</v>
      </c>
      <c r="C416">
        <f>C394+A416*1024*C392</f>
        <v/>
      </c>
      <c r="D416">
        <f>B416/C416</f>
        <v/>
      </c>
      <c r="E416" t="n">
        <v>23.43</v>
      </c>
      <c r="F416">
        <f>A416*1024/(C416*0.000001)/1000000000*C393</f>
        <v/>
      </c>
      <c r="G416">
        <f>E416/F416</f>
        <v/>
      </c>
    </row>
    <row r="417">
      <c r="A417" t="n">
        <v>1048576</v>
      </c>
      <c r="B417" t="n">
        <v>79274.5</v>
      </c>
      <c r="C417">
        <f>C394+A417*1024*C392</f>
        <v/>
      </c>
      <c r="D417">
        <f>B417/C417</f>
        <v/>
      </c>
      <c r="E417" t="n">
        <v>23.7</v>
      </c>
      <c r="F417">
        <f>A417*1024/(C417*0.000001)/1000000000*C393</f>
        <v/>
      </c>
      <c r="G417">
        <f>E417/F417</f>
        <v/>
      </c>
    </row>
    <row r="418"/>
    <row r="419">
      <c r="A419" t="inlineStr">
        <is>
          <t>Nodes: 8, Protocol: LL128, Channels: 4</t>
        </is>
      </c>
    </row>
    <row r="420">
      <c r="A420" t="inlineStr">
        <is>
          <t>Parameter</t>
        </is>
      </c>
      <c r="B420" t="inlineStr">
        <is>
          <t>Formula</t>
        </is>
      </c>
      <c r="C420" t="inlineStr">
        <is>
          <t>Value</t>
        </is>
      </c>
    </row>
    <row r="421">
      <c r="A421" t="inlineStr">
        <is>
          <t>n</t>
        </is>
      </c>
      <c r="B421" t="inlineStr">
        <is>
          <t>nodes on tree</t>
        </is>
      </c>
      <c r="C421" t="n">
        <v>8</v>
      </c>
    </row>
    <row r="422">
      <c r="A422" t="inlineStr">
        <is>
          <t>nch</t>
        </is>
      </c>
      <c r="B422" t="inlineStr">
        <is>
          <t>channels</t>
        </is>
      </c>
      <c r="C422" t="n">
        <v>4</v>
      </c>
    </row>
    <row r="423">
      <c r="A423" t="inlineStr">
        <is>
          <t>a</t>
        </is>
      </c>
      <c r="B423" t="inlineStr">
        <is>
          <t>RTT (us)</t>
        </is>
      </c>
      <c r="C423" t="n">
        <v>25.8107</v>
      </c>
    </row>
    <row r="424">
      <c r="A424" t="inlineStr">
        <is>
          <t>NIC_BW</t>
        </is>
      </c>
      <c r="B424" t="inlineStr">
        <is>
          <t>bytes/us</t>
        </is>
      </c>
      <c r="C424" t="n">
        <v>48750</v>
      </c>
    </row>
    <row r="425">
      <c r="A425" t="inlineStr">
        <is>
          <t>NIC_BW_REAL</t>
        </is>
      </c>
      <c r="B425" t="inlineStr">
        <is>
          <t>(NIC_BW*15/16)/2</t>
        </is>
      </c>
      <c r="C425">
        <f>(C424*15/16)/2</f>
        <v/>
      </c>
    </row>
    <row r="426">
      <c r="A426" t="inlineStr">
        <is>
          <t>G</t>
        </is>
      </c>
      <c r="B426" t="inlineStr">
        <is>
          <t>1/NIC_BW_REAL</t>
        </is>
      </c>
      <c r="C426">
        <f>1/C425</f>
        <v/>
      </c>
    </row>
    <row r="427">
      <c r="A427" t="inlineStr">
        <is>
          <t>busbw_factor</t>
        </is>
      </c>
      <c r="B427" t="inlineStr">
        <is>
          <t>2*(n-1)/n</t>
        </is>
      </c>
      <c r="C427">
        <f>2*(C421-1)/C421</f>
        <v/>
      </c>
    </row>
    <row r="428">
      <c r="A428" t="inlineStr">
        <is>
          <t>fixed_overhead</t>
        </is>
      </c>
      <c r="B428" t="inlineStr">
        <is>
          <t>(2*LOG2(n)+1)*a/2</t>
        </is>
      </c>
      <c r="C428">
        <f>(2*LOG(C421,2)+1)*C423/2</f>
        <v/>
      </c>
    </row>
    <row r="429"/>
    <row r="430">
      <c r="A430" t="inlineStr">
        <is>
          <t>size_KB</t>
        </is>
      </c>
      <c r="B430" t="inlineStr">
        <is>
          <t>Actual Time (us)</t>
        </is>
      </c>
      <c r="C430" t="inlineStr">
        <is>
          <t>Roofline Time (us)</t>
        </is>
      </c>
      <c r="D430" t="inlineStr">
        <is>
          <t>Actual/Roofline</t>
        </is>
      </c>
      <c r="E430" t="inlineStr">
        <is>
          <t>Actual busBW (GB/s)</t>
        </is>
      </c>
      <c r="F430" t="inlineStr">
        <is>
          <t>Roofline busBW (GB/s)</t>
        </is>
      </c>
      <c r="G430" t="inlineStr">
        <is>
          <t>Meas/Roof busBW</t>
        </is>
      </c>
    </row>
    <row r="431">
      <c r="A431" t="n">
        <v>1</v>
      </c>
      <c r="B431" t="n">
        <v>114.24</v>
      </c>
      <c r="C431">
        <f>C428+A431*1024*C426</f>
        <v/>
      </c>
      <c r="D431">
        <f>B431/C431</f>
        <v/>
      </c>
      <c r="E431" t="n">
        <v>0.02</v>
      </c>
      <c r="F431">
        <f>A431*1024/(C431*0.000001)/1000000000*C427</f>
        <v/>
      </c>
      <c r="G431">
        <f>E431/F431</f>
        <v/>
      </c>
    </row>
    <row r="432">
      <c r="A432" t="n">
        <v>2</v>
      </c>
      <c r="B432" t="n">
        <v>115.2</v>
      </c>
      <c r="C432">
        <f>C428+A432*1024*C426</f>
        <v/>
      </c>
      <c r="D432">
        <f>B432/C432</f>
        <v/>
      </c>
      <c r="E432" t="n">
        <v>0.03</v>
      </c>
      <c r="F432">
        <f>A432*1024/(C432*0.000001)/1000000000*C427</f>
        <v/>
      </c>
      <c r="G432">
        <f>E432/F432</f>
        <v/>
      </c>
    </row>
    <row r="433">
      <c r="A433" t="n">
        <v>4</v>
      </c>
      <c r="B433" t="n">
        <v>120</v>
      </c>
      <c r="C433">
        <f>C428+A433*1024*C426</f>
        <v/>
      </c>
      <c r="D433">
        <f>B433/C433</f>
        <v/>
      </c>
      <c r="E433" t="n">
        <v>0.06</v>
      </c>
      <c r="F433">
        <f>A433*1024/(C433*0.000001)/1000000000*C427</f>
        <v/>
      </c>
      <c r="G433">
        <f>E433/F433</f>
        <v/>
      </c>
    </row>
    <row r="434">
      <c r="A434" t="n">
        <v>8</v>
      </c>
      <c r="B434" t="n">
        <v>128.15</v>
      </c>
      <c r="C434">
        <f>C428+A434*1024*C426</f>
        <v/>
      </c>
      <c r="D434">
        <f>B434/C434</f>
        <v/>
      </c>
      <c r="E434" t="n">
        <v>0.11</v>
      </c>
      <c r="F434">
        <f>A434*1024/(C434*0.000001)/1000000000*C427</f>
        <v/>
      </c>
      <c r="G434">
        <f>E434/F434</f>
        <v/>
      </c>
    </row>
    <row r="435">
      <c r="A435" t="n">
        <v>16</v>
      </c>
      <c r="B435" t="n">
        <v>134.58</v>
      </c>
      <c r="C435">
        <f>C428+A435*1024*C426</f>
        <v/>
      </c>
      <c r="D435">
        <f>B435/C435</f>
        <v/>
      </c>
      <c r="E435" t="n">
        <v>0.21</v>
      </c>
      <c r="F435">
        <f>A435*1024/(C435*0.000001)/1000000000*C427</f>
        <v/>
      </c>
      <c r="G435">
        <f>E435/F435</f>
        <v/>
      </c>
    </row>
    <row r="436">
      <c r="A436" t="n">
        <v>32</v>
      </c>
      <c r="B436" t="n">
        <v>137.44</v>
      </c>
      <c r="C436">
        <f>C428+A436*1024*C426</f>
        <v/>
      </c>
      <c r="D436">
        <f>B436/C436</f>
        <v/>
      </c>
      <c r="E436" t="n">
        <v>0.42</v>
      </c>
      <c r="F436">
        <f>A436*1024/(C436*0.000001)/1000000000*C427</f>
        <v/>
      </c>
      <c r="G436">
        <f>E436/F436</f>
        <v/>
      </c>
    </row>
    <row r="437">
      <c r="A437" t="n">
        <v>64</v>
      </c>
      <c r="B437" t="n">
        <v>138.75</v>
      </c>
      <c r="C437">
        <f>C428+A437*1024*C426</f>
        <v/>
      </c>
      <c r="D437">
        <f>B437/C437</f>
        <v/>
      </c>
      <c r="E437" t="n">
        <v>0.83</v>
      </c>
      <c r="F437">
        <f>A437*1024/(C437*0.000001)/1000000000*C427</f>
        <v/>
      </c>
      <c r="G437">
        <f>E437/F437</f>
        <v/>
      </c>
    </row>
    <row r="438">
      <c r="A438" t="n">
        <v>128</v>
      </c>
      <c r="B438" t="n">
        <v>145.45</v>
      </c>
      <c r="C438">
        <f>C428+A438*1024*C426</f>
        <v/>
      </c>
      <c r="D438">
        <f>B438/C438</f>
        <v/>
      </c>
      <c r="E438" t="n">
        <v>1.58</v>
      </c>
      <c r="F438">
        <f>A438*1024/(C438*0.000001)/1000000000*C427</f>
        <v/>
      </c>
      <c r="G438">
        <f>E438/F438</f>
        <v/>
      </c>
    </row>
    <row r="439">
      <c r="A439" t="n">
        <v>256</v>
      </c>
      <c r="B439" t="n">
        <v>156.61</v>
      </c>
      <c r="C439">
        <f>C428+A439*1024*C426</f>
        <v/>
      </c>
      <c r="D439">
        <f>B439/C439</f>
        <v/>
      </c>
      <c r="E439" t="n">
        <v>2.93</v>
      </c>
      <c r="F439">
        <f>A439*1024/(C439*0.000001)/1000000000*C427</f>
        <v/>
      </c>
      <c r="G439">
        <f>E439/F439</f>
        <v/>
      </c>
    </row>
    <row r="440">
      <c r="A440" t="n">
        <v>512</v>
      </c>
      <c r="B440" t="n">
        <v>180.09</v>
      </c>
      <c r="C440">
        <f>C428+A440*1024*C426</f>
        <v/>
      </c>
      <c r="D440">
        <f>B440/C440</f>
        <v/>
      </c>
      <c r="E440" t="n">
        <v>5.09</v>
      </c>
      <c r="F440">
        <f>A440*1024/(C440*0.000001)/1000000000*C427</f>
        <v/>
      </c>
      <c r="G440">
        <f>E440/F440</f>
        <v/>
      </c>
    </row>
    <row r="441">
      <c r="A441" t="n">
        <v>1024</v>
      </c>
      <c r="B441" t="n">
        <v>277.32</v>
      </c>
      <c r="C441">
        <f>C428+A441*1024*C426</f>
        <v/>
      </c>
      <c r="D441">
        <f>B441/C441</f>
        <v/>
      </c>
      <c r="E441" t="n">
        <v>6.62</v>
      </c>
      <c r="F441">
        <f>A441*1024/(C441*0.000001)/1000000000*C427</f>
        <v/>
      </c>
      <c r="G441">
        <f>E441/F441</f>
        <v/>
      </c>
    </row>
    <row r="442">
      <c r="A442" t="n">
        <v>2048</v>
      </c>
      <c r="B442" t="n">
        <v>481.84</v>
      </c>
      <c r="C442">
        <f>C428+A442*1024*C426</f>
        <v/>
      </c>
      <c r="D442">
        <f>B442/C442</f>
        <v/>
      </c>
      <c r="E442" t="n">
        <v>7.62</v>
      </c>
      <c r="F442">
        <f>A442*1024/(C442*0.000001)/1000000000*C427</f>
        <v/>
      </c>
      <c r="G442">
        <f>E442/F442</f>
        <v/>
      </c>
    </row>
    <row r="443">
      <c r="A443" t="n">
        <v>4096</v>
      </c>
      <c r="B443" t="n">
        <v>885.9400000000001</v>
      </c>
      <c r="C443">
        <f>C428+A443*1024*C426</f>
        <v/>
      </c>
      <c r="D443">
        <f>B443/C443</f>
        <v/>
      </c>
      <c r="E443" t="n">
        <v>8.289999999999999</v>
      </c>
      <c r="F443">
        <f>A443*1024/(C443*0.000001)/1000000000*C427</f>
        <v/>
      </c>
      <c r="G443">
        <f>E443/F443</f>
        <v/>
      </c>
    </row>
    <row r="444">
      <c r="A444" t="n">
        <v>8192</v>
      </c>
      <c r="B444" t="n">
        <v>1677.18</v>
      </c>
      <c r="C444">
        <f>C428+A444*1024*C426</f>
        <v/>
      </c>
      <c r="D444">
        <f>B444/C444</f>
        <v/>
      </c>
      <c r="E444" t="n">
        <v>8.75</v>
      </c>
      <c r="F444">
        <f>A444*1024/(C444*0.000001)/1000000000*C427</f>
        <v/>
      </c>
      <c r="G444">
        <f>E444/F444</f>
        <v/>
      </c>
    </row>
    <row r="445">
      <c r="A445" t="n">
        <v>16384</v>
      </c>
      <c r="B445" t="n">
        <v>1781.36</v>
      </c>
      <c r="C445">
        <f>C428+A445*1024*C426</f>
        <v/>
      </c>
      <c r="D445">
        <f>B445/C445</f>
        <v/>
      </c>
      <c r="E445" t="n">
        <v>16.48</v>
      </c>
      <c r="F445">
        <f>A445*1024/(C445*0.000001)/1000000000*C427</f>
        <v/>
      </c>
      <c r="G445">
        <f>E445/F445</f>
        <v/>
      </c>
    </row>
    <row r="446">
      <c r="A446" t="n">
        <v>32768</v>
      </c>
      <c r="B446" t="n">
        <v>2040.06</v>
      </c>
      <c r="C446">
        <f>C428+A446*1024*C426</f>
        <v/>
      </c>
      <c r="D446">
        <f>B446/C446</f>
        <v/>
      </c>
      <c r="E446" t="n">
        <v>28.78</v>
      </c>
      <c r="F446">
        <f>A446*1024/(C446*0.000001)/1000000000*C427</f>
        <v/>
      </c>
      <c r="G446">
        <f>E446/F446</f>
        <v/>
      </c>
    </row>
    <row r="447">
      <c r="A447" t="n">
        <v>65536</v>
      </c>
      <c r="B447" t="n">
        <v>3905.68</v>
      </c>
      <c r="C447">
        <f>C428+A447*1024*C426</f>
        <v/>
      </c>
      <c r="D447">
        <f>B447/C447</f>
        <v/>
      </c>
      <c r="E447" t="n">
        <v>30.07</v>
      </c>
      <c r="F447">
        <f>A447*1024/(C447*0.000001)/1000000000*C427</f>
        <v/>
      </c>
      <c r="G447">
        <f>E447/F447</f>
        <v/>
      </c>
    </row>
    <row r="448">
      <c r="A448" t="n">
        <v>131072</v>
      </c>
      <c r="B448" t="n">
        <v>7688.72</v>
      </c>
      <c r="C448">
        <f>C428+A448*1024*C426</f>
        <v/>
      </c>
      <c r="D448">
        <f>B448/C448</f>
        <v/>
      </c>
      <c r="E448" t="n">
        <v>30.55</v>
      </c>
      <c r="F448">
        <f>A448*1024/(C448*0.000001)/1000000000*C427</f>
        <v/>
      </c>
      <c r="G448">
        <f>E448/F448</f>
        <v/>
      </c>
    </row>
    <row r="449">
      <c r="A449" t="n">
        <v>262144</v>
      </c>
      <c r="B449" t="n">
        <v>13657.8</v>
      </c>
      <c r="C449">
        <f>C428+A449*1024*C426</f>
        <v/>
      </c>
      <c r="D449">
        <f>B449/C449</f>
        <v/>
      </c>
      <c r="E449" t="n">
        <v>34.4</v>
      </c>
      <c r="F449">
        <f>A449*1024/(C449*0.000001)/1000000000*C427</f>
        <v/>
      </c>
      <c r="G449">
        <f>E449/F449</f>
        <v/>
      </c>
    </row>
    <row r="450">
      <c r="A450" t="n">
        <v>524288</v>
      </c>
      <c r="B450" t="n">
        <v>26252.7</v>
      </c>
      <c r="C450">
        <f>C428+A450*1024*C426</f>
        <v/>
      </c>
      <c r="D450">
        <f>B450/C450</f>
        <v/>
      </c>
      <c r="E450" t="n">
        <v>35.79</v>
      </c>
      <c r="F450">
        <f>A450*1024/(C450*0.000001)/1000000000*C427</f>
        <v/>
      </c>
      <c r="G450">
        <f>E450/F450</f>
        <v/>
      </c>
    </row>
    <row r="451">
      <c r="A451" t="n">
        <v>1048576</v>
      </c>
      <c r="B451" t="n">
        <v>52883.5</v>
      </c>
      <c r="C451">
        <f>C428+A451*1024*C426</f>
        <v/>
      </c>
      <c r="D451">
        <f>B451/C451</f>
        <v/>
      </c>
      <c r="E451" t="n">
        <v>35.53</v>
      </c>
      <c r="F451">
        <f>A451*1024/(C451*0.000001)/1000000000*C427</f>
        <v/>
      </c>
      <c r="G451">
        <f>E451/F451</f>
        <v/>
      </c>
    </row>
    <row r="452"/>
    <row r="453">
      <c r="A453" t="inlineStr">
        <is>
          <t>Nodes: 8, Protocol: LL128, Channels: 8</t>
        </is>
      </c>
    </row>
    <row r="454">
      <c r="A454" t="inlineStr">
        <is>
          <t>Parameter</t>
        </is>
      </c>
      <c r="B454" t="inlineStr">
        <is>
          <t>Formula</t>
        </is>
      </c>
      <c r="C454" t="inlineStr">
        <is>
          <t>Value</t>
        </is>
      </c>
    </row>
    <row r="455">
      <c r="A455" t="inlineStr">
        <is>
          <t>n</t>
        </is>
      </c>
      <c r="B455" t="inlineStr">
        <is>
          <t>nodes on tree</t>
        </is>
      </c>
      <c r="C455" t="n">
        <v>8</v>
      </c>
    </row>
    <row r="456">
      <c r="A456" t="inlineStr">
        <is>
          <t>nch</t>
        </is>
      </c>
      <c r="B456" t="inlineStr">
        <is>
          <t>channels</t>
        </is>
      </c>
      <c r="C456" t="n">
        <v>8</v>
      </c>
    </row>
    <row r="457">
      <c r="A457" t="inlineStr">
        <is>
          <t>a</t>
        </is>
      </c>
      <c r="B457" t="inlineStr">
        <is>
          <t>RTT (us)</t>
        </is>
      </c>
      <c r="C457" t="n">
        <v>25.8107</v>
      </c>
    </row>
    <row r="458">
      <c r="A458" t="inlineStr">
        <is>
          <t>NIC_BW</t>
        </is>
      </c>
      <c r="B458" t="inlineStr">
        <is>
          <t>bytes/us</t>
        </is>
      </c>
      <c r="C458" t="n">
        <v>48750</v>
      </c>
    </row>
    <row r="459">
      <c r="A459" t="inlineStr">
        <is>
          <t>NIC_BW_REAL</t>
        </is>
      </c>
      <c r="B459" t="inlineStr">
        <is>
          <t>(NIC_BW*15/16)/2</t>
        </is>
      </c>
      <c r="C459">
        <f>(C458*15/16)/2</f>
        <v/>
      </c>
    </row>
    <row r="460">
      <c r="A460" t="inlineStr">
        <is>
          <t>G</t>
        </is>
      </c>
      <c r="B460" t="inlineStr">
        <is>
          <t>1/NIC_BW_REAL</t>
        </is>
      </c>
      <c r="C460">
        <f>1/C459</f>
        <v/>
      </c>
    </row>
    <row r="461">
      <c r="A461" t="inlineStr">
        <is>
          <t>busbw_factor</t>
        </is>
      </c>
      <c r="B461" t="inlineStr">
        <is>
          <t>2*(n-1)/n</t>
        </is>
      </c>
      <c r="C461">
        <f>2*(C455-1)/C455</f>
        <v/>
      </c>
    </row>
    <row r="462">
      <c r="A462" t="inlineStr">
        <is>
          <t>fixed_overhead</t>
        </is>
      </c>
      <c r="B462" t="inlineStr">
        <is>
          <t>(2*LOG2(n)+1)*a/2</t>
        </is>
      </c>
      <c r="C462">
        <f>(2*LOG(C455,2)+1)*C457/2</f>
        <v/>
      </c>
    </row>
    <row r="463"/>
    <row r="464">
      <c r="A464" t="inlineStr">
        <is>
          <t>size_KB</t>
        </is>
      </c>
      <c r="B464" t="inlineStr">
        <is>
          <t>Actual Time (us)</t>
        </is>
      </c>
      <c r="C464" t="inlineStr">
        <is>
          <t>Roofline Time (us)</t>
        </is>
      </c>
      <c r="D464" t="inlineStr">
        <is>
          <t>Actual/Roofline</t>
        </is>
      </c>
      <c r="E464" t="inlineStr">
        <is>
          <t>Actual busBW (GB/s)</t>
        </is>
      </c>
      <c r="F464" t="inlineStr">
        <is>
          <t>Roofline busBW (GB/s)</t>
        </is>
      </c>
      <c r="G464" t="inlineStr">
        <is>
          <t>Meas/Roof busBW</t>
        </is>
      </c>
    </row>
    <row r="465">
      <c r="A465" t="n">
        <v>1</v>
      </c>
      <c r="B465" t="n">
        <v>111.87</v>
      </c>
      <c r="C465">
        <f>C462+A465*1024*C460</f>
        <v/>
      </c>
      <c r="D465">
        <f>B465/C465</f>
        <v/>
      </c>
      <c r="E465" t="n">
        <v>0.02</v>
      </c>
      <c r="F465">
        <f>A465*1024/(C465*0.000001)/1000000000*C461</f>
        <v/>
      </c>
      <c r="G465">
        <f>E465/F465</f>
        <v/>
      </c>
    </row>
    <row r="466">
      <c r="A466" t="n">
        <v>2</v>
      </c>
      <c r="B466" t="n">
        <v>114.93</v>
      </c>
      <c r="C466">
        <f>C462+A466*1024*C460</f>
        <v/>
      </c>
      <c r="D466">
        <f>B466/C466</f>
        <v/>
      </c>
      <c r="E466" t="n">
        <v>0.03</v>
      </c>
      <c r="F466">
        <f>A466*1024/(C466*0.000001)/1000000000*C461</f>
        <v/>
      </c>
      <c r="G466">
        <f>E466/F466</f>
        <v/>
      </c>
    </row>
    <row r="467">
      <c r="A467" t="n">
        <v>4</v>
      </c>
      <c r="B467" t="n">
        <v>120</v>
      </c>
      <c r="C467">
        <f>C462+A467*1024*C460</f>
        <v/>
      </c>
      <c r="D467">
        <f>B467/C467</f>
        <v/>
      </c>
      <c r="E467" t="n">
        <v>0.06</v>
      </c>
      <c r="F467">
        <f>A467*1024/(C467*0.000001)/1000000000*C461</f>
        <v/>
      </c>
      <c r="G467">
        <f>E467/F467</f>
        <v/>
      </c>
    </row>
    <row r="468">
      <c r="A468" t="n">
        <v>8</v>
      </c>
      <c r="B468" t="n">
        <v>128.52</v>
      </c>
      <c r="C468">
        <f>C462+A468*1024*C460</f>
        <v/>
      </c>
      <c r="D468">
        <f>B468/C468</f>
        <v/>
      </c>
      <c r="E468" t="n">
        <v>0.11</v>
      </c>
      <c r="F468">
        <f>A468*1024/(C468*0.000001)/1000000000*C461</f>
        <v/>
      </c>
      <c r="G468">
        <f>E468/F468</f>
        <v/>
      </c>
    </row>
    <row r="469">
      <c r="A469" t="n">
        <v>16</v>
      </c>
      <c r="B469" t="n">
        <v>134.32</v>
      </c>
      <c r="C469">
        <f>C462+A469*1024*C460</f>
        <v/>
      </c>
      <c r="D469">
        <f>B469/C469</f>
        <v/>
      </c>
      <c r="E469" t="n">
        <v>0.21</v>
      </c>
      <c r="F469">
        <f>A469*1024/(C469*0.000001)/1000000000*C461</f>
        <v/>
      </c>
      <c r="G469">
        <f>E469/F469</f>
        <v/>
      </c>
    </row>
    <row r="470">
      <c r="A470" t="n">
        <v>32</v>
      </c>
      <c r="B470" t="n">
        <v>137.99</v>
      </c>
      <c r="C470">
        <f>C462+A470*1024*C460</f>
        <v/>
      </c>
      <c r="D470">
        <f>B470/C470</f>
        <v/>
      </c>
      <c r="E470" t="n">
        <v>0.42</v>
      </c>
      <c r="F470">
        <f>A470*1024/(C470*0.000001)/1000000000*C461</f>
        <v/>
      </c>
      <c r="G470">
        <f>E470/F470</f>
        <v/>
      </c>
    </row>
    <row r="471">
      <c r="A471" t="n">
        <v>64</v>
      </c>
      <c r="B471" t="n">
        <v>141.21</v>
      </c>
      <c r="C471">
        <f>C462+A471*1024*C460</f>
        <v/>
      </c>
      <c r="D471">
        <f>B471/C471</f>
        <v/>
      </c>
      <c r="E471" t="n">
        <v>0.8100000000000001</v>
      </c>
      <c r="F471">
        <f>A471*1024/(C471*0.000001)/1000000000*C461</f>
        <v/>
      </c>
      <c r="G471">
        <f>E471/F471</f>
        <v/>
      </c>
    </row>
    <row r="472">
      <c r="A472" t="n">
        <v>128</v>
      </c>
      <c r="B472" t="n">
        <v>147.24</v>
      </c>
      <c r="C472">
        <f>C462+A472*1024*C460</f>
        <v/>
      </c>
      <c r="D472">
        <f>B472/C472</f>
        <v/>
      </c>
      <c r="E472" t="n">
        <v>1.56</v>
      </c>
      <c r="F472">
        <f>A472*1024/(C472*0.000001)/1000000000*C461</f>
        <v/>
      </c>
      <c r="G472">
        <f>E472/F472</f>
        <v/>
      </c>
    </row>
    <row r="473">
      <c r="A473" t="n">
        <v>256</v>
      </c>
      <c r="B473" t="n">
        <v>159.16</v>
      </c>
      <c r="C473">
        <f>C462+A473*1024*C460</f>
        <v/>
      </c>
      <c r="D473">
        <f>B473/C473</f>
        <v/>
      </c>
      <c r="E473" t="n">
        <v>2.88</v>
      </c>
      <c r="F473">
        <f>A473*1024/(C473*0.000001)/1000000000*C461</f>
        <v/>
      </c>
      <c r="G473">
        <f>E473/F473</f>
        <v/>
      </c>
    </row>
    <row r="474">
      <c r="A474" t="n">
        <v>512</v>
      </c>
      <c r="B474" t="n">
        <v>182.34</v>
      </c>
      <c r="C474">
        <f>C462+A474*1024*C460</f>
        <v/>
      </c>
      <c r="D474">
        <f>B474/C474</f>
        <v/>
      </c>
      <c r="E474" t="n">
        <v>5.03</v>
      </c>
      <c r="F474">
        <f>A474*1024/(C474*0.000001)/1000000000*C461</f>
        <v/>
      </c>
      <c r="G474">
        <f>E474/F474</f>
        <v/>
      </c>
    </row>
    <row r="475">
      <c r="A475" t="n">
        <v>1024</v>
      </c>
      <c r="B475" t="n">
        <v>227.79</v>
      </c>
      <c r="C475">
        <f>C462+A475*1024*C460</f>
        <v/>
      </c>
      <c r="D475">
        <f>B475/C475</f>
        <v/>
      </c>
      <c r="E475" t="n">
        <v>8.06</v>
      </c>
      <c r="F475">
        <f>A475*1024/(C475*0.000001)/1000000000*C461</f>
        <v/>
      </c>
      <c r="G475">
        <f>E475/F475</f>
        <v/>
      </c>
    </row>
    <row r="476">
      <c r="A476" t="n">
        <v>2048</v>
      </c>
      <c r="B476" t="n">
        <v>406.06</v>
      </c>
      <c r="C476">
        <f>C462+A476*1024*C460</f>
        <v/>
      </c>
      <c r="D476">
        <f>B476/C476</f>
        <v/>
      </c>
      <c r="E476" t="n">
        <v>9.039999999999999</v>
      </c>
      <c r="F476">
        <f>A476*1024/(C476*0.000001)/1000000000*C461</f>
        <v/>
      </c>
      <c r="G476">
        <f>E476/F476</f>
        <v/>
      </c>
    </row>
    <row r="477">
      <c r="A477" t="n">
        <v>4096</v>
      </c>
      <c r="B477" t="n">
        <v>751.95</v>
      </c>
      <c r="C477">
        <f>C462+A477*1024*C460</f>
        <v/>
      </c>
      <c r="D477">
        <f>B477/C477</f>
        <v/>
      </c>
      <c r="E477" t="n">
        <v>9.76</v>
      </c>
      <c r="F477">
        <f>A477*1024/(C477*0.000001)/1000000000*C461</f>
        <v/>
      </c>
      <c r="G477">
        <f>E477/F477</f>
        <v/>
      </c>
    </row>
    <row r="478">
      <c r="A478" t="n">
        <v>8192</v>
      </c>
      <c r="B478" t="n">
        <v>1430.44</v>
      </c>
      <c r="C478">
        <f>C462+A478*1024*C460</f>
        <v/>
      </c>
      <c r="D478">
        <f>B478/C478</f>
        <v/>
      </c>
      <c r="E478" t="n">
        <v>10.26</v>
      </c>
      <c r="F478">
        <f>A478*1024/(C478*0.000001)/1000000000*C461</f>
        <v/>
      </c>
      <c r="G478">
        <f>E478/F478</f>
        <v/>
      </c>
    </row>
    <row r="479">
      <c r="A479" t="n">
        <v>16384</v>
      </c>
      <c r="B479" t="n">
        <v>2812.71</v>
      </c>
      <c r="C479">
        <f>C462+A479*1024*C460</f>
        <v/>
      </c>
      <c r="D479">
        <f>B479/C479</f>
        <v/>
      </c>
      <c r="E479" t="n">
        <v>10.44</v>
      </c>
      <c r="F479">
        <f>A479*1024/(C479*0.000001)/1000000000*C461</f>
        <v/>
      </c>
      <c r="G479">
        <f>E479/F479</f>
        <v/>
      </c>
    </row>
    <row r="480">
      <c r="A480" t="n">
        <v>32768</v>
      </c>
      <c r="B480" t="n">
        <v>2992.83</v>
      </c>
      <c r="C480">
        <f>C462+A480*1024*C460</f>
        <v/>
      </c>
      <c r="D480">
        <f>B480/C480</f>
        <v/>
      </c>
      <c r="E480" t="n">
        <v>19.62</v>
      </c>
      <c r="F480">
        <f>A480*1024/(C480*0.000001)/1000000000*C461</f>
        <v/>
      </c>
      <c r="G480">
        <f>E480/F480</f>
        <v/>
      </c>
    </row>
    <row r="481">
      <c r="A481" t="n">
        <v>65536</v>
      </c>
      <c r="B481" t="n">
        <v>3751.85</v>
      </c>
      <c r="C481">
        <f>C462+A481*1024*C460</f>
        <v/>
      </c>
      <c r="D481">
        <f>B481/C481</f>
        <v/>
      </c>
      <c r="E481" t="n">
        <v>31.3</v>
      </c>
      <c r="F481">
        <f>A481*1024/(C481*0.000001)/1000000000*C461</f>
        <v/>
      </c>
      <c r="G481">
        <f>E481/F481</f>
        <v/>
      </c>
    </row>
    <row r="482">
      <c r="A482" t="n">
        <v>131072</v>
      </c>
      <c r="B482" t="n">
        <v>7345.21</v>
      </c>
      <c r="C482">
        <f>C462+A482*1024*C460</f>
        <v/>
      </c>
      <c r="D482">
        <f>B482/C482</f>
        <v/>
      </c>
      <c r="E482" t="n">
        <v>31.98</v>
      </c>
      <c r="F482">
        <f>A482*1024/(C482*0.000001)/1000000000*C461</f>
        <v/>
      </c>
      <c r="G482">
        <f>E482/F482</f>
        <v/>
      </c>
    </row>
    <row r="483">
      <c r="A483" t="n">
        <v>262144</v>
      </c>
      <c r="B483" t="n">
        <v>14529.6</v>
      </c>
      <c r="C483">
        <f>C462+A483*1024*C460</f>
        <v/>
      </c>
      <c r="D483">
        <f>B483/C483</f>
        <v/>
      </c>
      <c r="E483" t="n">
        <v>32.33</v>
      </c>
      <c r="F483">
        <f>A483*1024/(C483*0.000001)/1000000000*C461</f>
        <v/>
      </c>
      <c r="G483">
        <f>E483/F483</f>
        <v/>
      </c>
    </row>
    <row r="484">
      <c r="A484" t="n">
        <v>524288</v>
      </c>
      <c r="B484" t="n">
        <v>28148.8</v>
      </c>
      <c r="C484">
        <f>C462+A484*1024*C460</f>
        <v/>
      </c>
      <c r="D484">
        <f>B484/C484</f>
        <v/>
      </c>
      <c r="E484" t="n">
        <v>33.38</v>
      </c>
      <c r="F484">
        <f>A484*1024/(C484*0.000001)/1000000000*C461</f>
        <v/>
      </c>
      <c r="G484">
        <f>E484/F484</f>
        <v/>
      </c>
    </row>
    <row r="485">
      <c r="A485" t="n">
        <v>1048576</v>
      </c>
      <c r="B485" t="n">
        <v>53164.4</v>
      </c>
      <c r="C485">
        <f>C462+A485*1024*C460</f>
        <v/>
      </c>
      <c r="D485">
        <f>B485/C485</f>
        <v/>
      </c>
      <c r="E485" t="n">
        <v>35.34</v>
      </c>
      <c r="F485">
        <f>A485*1024/(C485*0.000001)/1000000000*C461</f>
        <v/>
      </c>
      <c r="G485">
        <f>E485/F485</f>
        <v/>
      </c>
    </row>
    <row r="486"/>
    <row r="487">
      <c r="A487" t="inlineStr">
        <is>
          <t>Nodes: 8, Protocol: LL128, Channels: 16</t>
        </is>
      </c>
    </row>
    <row r="488">
      <c r="A488" t="inlineStr">
        <is>
          <t>Parameter</t>
        </is>
      </c>
      <c r="B488" t="inlineStr">
        <is>
          <t>Formula</t>
        </is>
      </c>
      <c r="C488" t="inlineStr">
        <is>
          <t>Value</t>
        </is>
      </c>
    </row>
    <row r="489">
      <c r="A489" t="inlineStr">
        <is>
          <t>n</t>
        </is>
      </c>
      <c r="B489" t="inlineStr">
        <is>
          <t>nodes on tree</t>
        </is>
      </c>
      <c r="C489" t="n">
        <v>8</v>
      </c>
    </row>
    <row r="490">
      <c r="A490" t="inlineStr">
        <is>
          <t>nch</t>
        </is>
      </c>
      <c r="B490" t="inlineStr">
        <is>
          <t>channels</t>
        </is>
      </c>
      <c r="C490" t="n">
        <v>16</v>
      </c>
    </row>
    <row r="491">
      <c r="A491" t="inlineStr">
        <is>
          <t>a</t>
        </is>
      </c>
      <c r="B491" t="inlineStr">
        <is>
          <t>RTT (us)</t>
        </is>
      </c>
      <c r="C491" t="n">
        <v>25.8107</v>
      </c>
    </row>
    <row r="492">
      <c r="A492" t="inlineStr">
        <is>
          <t>NIC_BW</t>
        </is>
      </c>
      <c r="B492" t="inlineStr">
        <is>
          <t>bytes/us</t>
        </is>
      </c>
      <c r="C492" t="n">
        <v>48750</v>
      </c>
    </row>
    <row r="493">
      <c r="A493" t="inlineStr">
        <is>
          <t>NIC_BW_REAL</t>
        </is>
      </c>
      <c r="B493" t="inlineStr">
        <is>
          <t>(NIC_BW*15/16)/2</t>
        </is>
      </c>
      <c r="C493">
        <f>(C492*15/16)/2</f>
        <v/>
      </c>
    </row>
    <row r="494">
      <c r="A494" t="inlineStr">
        <is>
          <t>G</t>
        </is>
      </c>
      <c r="B494" t="inlineStr">
        <is>
          <t>1/NIC_BW_REAL</t>
        </is>
      </c>
      <c r="C494">
        <f>1/C493</f>
        <v/>
      </c>
    </row>
    <row r="495">
      <c r="A495" t="inlineStr">
        <is>
          <t>busbw_factor</t>
        </is>
      </c>
      <c r="B495" t="inlineStr">
        <is>
          <t>2*(n-1)/n</t>
        </is>
      </c>
      <c r="C495">
        <f>2*(C489-1)/C489</f>
        <v/>
      </c>
    </row>
    <row r="496">
      <c r="A496" t="inlineStr">
        <is>
          <t>fixed_overhead</t>
        </is>
      </c>
      <c r="B496" t="inlineStr">
        <is>
          <t>(2*LOG2(n)+1)*a/2</t>
        </is>
      </c>
      <c r="C496">
        <f>(2*LOG(C489,2)+1)*C491/2</f>
        <v/>
      </c>
    </row>
    <row r="497"/>
    <row r="498">
      <c r="A498" t="inlineStr">
        <is>
          <t>size_KB</t>
        </is>
      </c>
      <c r="B498" t="inlineStr">
        <is>
          <t>Actual Time (us)</t>
        </is>
      </c>
      <c r="C498" t="inlineStr">
        <is>
          <t>Roofline Time (us)</t>
        </is>
      </c>
      <c r="D498" t="inlineStr">
        <is>
          <t>Actual/Roofline</t>
        </is>
      </c>
      <c r="E498" t="inlineStr">
        <is>
          <t>Actual busBW (GB/s)</t>
        </is>
      </c>
      <c r="F498" t="inlineStr">
        <is>
          <t>Roofline busBW (GB/s)</t>
        </is>
      </c>
      <c r="G498" t="inlineStr">
        <is>
          <t>Meas/Roof busBW</t>
        </is>
      </c>
    </row>
    <row r="499">
      <c r="A499" t="n">
        <v>1</v>
      </c>
      <c r="B499" t="n">
        <v>110.84</v>
      </c>
      <c r="C499">
        <f>C496+A499*1024*C494</f>
        <v/>
      </c>
      <c r="D499">
        <f>B499/C499</f>
        <v/>
      </c>
      <c r="E499" t="n">
        <v>0.02</v>
      </c>
      <c r="F499">
        <f>A499*1024/(C499*0.000001)/1000000000*C495</f>
        <v/>
      </c>
      <c r="G499">
        <f>E499/F499</f>
        <v/>
      </c>
    </row>
    <row r="500">
      <c r="A500" t="n">
        <v>2</v>
      </c>
      <c r="B500" t="n">
        <v>114.91</v>
      </c>
      <c r="C500">
        <f>C496+A500*1024*C494</f>
        <v/>
      </c>
      <c r="D500">
        <f>B500/C500</f>
        <v/>
      </c>
      <c r="E500" t="n">
        <v>0.03</v>
      </c>
      <c r="F500">
        <f>A500*1024/(C500*0.000001)/1000000000*C495</f>
        <v/>
      </c>
      <c r="G500">
        <f>E500/F500</f>
        <v/>
      </c>
    </row>
    <row r="501">
      <c r="A501" t="n">
        <v>4</v>
      </c>
      <c r="B501" t="n">
        <v>119.99</v>
      </c>
      <c r="C501">
        <f>C496+A501*1024*C494</f>
        <v/>
      </c>
      <c r="D501">
        <f>B501/C501</f>
        <v/>
      </c>
      <c r="E501" t="n">
        <v>0.06</v>
      </c>
      <c r="F501">
        <f>A501*1024/(C501*0.000001)/1000000000*C495</f>
        <v/>
      </c>
      <c r="G501">
        <f>E501/F501</f>
        <v/>
      </c>
    </row>
    <row r="502">
      <c r="A502" t="n">
        <v>8</v>
      </c>
      <c r="B502" t="n">
        <v>128.77</v>
      </c>
      <c r="C502">
        <f>C496+A502*1024*C494</f>
        <v/>
      </c>
      <c r="D502">
        <f>B502/C502</f>
        <v/>
      </c>
      <c r="E502" t="n">
        <v>0.11</v>
      </c>
      <c r="F502">
        <f>A502*1024/(C502*0.000001)/1000000000*C495</f>
        <v/>
      </c>
      <c r="G502">
        <f>E502/F502</f>
        <v/>
      </c>
    </row>
    <row r="503">
      <c r="A503" t="n">
        <v>16</v>
      </c>
      <c r="B503" t="n">
        <v>134.8</v>
      </c>
      <c r="C503">
        <f>C496+A503*1024*C494</f>
        <v/>
      </c>
      <c r="D503">
        <f>B503/C503</f>
        <v/>
      </c>
      <c r="E503" t="n">
        <v>0.21</v>
      </c>
      <c r="F503">
        <f>A503*1024/(C503*0.000001)/1000000000*C495</f>
        <v/>
      </c>
      <c r="G503">
        <f>E503/F503</f>
        <v/>
      </c>
    </row>
    <row r="504">
      <c r="A504" t="n">
        <v>32</v>
      </c>
      <c r="B504" t="n">
        <v>138.55</v>
      </c>
      <c r="C504">
        <f>C496+A504*1024*C494</f>
        <v/>
      </c>
      <c r="D504">
        <f>B504/C504</f>
        <v/>
      </c>
      <c r="E504" t="n">
        <v>0.41</v>
      </c>
      <c r="F504">
        <f>A504*1024/(C504*0.000001)/1000000000*C495</f>
        <v/>
      </c>
      <c r="G504">
        <f>E504/F504</f>
        <v/>
      </c>
    </row>
    <row r="505">
      <c r="A505" t="n">
        <v>64</v>
      </c>
      <c r="B505" t="n">
        <v>138.54</v>
      </c>
      <c r="C505">
        <f>C496+A505*1024*C494</f>
        <v/>
      </c>
      <c r="D505">
        <f>B505/C505</f>
        <v/>
      </c>
      <c r="E505" t="n">
        <v>0.83</v>
      </c>
      <c r="F505">
        <f>A505*1024/(C505*0.000001)/1000000000*C495</f>
        <v/>
      </c>
      <c r="G505">
        <f>E505/F505</f>
        <v/>
      </c>
    </row>
    <row r="506">
      <c r="A506" t="n">
        <v>128</v>
      </c>
      <c r="B506" t="n">
        <v>147.82</v>
      </c>
      <c r="C506">
        <f>C496+A506*1024*C494</f>
        <v/>
      </c>
      <c r="D506">
        <f>B506/C506</f>
        <v/>
      </c>
      <c r="E506" t="n">
        <v>1.55</v>
      </c>
      <c r="F506">
        <f>A506*1024/(C506*0.000001)/1000000000*C495</f>
        <v/>
      </c>
      <c r="G506">
        <f>E506/F506</f>
        <v/>
      </c>
    </row>
    <row r="507">
      <c r="A507" t="n">
        <v>256</v>
      </c>
      <c r="B507" t="n">
        <v>170.81</v>
      </c>
      <c r="C507">
        <f>C496+A507*1024*C494</f>
        <v/>
      </c>
      <c r="D507">
        <f>B507/C507</f>
        <v/>
      </c>
      <c r="E507" t="n">
        <v>2.69</v>
      </c>
      <c r="F507">
        <f>A507*1024/(C507*0.000001)/1000000000*C495</f>
        <v/>
      </c>
      <c r="G507">
        <f>E507/F507</f>
        <v/>
      </c>
    </row>
    <row r="508">
      <c r="A508" t="n">
        <v>512</v>
      </c>
      <c r="B508" t="n">
        <v>197.17</v>
      </c>
      <c r="C508">
        <f>C496+A508*1024*C494</f>
        <v/>
      </c>
      <c r="D508">
        <f>B508/C508</f>
        <v/>
      </c>
      <c r="E508" t="n">
        <v>4.65</v>
      </c>
      <c r="F508">
        <f>A508*1024/(C508*0.000001)/1000000000*C495</f>
        <v/>
      </c>
      <c r="G508">
        <f>E508/F508</f>
        <v/>
      </c>
    </row>
    <row r="509">
      <c r="A509" t="n">
        <v>1024</v>
      </c>
      <c r="B509" t="n">
        <v>252.32</v>
      </c>
      <c r="C509">
        <f>C496+A509*1024*C494</f>
        <v/>
      </c>
      <c r="D509">
        <f>B509/C509</f>
        <v/>
      </c>
      <c r="E509" t="n">
        <v>7.27</v>
      </c>
      <c r="F509">
        <f>A509*1024/(C509*0.000001)/1000000000*C495</f>
        <v/>
      </c>
      <c r="G509">
        <f>E509/F509</f>
        <v/>
      </c>
    </row>
    <row r="510">
      <c r="A510" t="n">
        <v>2048</v>
      </c>
      <c r="B510" t="n">
        <v>355.06</v>
      </c>
      <c r="C510">
        <f>C496+A510*1024*C494</f>
        <v/>
      </c>
      <c r="D510">
        <f>B510/C510</f>
        <v/>
      </c>
      <c r="E510" t="n">
        <v>10.34</v>
      </c>
      <c r="F510">
        <f>A510*1024/(C510*0.000001)/1000000000*C495</f>
        <v/>
      </c>
      <c r="G510">
        <f>E510/F510</f>
        <v/>
      </c>
    </row>
    <row r="511">
      <c r="A511" t="n">
        <v>4096</v>
      </c>
      <c r="B511" t="n">
        <v>721.91</v>
      </c>
      <c r="C511">
        <f>C496+A511*1024*C494</f>
        <v/>
      </c>
      <c r="D511">
        <f>B511/C511</f>
        <v/>
      </c>
      <c r="E511" t="n">
        <v>10.17</v>
      </c>
      <c r="F511">
        <f>A511*1024/(C511*0.000001)/1000000000*C495</f>
        <v/>
      </c>
      <c r="G511">
        <f>E511/F511</f>
        <v/>
      </c>
    </row>
    <row r="512">
      <c r="A512" t="n">
        <v>8192</v>
      </c>
      <c r="B512" t="n">
        <v>1388.66</v>
      </c>
      <c r="C512">
        <f>C496+A512*1024*C494</f>
        <v/>
      </c>
      <c r="D512">
        <f>B512/C512</f>
        <v/>
      </c>
      <c r="E512" t="n">
        <v>10.57</v>
      </c>
      <c r="F512">
        <f>A512*1024/(C512*0.000001)/1000000000*C495</f>
        <v/>
      </c>
      <c r="G512">
        <f>E512/F512</f>
        <v/>
      </c>
    </row>
    <row r="513">
      <c r="A513" t="n">
        <v>16384</v>
      </c>
      <c r="B513" t="n">
        <v>2711.87</v>
      </c>
      <c r="C513">
        <f>C496+A513*1024*C494</f>
        <v/>
      </c>
      <c r="D513">
        <f>B513/C513</f>
        <v/>
      </c>
      <c r="E513" t="n">
        <v>10.83</v>
      </c>
      <c r="F513">
        <f>A513*1024/(C513*0.000001)/1000000000*C495</f>
        <v/>
      </c>
      <c r="G513">
        <f>E513/F513</f>
        <v/>
      </c>
    </row>
    <row r="514">
      <c r="A514" t="n">
        <v>32768</v>
      </c>
      <c r="B514" t="n">
        <v>5387.39</v>
      </c>
      <c r="C514">
        <f>C496+A514*1024*C494</f>
        <v/>
      </c>
      <c r="D514">
        <f>B514/C514</f>
        <v/>
      </c>
      <c r="E514" t="n">
        <v>10.9</v>
      </c>
      <c r="F514">
        <f>A514*1024/(C514*0.000001)/1000000000*C495</f>
        <v/>
      </c>
      <c r="G514">
        <f>E514/F514</f>
        <v/>
      </c>
    </row>
    <row r="515">
      <c r="A515" t="n">
        <v>65536</v>
      </c>
      <c r="B515" t="n">
        <v>5515.45</v>
      </c>
      <c r="C515">
        <f>C496+A515*1024*C494</f>
        <v/>
      </c>
      <c r="D515">
        <f>B515/C515</f>
        <v/>
      </c>
      <c r="E515" t="n">
        <v>21.29</v>
      </c>
      <c r="F515">
        <f>A515*1024/(C515*0.000001)/1000000000*C495</f>
        <v/>
      </c>
      <c r="G515">
        <f>E515/F515</f>
        <v/>
      </c>
    </row>
    <row r="516">
      <c r="A516" t="n">
        <v>131072</v>
      </c>
      <c r="B516" t="n">
        <v>7390.81</v>
      </c>
      <c r="C516">
        <f>C496+A516*1024*C494</f>
        <v/>
      </c>
      <c r="D516">
        <f>B516/C516</f>
        <v/>
      </c>
      <c r="E516" t="n">
        <v>31.78</v>
      </c>
      <c r="F516">
        <f>A516*1024/(C516*0.000001)/1000000000*C495</f>
        <v/>
      </c>
      <c r="G516">
        <f>E516/F516</f>
        <v/>
      </c>
    </row>
    <row r="517">
      <c r="A517" t="n">
        <v>262144</v>
      </c>
      <c r="B517" t="n">
        <v>14593.4</v>
      </c>
      <c r="C517">
        <f>C496+A517*1024*C494</f>
        <v/>
      </c>
      <c r="D517">
        <f>B517/C517</f>
        <v/>
      </c>
      <c r="E517" t="n">
        <v>32.19</v>
      </c>
      <c r="F517">
        <f>A517*1024/(C517*0.000001)/1000000000*C495</f>
        <v/>
      </c>
      <c r="G517">
        <f>E517/F517</f>
        <v/>
      </c>
    </row>
    <row r="518">
      <c r="A518" t="n">
        <v>524288</v>
      </c>
      <c r="B518" t="n">
        <v>29108.3</v>
      </c>
      <c r="C518">
        <f>C496+A518*1024*C494</f>
        <v/>
      </c>
      <c r="D518">
        <f>B518/C518</f>
        <v/>
      </c>
      <c r="E518" t="n">
        <v>32.28</v>
      </c>
      <c r="F518">
        <f>A518*1024/(C518*0.000001)/1000000000*C495</f>
        <v/>
      </c>
      <c r="G518">
        <f>E518/F518</f>
        <v/>
      </c>
    </row>
    <row r="519">
      <c r="A519" t="n">
        <v>1048576</v>
      </c>
      <c r="B519" t="n">
        <v>56640.6</v>
      </c>
      <c r="C519">
        <f>C496+A519*1024*C494</f>
        <v/>
      </c>
      <c r="D519">
        <f>B519/C519</f>
        <v/>
      </c>
      <c r="E519" t="n">
        <v>33.17</v>
      </c>
      <c r="F519">
        <f>A519*1024/(C519*0.000001)/1000000000*C495</f>
        <v/>
      </c>
      <c r="G519">
        <f>E519/F519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2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Nodes: 16, Protocol: Simple, Channels: 1</t>
        </is>
      </c>
    </row>
    <row r="2">
      <c r="A2" t="inlineStr">
        <is>
          <t>Parameter</t>
        </is>
      </c>
      <c r="B2" t="inlineStr">
        <is>
          <t>Formula</t>
        </is>
      </c>
      <c r="C2" t="inlineStr">
        <is>
          <t>Value</t>
        </is>
      </c>
    </row>
    <row r="3">
      <c r="A3" t="inlineStr">
        <is>
          <t>n</t>
        </is>
      </c>
      <c r="B3" t="inlineStr">
        <is>
          <t>nodes on ring</t>
        </is>
      </c>
      <c r="C3" t="n">
        <v>16</v>
      </c>
    </row>
    <row r="4">
      <c r="A4" t="inlineStr">
        <is>
          <t>nch</t>
        </is>
      </c>
      <c r="B4" t="inlineStr">
        <is>
          <t>channels</t>
        </is>
      </c>
      <c r="C4" t="n">
        <v>1</v>
      </c>
    </row>
    <row r="5">
      <c r="A5" t="inlineStr">
        <is>
          <t>a</t>
        </is>
      </c>
      <c r="B5" t="inlineStr">
        <is>
          <t>RTT (us)</t>
        </is>
      </c>
      <c r="C5" t="n">
        <v>25.8107</v>
      </c>
    </row>
    <row r="6">
      <c r="A6" t="inlineStr">
        <is>
          <t>NIC_BW</t>
        </is>
      </c>
      <c r="B6" t="inlineStr">
        <is>
          <t>bytes/us</t>
        </is>
      </c>
      <c r="C6" t="n">
        <v>48750</v>
      </c>
    </row>
    <row r="7">
      <c r="A7" t="inlineStr">
        <is>
          <t>G</t>
        </is>
      </c>
      <c r="B7" t="inlineStr">
        <is>
          <t>2*(n-1)/(n*NIC_BW)</t>
        </is>
      </c>
      <c r="C7">
        <f>2*(C3-1)/(C3*C6)</f>
        <v/>
      </c>
    </row>
    <row r="8">
      <c r="A8" t="inlineStr">
        <is>
          <t>busbw_factor</t>
        </is>
      </c>
      <c r="B8" t="inlineStr">
        <is>
          <t>2*(n-1)/n</t>
        </is>
      </c>
      <c r="C8">
        <f>2*(C3-1)/C3</f>
        <v/>
      </c>
    </row>
    <row r="9">
      <c r="A9" t="inlineStr">
        <is>
          <t>fixed_per_step</t>
        </is>
      </c>
      <c r="B9" t="inlineStr">
        <is>
          <t>(2*n-2)*(a/2)</t>
        </is>
      </c>
      <c r="C9">
        <f>(2*C3-2)*(C5/2)</f>
        <v/>
      </c>
    </row>
    <row r="10"/>
    <row r="11">
      <c r="A11" t="inlineStr">
        <is>
          <t>size_KB</t>
        </is>
      </c>
      <c r="B11" t="inlineStr">
        <is>
          <t>Actual Time (us)</t>
        </is>
      </c>
      <c r="C11" t="inlineStr">
        <is>
          <t>Roofline Time (us)</t>
        </is>
      </c>
      <c r="D11" t="inlineStr">
        <is>
          <t>Actual/Roofline</t>
        </is>
      </c>
      <c r="E11" t="inlineStr">
        <is>
          <t>Actual busBW (GB/s)</t>
        </is>
      </c>
      <c r="F11" t="inlineStr">
        <is>
          <t>Roofline busBW (GB/s)</t>
        </is>
      </c>
      <c r="G11" t="inlineStr">
        <is>
          <t>Meas/Roof busBW</t>
        </is>
      </c>
    </row>
    <row r="12">
      <c r="A12" t="n">
        <v>1</v>
      </c>
      <c r="B12" t="n">
        <v>627.3099999999999</v>
      </c>
      <c r="C12">
        <f>C9*CEILING(A12*1024/(C3*C4*MIN(4*1024*1024,A12*1024/(C3*C4))),1)+A12*1024*C7</f>
        <v/>
      </c>
      <c r="D12">
        <f>B12/C12</f>
        <v/>
      </c>
      <c r="E12" t="n">
        <v>0</v>
      </c>
      <c r="F12">
        <f>A12*1024/(C12*0.000001)/1000000000*C8</f>
        <v/>
      </c>
      <c r="G12">
        <f>E12/F12</f>
        <v/>
      </c>
    </row>
    <row r="13">
      <c r="A13" t="n">
        <v>2</v>
      </c>
      <c r="B13" t="n">
        <v>626.26</v>
      </c>
      <c r="C13">
        <f>C9*CEILING(A13*1024/(C3*C4*MIN(4*1024*1024,A13*1024/(C3*C4))),1)+A13*1024*C7</f>
        <v/>
      </c>
      <c r="D13">
        <f>B13/C13</f>
        <v/>
      </c>
      <c r="E13" t="n">
        <v>0.01</v>
      </c>
      <c r="F13">
        <f>A13*1024/(C13*0.000001)/1000000000*C8</f>
        <v/>
      </c>
      <c r="G13">
        <f>E13/F13</f>
        <v/>
      </c>
    </row>
    <row r="14">
      <c r="A14" t="n">
        <v>4</v>
      </c>
      <c r="B14" t="n">
        <v>624.41</v>
      </c>
      <c r="C14">
        <f>C9*CEILING(A14*1024/(C3*C4*MIN(4*1024*1024,A14*1024/(C3*C4))),1)+A14*1024*C7</f>
        <v/>
      </c>
      <c r="D14">
        <f>B14/C14</f>
        <v/>
      </c>
      <c r="E14" t="n">
        <v>0.01</v>
      </c>
      <c r="F14">
        <f>A14*1024/(C14*0.000001)/1000000000*C8</f>
        <v/>
      </c>
      <c r="G14">
        <f>E14/F14</f>
        <v/>
      </c>
    </row>
    <row r="15">
      <c r="A15" t="n">
        <v>8</v>
      </c>
      <c r="B15" t="n">
        <v>625.86</v>
      </c>
      <c r="C15">
        <f>C9*CEILING(A15*1024/(C3*C4*MIN(4*1024*1024,A15*1024/(C3*C4))),1)+A15*1024*C7</f>
        <v/>
      </c>
      <c r="D15">
        <f>B15/C15</f>
        <v/>
      </c>
      <c r="E15" t="n">
        <v>0.02</v>
      </c>
      <c r="F15">
        <f>A15*1024/(C15*0.000001)/1000000000*C8</f>
        <v/>
      </c>
      <c r="G15">
        <f>E15/F15</f>
        <v/>
      </c>
    </row>
    <row r="16">
      <c r="A16" t="n">
        <v>16</v>
      </c>
      <c r="B16" t="n">
        <v>629.62</v>
      </c>
      <c r="C16">
        <f>C9*CEILING(A16*1024/(C3*C4*MIN(4*1024*1024,A16*1024/(C3*C4))),1)+A16*1024*C7</f>
        <v/>
      </c>
      <c r="D16">
        <f>B16/C16</f>
        <v/>
      </c>
      <c r="E16" t="n">
        <v>0.05</v>
      </c>
      <c r="F16">
        <f>A16*1024/(C16*0.000001)/1000000000*C8</f>
        <v/>
      </c>
      <c r="G16">
        <f>E16/F16</f>
        <v/>
      </c>
    </row>
    <row r="17">
      <c r="A17" t="n">
        <v>32</v>
      </c>
      <c r="B17" t="n">
        <v>639.23</v>
      </c>
      <c r="C17">
        <f>C9*CEILING(A17*1024/(C3*C4*MIN(4*1024*1024,A17*1024/(C3*C4))),1)+A17*1024*C7</f>
        <v/>
      </c>
      <c r="D17">
        <f>B17/C17</f>
        <v/>
      </c>
      <c r="E17" t="n">
        <v>0.1</v>
      </c>
      <c r="F17">
        <f>A17*1024/(C17*0.000001)/1000000000*C8</f>
        <v/>
      </c>
      <c r="G17">
        <f>E17/F17</f>
        <v/>
      </c>
    </row>
    <row r="18">
      <c r="A18" t="n">
        <v>64</v>
      </c>
      <c r="B18" t="n">
        <v>662.83</v>
      </c>
      <c r="C18">
        <f>C9*CEILING(A18*1024/(C3*C4*MIN(4*1024*1024,A18*1024/(C3*C4))),1)+A18*1024*C7</f>
        <v/>
      </c>
      <c r="D18">
        <f>B18/C18</f>
        <v/>
      </c>
      <c r="E18" t="n">
        <v>0.19</v>
      </c>
      <c r="F18">
        <f>A18*1024/(C18*0.000001)/1000000000*C8</f>
        <v/>
      </c>
      <c r="G18">
        <f>E18/F18</f>
        <v/>
      </c>
    </row>
    <row r="19">
      <c r="A19" t="n">
        <v>128</v>
      </c>
      <c r="B19" t="n">
        <v>717.59</v>
      </c>
      <c r="C19">
        <f>C9*CEILING(A19*1024/(C3*C4*MIN(4*1024*1024,A19*1024/(C3*C4))),1)+A19*1024*C7</f>
        <v/>
      </c>
      <c r="D19">
        <f>B19/C19</f>
        <v/>
      </c>
      <c r="E19" t="n">
        <v>0.34</v>
      </c>
      <c r="F19">
        <f>A19*1024/(C19*0.000001)/1000000000*C8</f>
        <v/>
      </c>
      <c r="G19">
        <f>E19/F19</f>
        <v/>
      </c>
    </row>
    <row r="20">
      <c r="A20" t="n">
        <v>256</v>
      </c>
      <c r="B20" t="n">
        <v>843.3200000000001</v>
      </c>
      <c r="C20">
        <f>C9*CEILING(A20*1024/(C3*C4*MIN(4*1024*1024,A20*1024/(C3*C4))),1)+A20*1024*C7</f>
        <v/>
      </c>
      <c r="D20">
        <f>B20/C20</f>
        <v/>
      </c>
      <c r="E20" t="n">
        <v>0.58</v>
      </c>
      <c r="F20">
        <f>A20*1024/(C20*0.000001)/1000000000*C8</f>
        <v/>
      </c>
      <c r="G20">
        <f>E20/F20</f>
        <v/>
      </c>
    </row>
    <row r="21">
      <c r="A21" t="n">
        <v>512</v>
      </c>
      <c r="B21" t="n">
        <v>936.04</v>
      </c>
      <c r="C21">
        <f>C9*CEILING(A21*1024/(C3*C4*MIN(4*1024*1024,A21*1024/(C3*C4))),1)+A21*1024*C7</f>
        <v/>
      </c>
      <c r="D21">
        <f>B21/C21</f>
        <v/>
      </c>
      <c r="E21" t="n">
        <v>1.05</v>
      </c>
      <c r="F21">
        <f>A21*1024/(C21*0.000001)/1000000000*C8</f>
        <v/>
      </c>
      <c r="G21">
        <f>E21/F21</f>
        <v/>
      </c>
    </row>
    <row r="22">
      <c r="A22" t="n">
        <v>1024</v>
      </c>
      <c r="B22" t="n">
        <v>1028.82</v>
      </c>
      <c r="C22">
        <f>C9*CEILING(A22*1024/(C3*C4*MIN(4*1024*1024,A22*1024/(C3*C4))),1)+A22*1024*C7</f>
        <v/>
      </c>
      <c r="D22">
        <f>B22/C22</f>
        <v/>
      </c>
      <c r="E22" t="n">
        <v>1.91</v>
      </c>
      <c r="F22">
        <f>A22*1024/(C22*0.000001)/1000000000*C8</f>
        <v/>
      </c>
      <c r="G22">
        <f>E22/F22</f>
        <v/>
      </c>
    </row>
    <row r="23">
      <c r="A23" t="n">
        <v>2048</v>
      </c>
      <c r="B23" t="n">
        <v>1044.85</v>
      </c>
      <c r="C23">
        <f>C9*CEILING(A23*1024/(C3*C4*MIN(4*1024*1024,A23*1024/(C3*C4))),1)+A23*1024*C7</f>
        <v/>
      </c>
      <c r="D23">
        <f>B23/C23</f>
        <v/>
      </c>
      <c r="E23" t="n">
        <v>3.76</v>
      </c>
      <c r="F23">
        <f>A23*1024/(C23*0.000001)/1000000000*C8</f>
        <v/>
      </c>
      <c r="G23">
        <f>E23/F23</f>
        <v/>
      </c>
    </row>
    <row r="24">
      <c r="A24" t="n">
        <v>4096</v>
      </c>
      <c r="B24" t="n">
        <v>1247.9</v>
      </c>
      <c r="C24">
        <f>C9*CEILING(A24*1024/(C3*C4*MIN(4*1024*1024,A24*1024/(C3*C4))),1)+A24*1024*C7</f>
        <v/>
      </c>
      <c r="D24">
        <f>B24/C24</f>
        <v/>
      </c>
      <c r="E24" t="n">
        <v>6.3</v>
      </c>
      <c r="F24">
        <f>A24*1024/(C24*0.000001)/1000000000*C8</f>
        <v/>
      </c>
      <c r="G24">
        <f>E24/F24</f>
        <v/>
      </c>
    </row>
    <row r="25">
      <c r="A25" t="n">
        <v>8192</v>
      </c>
      <c r="B25" t="n">
        <v>1436.85</v>
      </c>
      <c r="C25">
        <f>C9*CEILING(A25*1024/(C3*C4*MIN(4*1024*1024,A25*1024/(C3*C4))),1)+A25*1024*C7</f>
        <v/>
      </c>
      <c r="D25">
        <f>B25/C25</f>
        <v/>
      </c>
      <c r="E25" t="n">
        <v>10.95</v>
      </c>
      <c r="F25">
        <f>A25*1024/(C25*0.000001)/1000000000*C8</f>
        <v/>
      </c>
      <c r="G25">
        <f>E25/F25</f>
        <v/>
      </c>
    </row>
    <row r="26">
      <c r="A26" t="n">
        <v>16384</v>
      </c>
      <c r="B26" t="n">
        <v>1962.5</v>
      </c>
      <c r="C26">
        <f>C9*CEILING(A26*1024/(C3*C4*MIN(4*1024*1024,A26*1024/(C3*C4))),1)+A26*1024*C7</f>
        <v/>
      </c>
      <c r="D26">
        <f>B26/C26</f>
        <v/>
      </c>
      <c r="E26" t="n">
        <v>16.03</v>
      </c>
      <c r="F26">
        <f>A26*1024/(C26*0.000001)/1000000000*C8</f>
        <v/>
      </c>
      <c r="G26">
        <f>E26/F26</f>
        <v/>
      </c>
    </row>
    <row r="27">
      <c r="A27" t="n">
        <v>32768</v>
      </c>
      <c r="B27" t="n">
        <v>2948.99</v>
      </c>
      <c r="C27">
        <f>C9*CEILING(A27*1024/(C3*C4*MIN(4*1024*1024,A27*1024/(C3*C4))),1)+A27*1024*C7</f>
        <v/>
      </c>
      <c r="D27">
        <f>B27/C27</f>
        <v/>
      </c>
      <c r="E27" t="n">
        <v>21.33</v>
      </c>
      <c r="F27">
        <f>A27*1024/(C27*0.000001)/1000000000*C8</f>
        <v/>
      </c>
      <c r="G27">
        <f>E27/F27</f>
        <v/>
      </c>
    </row>
    <row r="28">
      <c r="A28" t="n">
        <v>65536</v>
      </c>
      <c r="B28" t="n">
        <v>4877.79</v>
      </c>
      <c r="C28">
        <f>C9*CEILING(A28*1024/(C3*C4*MIN(4*1024*1024,A28*1024/(C3*C4))),1)+A28*1024*C7</f>
        <v/>
      </c>
      <c r="D28">
        <f>B28/C28</f>
        <v/>
      </c>
      <c r="E28" t="n">
        <v>25.8</v>
      </c>
      <c r="F28">
        <f>A28*1024/(C28*0.000001)/1000000000*C8</f>
        <v/>
      </c>
      <c r="G28">
        <f>E28/F28</f>
        <v/>
      </c>
    </row>
    <row r="29">
      <c r="A29" t="n">
        <v>131072</v>
      </c>
      <c r="B29" t="n">
        <v>9665.76</v>
      </c>
      <c r="C29">
        <f>C9*CEILING(A29*1024/(C3*C4*MIN(4*1024*1024,A29*1024/(C3*C4))),1)+A29*1024*C7</f>
        <v/>
      </c>
      <c r="D29">
        <f>B29/C29</f>
        <v/>
      </c>
      <c r="E29" t="n">
        <v>26.04</v>
      </c>
      <c r="F29">
        <f>A29*1024/(C29*0.000001)/1000000000*C8</f>
        <v/>
      </c>
      <c r="G29">
        <f>E29/F29</f>
        <v/>
      </c>
    </row>
    <row r="30">
      <c r="A30" t="n">
        <v>262144</v>
      </c>
      <c r="B30" t="n">
        <v>19367.2</v>
      </c>
      <c r="C30">
        <f>C9*CEILING(A30*1024/(C3*C4*MIN(4*1024*1024,A30*1024/(C3*C4))),1)+A30*1024*C7</f>
        <v/>
      </c>
      <c r="D30">
        <f>B30/C30</f>
        <v/>
      </c>
      <c r="E30" t="n">
        <v>25.99</v>
      </c>
      <c r="F30">
        <f>A30*1024/(C30*0.000001)/1000000000*C8</f>
        <v/>
      </c>
      <c r="G30">
        <f>E30/F30</f>
        <v/>
      </c>
    </row>
    <row r="31">
      <c r="A31" t="n">
        <v>524288</v>
      </c>
      <c r="B31" t="n">
        <v>38627.3</v>
      </c>
      <c r="C31">
        <f>C9*CEILING(A31*1024/(C3*C4*MIN(4*1024*1024,A31*1024/(C3*C4))),1)+A31*1024*C7</f>
        <v/>
      </c>
      <c r="D31">
        <f>B31/C31</f>
        <v/>
      </c>
      <c r="E31" t="n">
        <v>26.06</v>
      </c>
      <c r="F31">
        <f>A31*1024/(C31*0.000001)/1000000000*C8</f>
        <v/>
      </c>
      <c r="G31">
        <f>E31/F31</f>
        <v/>
      </c>
    </row>
    <row r="32">
      <c r="A32" t="n">
        <v>1048576</v>
      </c>
      <c r="B32" t="n">
        <v>77264</v>
      </c>
      <c r="C32">
        <f>C9*CEILING(A32*1024/(C3*C4*MIN(4*1024*1024,A32*1024/(C3*C4))),1)+A32*1024*C7</f>
        <v/>
      </c>
      <c r="D32">
        <f>B32/C32</f>
        <v/>
      </c>
      <c r="E32" t="n">
        <v>26.06</v>
      </c>
      <c r="F32">
        <f>A32*1024/(C32*0.000001)/1000000000*C8</f>
        <v/>
      </c>
      <c r="G32">
        <f>E32/F32</f>
        <v/>
      </c>
    </row>
    <row r="33">
      <c r="A33" t="n">
        <v>2097152</v>
      </c>
      <c r="B33" t="n">
        <v>154365</v>
      </c>
      <c r="C33">
        <f>C9*CEILING(A33*1024/(C3*C4*MIN(4*1024*1024,A33*1024/(C3*C4))),1)+A33*1024*C7</f>
        <v/>
      </c>
      <c r="D33">
        <f>B33/C33</f>
        <v/>
      </c>
      <c r="E33" t="n">
        <v>26.08</v>
      </c>
      <c r="F33">
        <f>A33*1024/(C33*0.000001)/1000000000*C8</f>
        <v/>
      </c>
      <c r="G33">
        <f>E33/F33</f>
        <v/>
      </c>
    </row>
    <row r="34">
      <c r="A34" t="n">
        <v>4194304</v>
      </c>
      <c r="B34" t="n">
        <v>308351</v>
      </c>
      <c r="C34">
        <f>C9*CEILING(A34*1024/(C3*C4*MIN(4*1024*1024,A34*1024/(C3*C4))),1)+A34*1024*C7</f>
        <v/>
      </c>
      <c r="D34">
        <f>B34/C34</f>
        <v/>
      </c>
      <c r="E34" t="n">
        <v>26.12</v>
      </c>
      <c r="F34">
        <f>A34*1024/(C34*0.000001)/1000000000*C8</f>
        <v/>
      </c>
      <c r="G34">
        <f>E34/F34</f>
        <v/>
      </c>
    </row>
    <row r="35"/>
    <row r="36">
      <c r="A36" t="inlineStr">
        <is>
          <t>Nodes: 16, Protocol: Simple, Channels: 2</t>
        </is>
      </c>
    </row>
    <row r="37">
      <c r="A37" t="inlineStr">
        <is>
          <t>Parameter</t>
        </is>
      </c>
      <c r="B37" t="inlineStr">
        <is>
          <t>Formula</t>
        </is>
      </c>
      <c r="C37" t="inlineStr">
        <is>
          <t>Value</t>
        </is>
      </c>
    </row>
    <row r="38">
      <c r="A38" t="inlineStr">
        <is>
          <t>n</t>
        </is>
      </c>
      <c r="B38" t="inlineStr">
        <is>
          <t>nodes on ring</t>
        </is>
      </c>
      <c r="C38" t="n">
        <v>16</v>
      </c>
    </row>
    <row r="39">
      <c r="A39" t="inlineStr">
        <is>
          <t>nch</t>
        </is>
      </c>
      <c r="B39" t="inlineStr">
        <is>
          <t>channels</t>
        </is>
      </c>
      <c r="C39" t="n">
        <v>2</v>
      </c>
    </row>
    <row r="40">
      <c r="A40" t="inlineStr">
        <is>
          <t>a</t>
        </is>
      </c>
      <c r="B40" t="inlineStr">
        <is>
          <t>RTT (us)</t>
        </is>
      </c>
      <c r="C40" t="n">
        <v>25.8107</v>
      </c>
    </row>
    <row r="41">
      <c r="A41" t="inlineStr">
        <is>
          <t>NIC_BW</t>
        </is>
      </c>
      <c r="B41" t="inlineStr">
        <is>
          <t>bytes/us</t>
        </is>
      </c>
      <c r="C41" t="n">
        <v>48750</v>
      </c>
    </row>
    <row r="42">
      <c r="A42" t="inlineStr">
        <is>
          <t>G</t>
        </is>
      </c>
      <c r="B42" t="inlineStr">
        <is>
          <t>2*(n-1)/(n*NIC_BW)</t>
        </is>
      </c>
      <c r="C42">
        <f>2*(C38-1)/(C38*C41)</f>
        <v/>
      </c>
    </row>
    <row r="43">
      <c r="A43" t="inlineStr">
        <is>
          <t>busbw_factor</t>
        </is>
      </c>
      <c r="B43" t="inlineStr">
        <is>
          <t>2*(n-1)/n</t>
        </is>
      </c>
      <c r="C43">
        <f>2*(C38-1)/C38</f>
        <v/>
      </c>
    </row>
    <row r="44">
      <c r="A44" t="inlineStr">
        <is>
          <t>fixed_per_step</t>
        </is>
      </c>
      <c r="B44" t="inlineStr">
        <is>
          <t>(2*n-2)*(a/2)</t>
        </is>
      </c>
      <c r="C44">
        <f>(2*C38-2)*(C40/2)</f>
        <v/>
      </c>
    </row>
    <row r="45"/>
    <row r="46">
      <c r="A46" t="inlineStr">
        <is>
          <t>size_KB</t>
        </is>
      </c>
      <c r="B46" t="inlineStr">
        <is>
          <t>Actual Time (us)</t>
        </is>
      </c>
      <c r="C46" t="inlineStr">
        <is>
          <t>Roofline Time (us)</t>
        </is>
      </c>
      <c r="D46" t="inlineStr">
        <is>
          <t>Actual/Roofline</t>
        </is>
      </c>
      <c r="E46" t="inlineStr">
        <is>
          <t>Actual busBW (GB/s)</t>
        </is>
      </c>
      <c r="F46" t="inlineStr">
        <is>
          <t>Roofline busBW (GB/s)</t>
        </is>
      </c>
      <c r="G46" t="inlineStr">
        <is>
          <t>Meas/Roof busBW</t>
        </is>
      </c>
    </row>
    <row r="47">
      <c r="A47" t="n">
        <v>1</v>
      </c>
      <c r="B47" t="n">
        <v>628.05</v>
      </c>
      <c r="C47">
        <f>C44*CEILING(A47*1024/(C38*C39*MIN(4*1024*1024,A47*1024/(C38*C39))),1)+A47*1024*C42</f>
        <v/>
      </c>
      <c r="D47">
        <f>B47/C47</f>
        <v/>
      </c>
      <c r="E47" t="n">
        <v>0</v>
      </c>
      <c r="F47">
        <f>A47*1024/(C47*0.000001)/1000000000*C43</f>
        <v/>
      </c>
      <c r="G47">
        <f>E47/F47</f>
        <v/>
      </c>
    </row>
    <row r="48">
      <c r="A48" t="n">
        <v>2</v>
      </c>
      <c r="B48" t="n">
        <v>621.17</v>
      </c>
      <c r="C48">
        <f>C44*CEILING(A48*1024/(C38*C39*MIN(4*1024*1024,A48*1024/(C38*C39))),1)+A48*1024*C42</f>
        <v/>
      </c>
      <c r="D48">
        <f>B48/C48</f>
        <v/>
      </c>
      <c r="E48" t="n">
        <v>0.01</v>
      </c>
      <c r="F48">
        <f>A48*1024/(C48*0.000001)/1000000000*C43</f>
        <v/>
      </c>
      <c r="G48">
        <f>E48/F48</f>
        <v/>
      </c>
    </row>
    <row r="49">
      <c r="A49" t="n">
        <v>4</v>
      </c>
      <c r="B49" t="n">
        <v>621.65</v>
      </c>
      <c r="C49">
        <f>C44*CEILING(A49*1024/(C38*C39*MIN(4*1024*1024,A49*1024/(C38*C39))),1)+A49*1024*C42</f>
        <v/>
      </c>
      <c r="D49">
        <f>B49/C49</f>
        <v/>
      </c>
      <c r="E49" t="n">
        <v>0.01</v>
      </c>
      <c r="F49">
        <f>A49*1024/(C49*0.000001)/1000000000*C43</f>
        <v/>
      </c>
      <c r="G49">
        <f>E49/F49</f>
        <v/>
      </c>
    </row>
    <row r="50">
      <c r="A50" t="n">
        <v>8</v>
      </c>
      <c r="B50" t="n">
        <v>623.51</v>
      </c>
      <c r="C50">
        <f>C44*CEILING(A50*1024/(C38*C39*MIN(4*1024*1024,A50*1024/(C38*C39))),1)+A50*1024*C42</f>
        <v/>
      </c>
      <c r="D50">
        <f>B50/C50</f>
        <v/>
      </c>
      <c r="E50" t="n">
        <v>0.02</v>
      </c>
      <c r="F50">
        <f>A50*1024/(C50*0.000001)/1000000000*C43</f>
        <v/>
      </c>
      <c r="G50">
        <f>E50/F50</f>
        <v/>
      </c>
    </row>
    <row r="51">
      <c r="A51" t="n">
        <v>16</v>
      </c>
      <c r="B51" t="n">
        <v>626.75</v>
      </c>
      <c r="C51">
        <f>C44*CEILING(A51*1024/(C38*C39*MIN(4*1024*1024,A51*1024/(C38*C39))),1)+A51*1024*C42</f>
        <v/>
      </c>
      <c r="D51">
        <f>B51/C51</f>
        <v/>
      </c>
      <c r="E51" t="n">
        <v>0.05</v>
      </c>
      <c r="F51">
        <f>A51*1024/(C51*0.000001)/1000000000*C43</f>
        <v/>
      </c>
      <c r="G51">
        <f>E51/F51</f>
        <v/>
      </c>
    </row>
    <row r="52">
      <c r="A52" t="n">
        <v>32</v>
      </c>
      <c r="B52" t="n">
        <v>636.66</v>
      </c>
      <c r="C52">
        <f>C44*CEILING(A52*1024/(C38*C39*MIN(4*1024*1024,A52*1024/(C38*C39))),1)+A52*1024*C42</f>
        <v/>
      </c>
      <c r="D52">
        <f>B52/C52</f>
        <v/>
      </c>
      <c r="E52" t="n">
        <v>0.1</v>
      </c>
      <c r="F52">
        <f>A52*1024/(C52*0.000001)/1000000000*C43</f>
        <v/>
      </c>
      <c r="G52">
        <f>E52/F52</f>
        <v/>
      </c>
    </row>
    <row r="53">
      <c r="A53" t="n">
        <v>64</v>
      </c>
      <c r="B53" t="n">
        <v>662.79</v>
      </c>
      <c r="C53">
        <f>C44*CEILING(A53*1024/(C38*C39*MIN(4*1024*1024,A53*1024/(C38*C39))),1)+A53*1024*C42</f>
        <v/>
      </c>
      <c r="D53">
        <f>B53/C53</f>
        <v/>
      </c>
      <c r="E53" t="n">
        <v>0.19</v>
      </c>
      <c r="F53">
        <f>A53*1024/(C53*0.000001)/1000000000*C43</f>
        <v/>
      </c>
      <c r="G53">
        <f>E53/F53</f>
        <v/>
      </c>
    </row>
    <row r="54">
      <c r="A54" t="n">
        <v>128</v>
      </c>
      <c r="B54" t="n">
        <v>689.8</v>
      </c>
      <c r="C54">
        <f>C44*CEILING(A54*1024/(C38*C39*MIN(4*1024*1024,A54*1024/(C38*C39))),1)+A54*1024*C42</f>
        <v/>
      </c>
      <c r="D54">
        <f>B54/C54</f>
        <v/>
      </c>
      <c r="E54" t="n">
        <v>0.36</v>
      </c>
      <c r="F54">
        <f>A54*1024/(C54*0.000001)/1000000000*C43</f>
        <v/>
      </c>
      <c r="G54">
        <f>E54/F54</f>
        <v/>
      </c>
    </row>
    <row r="55">
      <c r="A55" t="n">
        <v>256</v>
      </c>
      <c r="B55" t="n">
        <v>743.26</v>
      </c>
      <c r="C55">
        <f>C44*CEILING(A55*1024/(C38*C39*MIN(4*1024*1024,A55*1024/(C38*C39))),1)+A55*1024*C42</f>
        <v/>
      </c>
      <c r="D55">
        <f>B55/C55</f>
        <v/>
      </c>
      <c r="E55" t="n">
        <v>0.66</v>
      </c>
      <c r="F55">
        <f>A55*1024/(C55*0.000001)/1000000000*C43</f>
        <v/>
      </c>
      <c r="G55">
        <f>E55/F55</f>
        <v/>
      </c>
    </row>
    <row r="56">
      <c r="A56" t="n">
        <v>512</v>
      </c>
      <c r="B56" t="n">
        <v>876.3200000000001</v>
      </c>
      <c r="C56">
        <f>C44*CEILING(A56*1024/(C38*C39*MIN(4*1024*1024,A56*1024/(C38*C39))),1)+A56*1024*C42</f>
        <v/>
      </c>
      <c r="D56">
        <f>B56/C56</f>
        <v/>
      </c>
      <c r="E56" t="n">
        <v>1.12</v>
      </c>
      <c r="F56">
        <f>A56*1024/(C56*0.000001)/1000000000*C43</f>
        <v/>
      </c>
      <c r="G56">
        <f>E56/F56</f>
        <v/>
      </c>
    </row>
    <row r="57">
      <c r="A57" t="n">
        <v>1024</v>
      </c>
      <c r="B57" t="n">
        <v>974.27</v>
      </c>
      <c r="C57">
        <f>C44*CEILING(A57*1024/(C38*C39*MIN(4*1024*1024,A57*1024/(C38*C39))),1)+A57*1024*C42</f>
        <v/>
      </c>
      <c r="D57">
        <f>B57/C57</f>
        <v/>
      </c>
      <c r="E57" t="n">
        <v>2.02</v>
      </c>
      <c r="F57">
        <f>A57*1024/(C57*0.000001)/1000000000*C43</f>
        <v/>
      </c>
      <c r="G57">
        <f>E57/F57</f>
        <v/>
      </c>
    </row>
    <row r="58">
      <c r="A58" t="n">
        <v>2048</v>
      </c>
      <c r="B58" t="n">
        <v>1068.17</v>
      </c>
      <c r="C58">
        <f>C44*CEILING(A58*1024/(C38*C39*MIN(4*1024*1024,A58*1024/(C38*C39))),1)+A58*1024*C42</f>
        <v/>
      </c>
      <c r="D58">
        <f>B58/C58</f>
        <v/>
      </c>
      <c r="E58" t="n">
        <v>3.68</v>
      </c>
      <c r="F58">
        <f>A58*1024/(C58*0.000001)/1000000000*C43</f>
        <v/>
      </c>
      <c r="G58">
        <f>E58/F58</f>
        <v/>
      </c>
    </row>
    <row r="59">
      <c r="A59" t="n">
        <v>4096</v>
      </c>
      <c r="B59" t="n">
        <v>1101.53</v>
      </c>
      <c r="C59">
        <f>C44*CEILING(A59*1024/(C38*C39*MIN(4*1024*1024,A59*1024/(C38*C39))),1)+A59*1024*C42</f>
        <v/>
      </c>
      <c r="D59">
        <f>B59/C59</f>
        <v/>
      </c>
      <c r="E59" t="n">
        <v>7.14</v>
      </c>
      <c r="F59">
        <f>A59*1024/(C59*0.000001)/1000000000*C43</f>
        <v/>
      </c>
      <c r="G59">
        <f>E59/F59</f>
        <v/>
      </c>
    </row>
    <row r="60">
      <c r="A60" t="n">
        <v>8192</v>
      </c>
      <c r="B60" t="n">
        <v>1346.22</v>
      </c>
      <c r="C60">
        <f>C44*CEILING(A60*1024/(C38*C39*MIN(4*1024*1024,A60*1024/(C38*C39))),1)+A60*1024*C42</f>
        <v/>
      </c>
      <c r="D60">
        <f>B60/C60</f>
        <v/>
      </c>
      <c r="E60" t="n">
        <v>11.68</v>
      </c>
      <c r="F60">
        <f>A60*1024/(C60*0.000001)/1000000000*C43</f>
        <v/>
      </c>
      <c r="G60">
        <f>E60/F60</f>
        <v/>
      </c>
    </row>
    <row r="61">
      <c r="A61" t="n">
        <v>16384</v>
      </c>
      <c r="B61" t="n">
        <v>1586.8</v>
      </c>
      <c r="C61">
        <f>C44*CEILING(A61*1024/(C38*C39*MIN(4*1024*1024,A61*1024/(C38*C39))),1)+A61*1024*C42</f>
        <v/>
      </c>
      <c r="D61">
        <f>B61/C61</f>
        <v/>
      </c>
      <c r="E61" t="n">
        <v>19.82</v>
      </c>
      <c r="F61">
        <f>A61*1024/(C61*0.000001)/1000000000*C43</f>
        <v/>
      </c>
      <c r="G61">
        <f>E61/F61</f>
        <v/>
      </c>
    </row>
    <row r="62">
      <c r="A62" t="n">
        <v>32768</v>
      </c>
      <c r="B62" t="n">
        <v>2215.87</v>
      </c>
      <c r="C62">
        <f>C44*CEILING(A62*1024/(C38*C39*MIN(4*1024*1024,A62*1024/(C38*C39))),1)+A62*1024*C42</f>
        <v/>
      </c>
      <c r="D62">
        <f>B62/C62</f>
        <v/>
      </c>
      <c r="E62" t="n">
        <v>28.39</v>
      </c>
      <c r="F62">
        <f>A62*1024/(C62*0.000001)/1000000000*C43</f>
        <v/>
      </c>
      <c r="G62">
        <f>E62/F62</f>
        <v/>
      </c>
    </row>
    <row r="63">
      <c r="A63" t="n">
        <v>65536</v>
      </c>
      <c r="B63" t="n">
        <v>3453.99</v>
      </c>
      <c r="C63">
        <f>C44*CEILING(A63*1024/(C38*C39*MIN(4*1024*1024,A63*1024/(C38*C39))),1)+A63*1024*C42</f>
        <v/>
      </c>
      <c r="D63">
        <f>B63/C63</f>
        <v/>
      </c>
      <c r="E63" t="n">
        <v>36.43</v>
      </c>
      <c r="F63">
        <f>A63*1024/(C63*0.000001)/1000000000*C43</f>
        <v/>
      </c>
      <c r="G63">
        <f>E63/F63</f>
        <v/>
      </c>
    </row>
    <row r="64">
      <c r="A64" t="n">
        <v>131072</v>
      </c>
      <c r="B64" t="n">
        <v>5974.01</v>
      </c>
      <c r="C64">
        <f>C44*CEILING(A64*1024/(C38*C39*MIN(4*1024*1024,A64*1024/(C38*C39))),1)+A64*1024*C42</f>
        <v/>
      </c>
      <c r="D64">
        <f>B64/C64</f>
        <v/>
      </c>
      <c r="E64" t="n">
        <v>42.13</v>
      </c>
      <c r="F64">
        <f>A64*1024/(C64*0.000001)/1000000000*C43</f>
        <v/>
      </c>
      <c r="G64">
        <f>E64/F64</f>
        <v/>
      </c>
    </row>
    <row r="65">
      <c r="A65" t="n">
        <v>262144</v>
      </c>
      <c r="B65" t="n">
        <v>11906.2</v>
      </c>
      <c r="C65">
        <f>C44*CEILING(A65*1024/(C38*C39*MIN(4*1024*1024,A65*1024/(C38*C39))),1)+A65*1024*C42</f>
        <v/>
      </c>
      <c r="D65">
        <f>B65/C65</f>
        <v/>
      </c>
      <c r="E65" t="n">
        <v>42.27</v>
      </c>
      <c r="F65">
        <f>A65*1024/(C65*0.000001)/1000000000*C43</f>
        <v/>
      </c>
      <c r="G65">
        <f>E65/F65</f>
        <v/>
      </c>
    </row>
    <row r="66">
      <c r="A66" t="n">
        <v>524288</v>
      </c>
      <c r="B66" t="n">
        <v>23751.5</v>
      </c>
      <c r="C66">
        <f>C44*CEILING(A66*1024/(C38*C39*MIN(4*1024*1024,A66*1024/(C38*C39))),1)+A66*1024*C42</f>
        <v/>
      </c>
      <c r="D66">
        <f>B66/C66</f>
        <v/>
      </c>
      <c r="E66" t="n">
        <v>42.38</v>
      </c>
      <c r="F66">
        <f>A66*1024/(C66*0.000001)/1000000000*C43</f>
        <v/>
      </c>
      <c r="G66">
        <f>E66/F66</f>
        <v/>
      </c>
    </row>
    <row r="67">
      <c r="A67" t="n">
        <v>1048576</v>
      </c>
      <c r="B67" t="n">
        <v>47527.9</v>
      </c>
      <c r="C67">
        <f>C44*CEILING(A67*1024/(C38*C39*MIN(4*1024*1024,A67*1024/(C38*C39))),1)+A67*1024*C42</f>
        <v/>
      </c>
      <c r="D67">
        <f>B67/C67</f>
        <v/>
      </c>
      <c r="E67" t="n">
        <v>42.36</v>
      </c>
      <c r="F67">
        <f>A67*1024/(C67*0.000001)/1000000000*C43</f>
        <v/>
      </c>
      <c r="G67">
        <f>E67/F67</f>
        <v/>
      </c>
    </row>
    <row r="68">
      <c r="A68" t="n">
        <v>2097152</v>
      </c>
      <c r="B68" t="n">
        <v>94888.5</v>
      </c>
      <c r="C68">
        <f>C44*CEILING(A68*1024/(C38*C39*MIN(4*1024*1024,A68*1024/(C38*C39))),1)+A68*1024*C42</f>
        <v/>
      </c>
      <c r="D68">
        <f>B68/C68</f>
        <v/>
      </c>
      <c r="E68" t="n">
        <v>42.43</v>
      </c>
      <c r="F68">
        <f>A68*1024/(C68*0.000001)/1000000000*C43</f>
        <v/>
      </c>
      <c r="G68">
        <f>E68/F68</f>
        <v/>
      </c>
    </row>
    <row r="69">
      <c r="A69" t="n">
        <v>4194304</v>
      </c>
      <c r="B69" t="n">
        <v>189582</v>
      </c>
      <c r="C69">
        <f>C44*CEILING(A69*1024/(C38*C39*MIN(4*1024*1024,A69*1024/(C38*C39))),1)+A69*1024*C42</f>
        <v/>
      </c>
      <c r="D69">
        <f>B69/C69</f>
        <v/>
      </c>
      <c r="E69" t="n">
        <v>42.48</v>
      </c>
      <c r="F69">
        <f>A69*1024/(C69*0.000001)/1000000000*C43</f>
        <v/>
      </c>
      <c r="G69">
        <f>E69/F69</f>
        <v/>
      </c>
    </row>
    <row r="70"/>
    <row r="71">
      <c r="A71" t="inlineStr">
        <is>
          <t>Nodes: 16, Protocol: Simple, Channels: 4</t>
        </is>
      </c>
    </row>
    <row r="72">
      <c r="A72" t="inlineStr">
        <is>
          <t>Parameter</t>
        </is>
      </c>
      <c r="B72" t="inlineStr">
        <is>
          <t>Formula</t>
        </is>
      </c>
      <c r="C72" t="inlineStr">
        <is>
          <t>Value</t>
        </is>
      </c>
    </row>
    <row r="73">
      <c r="A73" t="inlineStr">
        <is>
          <t>n</t>
        </is>
      </c>
      <c r="B73" t="inlineStr">
        <is>
          <t>nodes on ring</t>
        </is>
      </c>
      <c r="C73" t="n">
        <v>16</v>
      </c>
    </row>
    <row r="74">
      <c r="A74" t="inlineStr">
        <is>
          <t>nch</t>
        </is>
      </c>
      <c r="B74" t="inlineStr">
        <is>
          <t>channels</t>
        </is>
      </c>
      <c r="C74" t="n">
        <v>4</v>
      </c>
    </row>
    <row r="75">
      <c r="A75" t="inlineStr">
        <is>
          <t>a</t>
        </is>
      </c>
      <c r="B75" t="inlineStr">
        <is>
          <t>RTT (us)</t>
        </is>
      </c>
      <c r="C75" t="n">
        <v>25.8107</v>
      </c>
    </row>
    <row r="76">
      <c r="A76" t="inlineStr">
        <is>
          <t>NIC_BW</t>
        </is>
      </c>
      <c r="B76" t="inlineStr">
        <is>
          <t>bytes/us</t>
        </is>
      </c>
      <c r="C76" t="n">
        <v>48750</v>
      </c>
    </row>
    <row r="77">
      <c r="A77" t="inlineStr">
        <is>
          <t>G</t>
        </is>
      </c>
      <c r="B77" t="inlineStr">
        <is>
          <t>2*(n-1)/(n*NIC_BW)</t>
        </is>
      </c>
      <c r="C77">
        <f>2*(C73-1)/(C73*C76)</f>
        <v/>
      </c>
    </row>
    <row r="78">
      <c r="A78" t="inlineStr">
        <is>
          <t>busbw_factor</t>
        </is>
      </c>
      <c r="B78" t="inlineStr">
        <is>
          <t>2*(n-1)/n</t>
        </is>
      </c>
      <c r="C78">
        <f>2*(C73-1)/C73</f>
        <v/>
      </c>
    </row>
    <row r="79">
      <c r="A79" t="inlineStr">
        <is>
          <t>fixed_per_step</t>
        </is>
      </c>
      <c r="B79" t="inlineStr">
        <is>
          <t>(2*n-2)*(a/2)</t>
        </is>
      </c>
      <c r="C79">
        <f>(2*C73-2)*(C75/2)</f>
        <v/>
      </c>
    </row>
    <row r="80"/>
    <row r="81">
      <c r="A81" t="inlineStr">
        <is>
          <t>size_KB</t>
        </is>
      </c>
      <c r="B81" t="inlineStr">
        <is>
          <t>Actual Time (us)</t>
        </is>
      </c>
      <c r="C81" t="inlineStr">
        <is>
          <t>Roofline Time (us)</t>
        </is>
      </c>
      <c r="D81" t="inlineStr">
        <is>
          <t>Actual/Roofline</t>
        </is>
      </c>
      <c r="E81" t="inlineStr">
        <is>
          <t>Actual busBW (GB/s)</t>
        </is>
      </c>
      <c r="F81" t="inlineStr">
        <is>
          <t>Roofline busBW (GB/s)</t>
        </is>
      </c>
      <c r="G81" t="inlineStr">
        <is>
          <t>Meas/Roof busBW</t>
        </is>
      </c>
    </row>
    <row r="82">
      <c r="A82" t="n">
        <v>1</v>
      </c>
      <c r="B82" t="n">
        <v>634.73</v>
      </c>
      <c r="C82">
        <f>C79*CEILING(A82*1024/(C73*C74*MIN(4*1024*1024,A82*1024/(C73*C74))),1)+A82*1024*C77</f>
        <v/>
      </c>
      <c r="D82">
        <f>B82/C82</f>
        <v/>
      </c>
      <c r="E82" t="n">
        <v>0</v>
      </c>
      <c r="F82">
        <f>A82*1024/(C82*0.000001)/1000000000*C78</f>
        <v/>
      </c>
      <c r="G82">
        <f>E82/F82</f>
        <v/>
      </c>
    </row>
    <row r="83">
      <c r="A83" t="n">
        <v>2</v>
      </c>
      <c r="B83" t="n">
        <v>624.72</v>
      </c>
      <c r="C83">
        <f>C79*CEILING(A83*1024/(C73*C74*MIN(4*1024*1024,A83*1024/(C73*C74))),1)+A83*1024*C77</f>
        <v/>
      </c>
      <c r="D83">
        <f>B83/C83</f>
        <v/>
      </c>
      <c r="E83" t="n">
        <v>0.01</v>
      </c>
      <c r="F83">
        <f>A83*1024/(C83*0.000001)/1000000000*C78</f>
        <v/>
      </c>
      <c r="G83">
        <f>E83/F83</f>
        <v/>
      </c>
    </row>
    <row r="84">
      <c r="A84" t="n">
        <v>4</v>
      </c>
      <c r="B84" t="n">
        <v>621.49</v>
      </c>
      <c r="C84">
        <f>C79*CEILING(A84*1024/(C73*C74*MIN(4*1024*1024,A84*1024/(C73*C74))),1)+A84*1024*C77</f>
        <v/>
      </c>
      <c r="D84">
        <f>B84/C84</f>
        <v/>
      </c>
      <c r="E84" t="n">
        <v>0.01</v>
      </c>
      <c r="F84">
        <f>A84*1024/(C84*0.000001)/1000000000*C78</f>
        <v/>
      </c>
      <c r="G84">
        <f>E84/F84</f>
        <v/>
      </c>
    </row>
    <row r="85">
      <c r="A85" t="n">
        <v>8</v>
      </c>
      <c r="B85" t="n">
        <v>623.01</v>
      </c>
      <c r="C85">
        <f>C79*CEILING(A85*1024/(C73*C74*MIN(4*1024*1024,A85*1024/(C73*C74))),1)+A85*1024*C77</f>
        <v/>
      </c>
      <c r="D85">
        <f>B85/C85</f>
        <v/>
      </c>
      <c r="E85" t="n">
        <v>0.02</v>
      </c>
      <c r="F85">
        <f>A85*1024/(C85*0.000001)/1000000000*C78</f>
        <v/>
      </c>
      <c r="G85">
        <f>E85/F85</f>
        <v/>
      </c>
    </row>
    <row r="86">
      <c r="A86" t="n">
        <v>16</v>
      </c>
      <c r="B86" t="n">
        <v>626.86</v>
      </c>
      <c r="C86">
        <f>C79*CEILING(A86*1024/(C73*C74*MIN(4*1024*1024,A86*1024/(C73*C74))),1)+A86*1024*C77</f>
        <v/>
      </c>
      <c r="D86">
        <f>B86/C86</f>
        <v/>
      </c>
      <c r="E86" t="n">
        <v>0.05</v>
      </c>
      <c r="F86">
        <f>A86*1024/(C86*0.000001)/1000000000*C78</f>
        <v/>
      </c>
      <c r="G86">
        <f>E86/F86</f>
        <v/>
      </c>
    </row>
    <row r="87">
      <c r="A87" t="n">
        <v>32</v>
      </c>
      <c r="B87" t="n">
        <v>635.92</v>
      </c>
      <c r="C87">
        <f>C79*CEILING(A87*1024/(C73*C74*MIN(4*1024*1024,A87*1024/(C73*C74))),1)+A87*1024*C77</f>
        <v/>
      </c>
      <c r="D87">
        <f>B87/C87</f>
        <v/>
      </c>
      <c r="E87" t="n">
        <v>0.1</v>
      </c>
      <c r="F87">
        <f>A87*1024/(C87*0.000001)/1000000000*C78</f>
        <v/>
      </c>
      <c r="G87">
        <f>E87/F87</f>
        <v/>
      </c>
    </row>
    <row r="88">
      <c r="A88" t="n">
        <v>64</v>
      </c>
      <c r="B88" t="n">
        <v>660.71</v>
      </c>
      <c r="C88">
        <f>C79*CEILING(A88*1024/(C73*C74*MIN(4*1024*1024,A88*1024/(C73*C74))),1)+A88*1024*C77</f>
        <v/>
      </c>
      <c r="D88">
        <f>B88/C88</f>
        <v/>
      </c>
      <c r="E88" t="n">
        <v>0.19</v>
      </c>
      <c r="F88">
        <f>A88*1024/(C88*0.000001)/1000000000*C78</f>
        <v/>
      </c>
      <c r="G88">
        <f>E88/F88</f>
        <v/>
      </c>
    </row>
    <row r="89">
      <c r="A89" t="n">
        <v>128</v>
      </c>
      <c r="B89" t="n">
        <v>735.53</v>
      </c>
      <c r="C89">
        <f>C79*CEILING(A89*1024/(C73*C74*MIN(4*1024*1024,A89*1024/(C73*C74))),1)+A89*1024*C77</f>
        <v/>
      </c>
      <c r="D89">
        <f>B89/C89</f>
        <v/>
      </c>
      <c r="E89" t="n">
        <v>0.33</v>
      </c>
      <c r="F89">
        <f>A89*1024/(C89*0.000001)/1000000000*C78</f>
        <v/>
      </c>
      <c r="G89">
        <f>E89/F89</f>
        <v/>
      </c>
    </row>
    <row r="90">
      <c r="A90" t="n">
        <v>256</v>
      </c>
      <c r="B90" t="n">
        <v>766.12</v>
      </c>
      <c r="C90">
        <f>C79*CEILING(A90*1024/(C73*C74*MIN(4*1024*1024,A90*1024/(C73*C74))),1)+A90*1024*C77</f>
        <v/>
      </c>
      <c r="D90">
        <f>B90/C90</f>
        <v/>
      </c>
      <c r="E90" t="n">
        <v>0.64</v>
      </c>
      <c r="F90">
        <f>A90*1024/(C90*0.000001)/1000000000*C78</f>
        <v/>
      </c>
      <c r="G90">
        <f>E90/F90</f>
        <v/>
      </c>
    </row>
    <row r="91">
      <c r="A91" t="n">
        <v>512</v>
      </c>
      <c r="B91" t="n">
        <v>817.26</v>
      </c>
      <c r="C91">
        <f>C79*CEILING(A91*1024/(C73*C74*MIN(4*1024*1024,A91*1024/(C73*C74))),1)+A91*1024*C77</f>
        <v/>
      </c>
      <c r="D91">
        <f>B91/C91</f>
        <v/>
      </c>
      <c r="E91" t="n">
        <v>1.2</v>
      </c>
      <c r="F91">
        <f>A91*1024/(C91*0.000001)/1000000000*C78</f>
        <v/>
      </c>
      <c r="G91">
        <f>E91/F91</f>
        <v/>
      </c>
    </row>
    <row r="92">
      <c r="A92" t="n">
        <v>1024</v>
      </c>
      <c r="B92" t="n">
        <v>947.55</v>
      </c>
      <c r="C92">
        <f>C79*CEILING(A92*1024/(C73*C74*MIN(4*1024*1024,A92*1024/(C73*C74))),1)+A92*1024*C77</f>
        <v/>
      </c>
      <c r="D92">
        <f>B92/C92</f>
        <v/>
      </c>
      <c r="E92" t="n">
        <v>2.07</v>
      </c>
      <c r="F92">
        <f>A92*1024/(C92*0.000001)/1000000000*C78</f>
        <v/>
      </c>
      <c r="G92">
        <f>E92/F92</f>
        <v/>
      </c>
    </row>
    <row r="93">
      <c r="A93" t="n">
        <v>2048</v>
      </c>
      <c r="B93" t="n">
        <v>1044</v>
      </c>
      <c r="C93">
        <f>C79*CEILING(A93*1024/(C73*C74*MIN(4*1024*1024,A93*1024/(C73*C74))),1)+A93*1024*C77</f>
        <v/>
      </c>
      <c r="D93">
        <f>B93/C93</f>
        <v/>
      </c>
      <c r="E93" t="n">
        <v>3.77</v>
      </c>
      <c r="F93">
        <f>A93*1024/(C93*0.000001)/1000000000*C78</f>
        <v/>
      </c>
      <c r="G93">
        <f>E93/F93</f>
        <v/>
      </c>
    </row>
    <row r="94">
      <c r="A94" t="n">
        <v>4096</v>
      </c>
      <c r="B94" t="n">
        <v>1154.95</v>
      </c>
      <c r="C94">
        <f>C79*CEILING(A94*1024/(C73*C74*MIN(4*1024*1024,A94*1024/(C73*C74))),1)+A94*1024*C77</f>
        <v/>
      </c>
      <c r="D94">
        <f>B94/C94</f>
        <v/>
      </c>
      <c r="E94" t="n">
        <v>6.81</v>
      </c>
      <c r="F94">
        <f>A94*1024/(C94*0.000001)/1000000000*C78</f>
        <v/>
      </c>
      <c r="G94">
        <f>E94/F94</f>
        <v/>
      </c>
    </row>
    <row r="95">
      <c r="A95" t="n">
        <v>8192</v>
      </c>
      <c r="B95" t="n">
        <v>1202.42</v>
      </c>
      <c r="C95">
        <f>C79*CEILING(A95*1024/(C73*C74*MIN(4*1024*1024,A95*1024/(C73*C74))),1)+A95*1024*C77</f>
        <v/>
      </c>
      <c r="D95">
        <f>B95/C95</f>
        <v/>
      </c>
      <c r="E95" t="n">
        <v>13.08</v>
      </c>
      <c r="F95">
        <f>A95*1024/(C95*0.000001)/1000000000*C78</f>
        <v/>
      </c>
      <c r="G95">
        <f>E95/F95</f>
        <v/>
      </c>
    </row>
    <row r="96">
      <c r="A96" t="n">
        <v>16384</v>
      </c>
      <c r="B96" t="n">
        <v>1569.33</v>
      </c>
      <c r="C96">
        <f>C79*CEILING(A96*1024/(C73*C74*MIN(4*1024*1024,A96*1024/(C73*C74))),1)+A96*1024*C77</f>
        <v/>
      </c>
      <c r="D96">
        <f>B96/C96</f>
        <v/>
      </c>
      <c r="E96" t="n">
        <v>20.04</v>
      </c>
      <c r="F96">
        <f>A96*1024/(C96*0.000001)/1000000000*C78</f>
        <v/>
      </c>
      <c r="G96">
        <f>E96/F96</f>
        <v/>
      </c>
    </row>
    <row r="97">
      <c r="A97" t="n">
        <v>32768</v>
      </c>
      <c r="B97" t="n">
        <v>1942.52</v>
      </c>
      <c r="C97">
        <f>C79*CEILING(A97*1024/(C73*C74*MIN(4*1024*1024,A97*1024/(C73*C74))),1)+A97*1024*C77</f>
        <v/>
      </c>
      <c r="D97">
        <f>B97/C97</f>
        <v/>
      </c>
      <c r="E97" t="n">
        <v>32.39</v>
      </c>
      <c r="F97">
        <f>A97*1024/(C97*0.000001)/1000000000*C78</f>
        <v/>
      </c>
      <c r="G97">
        <f>E97/F97</f>
        <v/>
      </c>
    </row>
    <row r="98">
      <c r="A98" t="n">
        <v>65536</v>
      </c>
      <c r="B98" t="n">
        <v>3033.62</v>
      </c>
      <c r="C98">
        <f>C79*CEILING(A98*1024/(C73*C74*MIN(4*1024*1024,A98*1024/(C73*C74))),1)+A98*1024*C77</f>
        <v/>
      </c>
      <c r="D98">
        <f>B98/C98</f>
        <v/>
      </c>
      <c r="E98" t="n">
        <v>41.48</v>
      </c>
      <c r="F98">
        <f>A98*1024/(C98*0.000001)/1000000000*C78</f>
        <v/>
      </c>
      <c r="G98">
        <f>E98/F98</f>
        <v/>
      </c>
    </row>
    <row r="99">
      <c r="A99" t="n">
        <v>131072</v>
      </c>
      <c r="B99" t="n">
        <v>5594.11</v>
      </c>
      <c r="C99">
        <f>C79*CEILING(A99*1024/(C73*C74*MIN(4*1024*1024,A99*1024/(C73*C74))),1)+A99*1024*C77</f>
        <v/>
      </c>
      <c r="D99">
        <f>B99/C99</f>
        <v/>
      </c>
      <c r="E99" t="n">
        <v>44.99</v>
      </c>
      <c r="F99">
        <f>A99*1024/(C99*0.000001)/1000000000*C78</f>
        <v/>
      </c>
      <c r="G99">
        <f>E99/F99</f>
        <v/>
      </c>
    </row>
    <row r="100">
      <c r="A100" t="n">
        <v>262144</v>
      </c>
      <c r="B100" t="n">
        <v>11079.2</v>
      </c>
      <c r="C100">
        <f>C79*CEILING(A100*1024/(C73*C74*MIN(4*1024*1024,A100*1024/(C73*C74))),1)+A100*1024*C77</f>
        <v/>
      </c>
      <c r="D100">
        <f>B100/C100</f>
        <v/>
      </c>
      <c r="E100" t="n">
        <v>45.43</v>
      </c>
      <c r="F100">
        <f>A100*1024/(C100*0.000001)/1000000000*C78</f>
        <v/>
      </c>
      <c r="G100">
        <f>E100/F100</f>
        <v/>
      </c>
    </row>
    <row r="101">
      <c r="A101" t="n">
        <v>524288</v>
      </c>
      <c r="B101" t="n">
        <v>22009.3</v>
      </c>
      <c r="C101">
        <f>C79*CEILING(A101*1024/(C73*C74*MIN(4*1024*1024,A101*1024/(C73*C74))),1)+A101*1024*C77</f>
        <v/>
      </c>
      <c r="D101">
        <f>B101/C101</f>
        <v/>
      </c>
      <c r="E101" t="n">
        <v>45.74</v>
      </c>
      <c r="F101">
        <f>A101*1024/(C101*0.000001)/1000000000*C78</f>
        <v/>
      </c>
      <c r="G101">
        <f>E101/F101</f>
        <v/>
      </c>
    </row>
    <row r="102">
      <c r="A102" t="n">
        <v>1048576</v>
      </c>
      <c r="B102" t="n">
        <v>43779.3</v>
      </c>
      <c r="C102">
        <f>C79*CEILING(A102*1024/(C73*C74*MIN(4*1024*1024,A102*1024/(C73*C74))),1)+A102*1024*C77</f>
        <v/>
      </c>
      <c r="D102">
        <f>B102/C102</f>
        <v/>
      </c>
      <c r="E102" t="n">
        <v>45.99</v>
      </c>
      <c r="F102">
        <f>A102*1024/(C102*0.000001)/1000000000*C78</f>
        <v/>
      </c>
      <c r="G102">
        <f>E102/F102</f>
        <v/>
      </c>
    </row>
    <row r="103">
      <c r="A103" t="n">
        <v>2097152</v>
      </c>
      <c r="B103" t="n">
        <v>87327.10000000001</v>
      </c>
      <c r="C103">
        <f>C79*CEILING(A103*1024/(C73*C74*MIN(4*1024*1024,A103*1024/(C73*C74))),1)+A103*1024*C77</f>
        <v/>
      </c>
      <c r="D103">
        <f>B103/C103</f>
        <v/>
      </c>
      <c r="E103" t="n">
        <v>46.11</v>
      </c>
      <c r="F103">
        <f>A103*1024/(C103*0.000001)/1000000000*C78</f>
        <v/>
      </c>
      <c r="G103">
        <f>E103/F103</f>
        <v/>
      </c>
    </row>
    <row r="104">
      <c r="A104" t="n">
        <v>4194304</v>
      </c>
      <c r="B104" t="n">
        <v>174241</v>
      </c>
      <c r="C104">
        <f>C79*CEILING(A104*1024/(C73*C74*MIN(4*1024*1024,A104*1024/(C73*C74))),1)+A104*1024*C77</f>
        <v/>
      </c>
      <c r="D104">
        <f>B104/C104</f>
        <v/>
      </c>
      <c r="E104" t="n">
        <v>46.22</v>
      </c>
      <c r="F104">
        <f>A104*1024/(C104*0.000001)/1000000000*C78</f>
        <v/>
      </c>
      <c r="G104">
        <f>E104/F104</f>
        <v/>
      </c>
    </row>
    <row r="105"/>
    <row r="106">
      <c r="A106" t="inlineStr">
        <is>
          <t>Nodes: 16, Protocol: Simple, Channels: 8</t>
        </is>
      </c>
    </row>
    <row r="107">
      <c r="A107" t="inlineStr">
        <is>
          <t>Parameter</t>
        </is>
      </c>
      <c r="B107" t="inlineStr">
        <is>
          <t>Formula</t>
        </is>
      </c>
      <c r="C107" t="inlineStr">
        <is>
          <t>Value</t>
        </is>
      </c>
    </row>
    <row r="108">
      <c r="A108" t="inlineStr">
        <is>
          <t>n</t>
        </is>
      </c>
      <c r="B108" t="inlineStr">
        <is>
          <t>nodes on ring</t>
        </is>
      </c>
      <c r="C108" t="n">
        <v>16</v>
      </c>
    </row>
    <row r="109">
      <c r="A109" t="inlineStr">
        <is>
          <t>nch</t>
        </is>
      </c>
      <c r="B109" t="inlineStr">
        <is>
          <t>channels</t>
        </is>
      </c>
      <c r="C109" t="n">
        <v>8</v>
      </c>
    </row>
    <row r="110">
      <c r="A110" t="inlineStr">
        <is>
          <t>a</t>
        </is>
      </c>
      <c r="B110" t="inlineStr">
        <is>
          <t>RTT (us)</t>
        </is>
      </c>
      <c r="C110" t="n">
        <v>25.8107</v>
      </c>
    </row>
    <row r="111">
      <c r="A111" t="inlineStr">
        <is>
          <t>NIC_BW</t>
        </is>
      </c>
      <c r="B111" t="inlineStr">
        <is>
          <t>bytes/us</t>
        </is>
      </c>
      <c r="C111" t="n">
        <v>48750</v>
      </c>
    </row>
    <row r="112">
      <c r="A112" t="inlineStr">
        <is>
          <t>G</t>
        </is>
      </c>
      <c r="B112" t="inlineStr">
        <is>
          <t>2*(n-1)/(n*NIC_BW)</t>
        </is>
      </c>
      <c r="C112">
        <f>2*(C108-1)/(C108*C111)</f>
        <v/>
      </c>
    </row>
    <row r="113">
      <c r="A113" t="inlineStr">
        <is>
          <t>busbw_factor</t>
        </is>
      </c>
      <c r="B113" t="inlineStr">
        <is>
          <t>2*(n-1)/n</t>
        </is>
      </c>
      <c r="C113">
        <f>2*(C108-1)/C108</f>
        <v/>
      </c>
    </row>
    <row r="114">
      <c r="A114" t="inlineStr">
        <is>
          <t>fixed_per_step</t>
        </is>
      </c>
      <c r="B114" t="inlineStr">
        <is>
          <t>(2*n-2)*(a/2)</t>
        </is>
      </c>
      <c r="C114">
        <f>(2*C108-2)*(C110/2)</f>
        <v/>
      </c>
    </row>
    <row r="115"/>
    <row r="116">
      <c r="A116" t="inlineStr">
        <is>
          <t>size_KB</t>
        </is>
      </c>
      <c r="B116" t="inlineStr">
        <is>
          <t>Actual Time (us)</t>
        </is>
      </c>
      <c r="C116" t="inlineStr">
        <is>
          <t>Roofline Time (us)</t>
        </is>
      </c>
      <c r="D116" t="inlineStr">
        <is>
          <t>Actual/Roofline</t>
        </is>
      </c>
      <c r="E116" t="inlineStr">
        <is>
          <t>Actual busBW (GB/s)</t>
        </is>
      </c>
      <c r="F116" t="inlineStr">
        <is>
          <t>Roofline busBW (GB/s)</t>
        </is>
      </c>
      <c r="G116" t="inlineStr">
        <is>
          <t>Meas/Roof busBW</t>
        </is>
      </c>
    </row>
    <row r="117">
      <c r="A117" t="n">
        <v>1</v>
      </c>
      <c r="B117" t="n">
        <v>628.03</v>
      </c>
      <c r="C117">
        <f>C114*CEILING(A117*1024/(C108*C109*MIN(4*1024*1024,A117*1024/(C108*C109))),1)+A117*1024*C112</f>
        <v/>
      </c>
      <c r="D117">
        <f>B117/C117</f>
        <v/>
      </c>
      <c r="E117" t="n">
        <v>0</v>
      </c>
      <c r="F117">
        <f>A117*1024/(C117*0.000001)/1000000000*C113</f>
        <v/>
      </c>
      <c r="G117">
        <f>E117/F117</f>
        <v/>
      </c>
    </row>
    <row r="118">
      <c r="A118" t="n">
        <v>2</v>
      </c>
      <c r="B118" t="n">
        <v>621.58</v>
      </c>
      <c r="C118">
        <f>C114*CEILING(A118*1024/(C108*C109*MIN(4*1024*1024,A118*1024/(C108*C109))),1)+A118*1024*C112</f>
        <v/>
      </c>
      <c r="D118">
        <f>B118/C118</f>
        <v/>
      </c>
      <c r="E118" t="n">
        <v>0.01</v>
      </c>
      <c r="F118">
        <f>A118*1024/(C118*0.000001)/1000000000*C113</f>
        <v/>
      </c>
      <c r="G118">
        <f>E118/F118</f>
        <v/>
      </c>
    </row>
    <row r="119">
      <c r="A119" t="n">
        <v>4</v>
      </c>
      <c r="B119" t="n">
        <v>620.3099999999999</v>
      </c>
      <c r="C119">
        <f>C114*CEILING(A119*1024/(C108*C109*MIN(4*1024*1024,A119*1024/(C108*C109))),1)+A119*1024*C112</f>
        <v/>
      </c>
      <c r="D119">
        <f>B119/C119</f>
        <v/>
      </c>
      <c r="E119" t="n">
        <v>0.01</v>
      </c>
      <c r="F119">
        <f>A119*1024/(C119*0.000001)/1000000000*C113</f>
        <v/>
      </c>
      <c r="G119">
        <f>E119/F119</f>
        <v/>
      </c>
    </row>
    <row r="120">
      <c r="A120" t="n">
        <v>8</v>
      </c>
      <c r="B120" t="n">
        <v>622.0599999999999</v>
      </c>
      <c r="C120">
        <f>C114*CEILING(A120*1024/(C108*C109*MIN(4*1024*1024,A120*1024/(C108*C109))),1)+A120*1024*C112</f>
        <v/>
      </c>
      <c r="D120">
        <f>B120/C120</f>
        <v/>
      </c>
      <c r="E120" t="n">
        <v>0.02</v>
      </c>
      <c r="F120">
        <f>A120*1024/(C120*0.000001)/1000000000*C113</f>
        <v/>
      </c>
      <c r="G120">
        <f>E120/F120</f>
        <v/>
      </c>
    </row>
    <row r="121">
      <c r="A121" t="n">
        <v>16</v>
      </c>
      <c r="B121" t="n">
        <v>626.24</v>
      </c>
      <c r="C121">
        <f>C114*CEILING(A121*1024/(C108*C109*MIN(4*1024*1024,A121*1024/(C108*C109))),1)+A121*1024*C112</f>
        <v/>
      </c>
      <c r="D121">
        <f>B121/C121</f>
        <v/>
      </c>
      <c r="E121" t="n">
        <v>0.05</v>
      </c>
      <c r="F121">
        <f>A121*1024/(C121*0.000001)/1000000000*C113</f>
        <v/>
      </c>
      <c r="G121">
        <f>E121/F121</f>
        <v/>
      </c>
    </row>
    <row r="122">
      <c r="A122" t="n">
        <v>32</v>
      </c>
      <c r="B122" t="n">
        <v>639.61</v>
      </c>
      <c r="C122">
        <f>C114*CEILING(A122*1024/(C108*C109*MIN(4*1024*1024,A122*1024/(C108*C109))),1)+A122*1024*C112</f>
        <v/>
      </c>
      <c r="D122">
        <f>B122/C122</f>
        <v/>
      </c>
      <c r="E122" t="n">
        <v>0.1</v>
      </c>
      <c r="F122">
        <f>A122*1024/(C122*0.000001)/1000000000*C113</f>
        <v/>
      </c>
      <c r="G122">
        <f>E122/F122</f>
        <v/>
      </c>
    </row>
    <row r="123">
      <c r="A123" t="n">
        <v>64</v>
      </c>
      <c r="B123" t="n">
        <v>661.39</v>
      </c>
      <c r="C123">
        <f>C114*CEILING(A123*1024/(C108*C109*MIN(4*1024*1024,A123*1024/(C108*C109))),1)+A123*1024*C112</f>
        <v/>
      </c>
      <c r="D123">
        <f>B123/C123</f>
        <v/>
      </c>
      <c r="E123" t="n">
        <v>0.19</v>
      </c>
      <c r="F123">
        <f>A123*1024/(C123*0.000001)/1000000000*C113</f>
        <v/>
      </c>
      <c r="G123">
        <f>E123/F123</f>
        <v/>
      </c>
    </row>
    <row r="124">
      <c r="A124" t="n">
        <v>128</v>
      </c>
      <c r="B124" t="n">
        <v>735.5599999999999</v>
      </c>
      <c r="C124">
        <f>C114*CEILING(A124*1024/(C108*C109*MIN(4*1024*1024,A124*1024/(C108*C109))),1)+A124*1024*C112</f>
        <v/>
      </c>
      <c r="D124">
        <f>B124/C124</f>
        <v/>
      </c>
      <c r="E124" t="n">
        <v>0.33</v>
      </c>
      <c r="F124">
        <f>A124*1024/(C124*0.000001)/1000000000*C113</f>
        <v/>
      </c>
      <c r="G124">
        <f>E124/F124</f>
        <v/>
      </c>
    </row>
    <row r="125">
      <c r="A125" t="n">
        <v>256</v>
      </c>
      <c r="B125" t="n">
        <v>992.96</v>
      </c>
      <c r="C125">
        <f>C114*CEILING(A125*1024/(C108*C109*MIN(4*1024*1024,A125*1024/(C108*C109))),1)+A125*1024*C112</f>
        <v/>
      </c>
      <c r="D125">
        <f>B125/C125</f>
        <v/>
      </c>
      <c r="E125" t="n">
        <v>0.5</v>
      </c>
      <c r="F125">
        <f>A125*1024/(C125*0.000001)/1000000000*C113</f>
        <v/>
      </c>
      <c r="G125">
        <f>E125/F125</f>
        <v/>
      </c>
    </row>
    <row r="126">
      <c r="A126" t="n">
        <v>512</v>
      </c>
      <c r="B126" t="n">
        <v>1005.17</v>
      </c>
      <c r="C126">
        <f>C114*CEILING(A126*1024/(C108*C109*MIN(4*1024*1024,A126*1024/(C108*C109))),1)+A126*1024*C112</f>
        <v/>
      </c>
      <c r="D126">
        <f>B126/C126</f>
        <v/>
      </c>
      <c r="E126" t="n">
        <v>0.98</v>
      </c>
      <c r="F126">
        <f>A126*1024/(C126*0.000001)/1000000000*C113</f>
        <v/>
      </c>
      <c r="G126">
        <f>E126/F126</f>
        <v/>
      </c>
    </row>
    <row r="127">
      <c r="A127" t="n">
        <v>1024</v>
      </c>
      <c r="B127" t="n">
        <v>1040.56</v>
      </c>
      <c r="C127">
        <f>C114*CEILING(A127*1024/(C108*C109*MIN(4*1024*1024,A127*1024/(C108*C109))),1)+A127*1024*C112</f>
        <v/>
      </c>
      <c r="D127">
        <f>B127/C127</f>
        <v/>
      </c>
      <c r="E127" t="n">
        <v>1.89</v>
      </c>
      <c r="F127">
        <f>A127*1024/(C127*0.000001)/1000000000*C113</f>
        <v/>
      </c>
      <c r="G127">
        <f>E127/F127</f>
        <v/>
      </c>
    </row>
    <row r="128">
      <c r="A128" t="n">
        <v>2048</v>
      </c>
      <c r="B128" t="n">
        <v>1138.68</v>
      </c>
      <c r="C128">
        <f>C114*CEILING(A128*1024/(C108*C109*MIN(4*1024*1024,A128*1024/(C108*C109))),1)+A128*1024*C112</f>
        <v/>
      </c>
      <c r="D128">
        <f>B128/C128</f>
        <v/>
      </c>
      <c r="E128" t="n">
        <v>3.45</v>
      </c>
      <c r="F128">
        <f>A128*1024/(C128*0.000001)/1000000000*C113</f>
        <v/>
      </c>
      <c r="G128">
        <f>E128/F128</f>
        <v/>
      </c>
    </row>
    <row r="129">
      <c r="A129" t="n">
        <v>4096</v>
      </c>
      <c r="B129" t="n">
        <v>1228.28</v>
      </c>
      <c r="C129">
        <f>C114*CEILING(A129*1024/(C108*C109*MIN(4*1024*1024,A129*1024/(C108*C109))),1)+A129*1024*C112</f>
        <v/>
      </c>
      <c r="D129">
        <f>B129/C129</f>
        <v/>
      </c>
      <c r="E129" t="n">
        <v>6.4</v>
      </c>
      <c r="F129">
        <f>A129*1024/(C129*0.000001)/1000000000*C113</f>
        <v/>
      </c>
      <c r="G129">
        <f>E129/F129</f>
        <v/>
      </c>
    </row>
    <row r="130">
      <c r="A130" t="n">
        <v>8192</v>
      </c>
      <c r="B130" t="n">
        <v>1362.96</v>
      </c>
      <c r="C130">
        <f>C114*CEILING(A130*1024/(C108*C109*MIN(4*1024*1024,A130*1024/(C108*C109))),1)+A130*1024*C112</f>
        <v/>
      </c>
      <c r="D130">
        <f>B130/C130</f>
        <v/>
      </c>
      <c r="E130" t="n">
        <v>11.54</v>
      </c>
      <c r="F130">
        <f>A130*1024/(C130*0.000001)/1000000000*C113</f>
        <v/>
      </c>
      <c r="G130">
        <f>E130/F130</f>
        <v/>
      </c>
    </row>
    <row r="131">
      <c r="A131" t="n">
        <v>16384</v>
      </c>
      <c r="B131" t="n">
        <v>1431.92</v>
      </c>
      <c r="C131">
        <f>C114*CEILING(A131*1024/(C108*C109*MIN(4*1024*1024,A131*1024/(C108*C109))),1)+A131*1024*C112</f>
        <v/>
      </c>
      <c r="D131">
        <f>B131/C131</f>
        <v/>
      </c>
      <c r="E131" t="n">
        <v>21.97</v>
      </c>
      <c r="F131">
        <f>A131*1024/(C131*0.000001)/1000000000*C113</f>
        <v/>
      </c>
      <c r="G131">
        <f>E131/F131</f>
        <v/>
      </c>
    </row>
    <row r="132">
      <c r="A132" t="n">
        <v>32768</v>
      </c>
      <c r="B132" t="n">
        <v>2014.57</v>
      </c>
      <c r="C132">
        <f>C114*CEILING(A132*1024/(C108*C109*MIN(4*1024*1024,A132*1024/(C108*C109))),1)+A132*1024*C112</f>
        <v/>
      </c>
      <c r="D132">
        <f>B132/C132</f>
        <v/>
      </c>
      <c r="E132" t="n">
        <v>31.23</v>
      </c>
      <c r="F132">
        <f>A132*1024/(C132*0.000001)/1000000000*C113</f>
        <v/>
      </c>
      <c r="G132">
        <f>E132/F132</f>
        <v/>
      </c>
    </row>
    <row r="133">
      <c r="A133" t="n">
        <v>65536</v>
      </c>
      <c r="B133" t="n">
        <v>2926.8</v>
      </c>
      <c r="C133">
        <f>C114*CEILING(A133*1024/(C108*C109*MIN(4*1024*1024,A133*1024/(C108*C109))),1)+A133*1024*C112</f>
        <v/>
      </c>
      <c r="D133">
        <f>B133/C133</f>
        <v/>
      </c>
      <c r="E133" t="n">
        <v>42.99</v>
      </c>
      <c r="F133">
        <f>A133*1024/(C133*0.000001)/1000000000*C113</f>
        <v/>
      </c>
      <c r="G133">
        <f>E133/F133</f>
        <v/>
      </c>
    </row>
    <row r="134">
      <c r="A134" t="n">
        <v>131072</v>
      </c>
      <c r="B134" t="n">
        <v>5611.83</v>
      </c>
      <c r="C134">
        <f>C114*CEILING(A134*1024/(C108*C109*MIN(4*1024*1024,A134*1024/(C108*C109))),1)+A134*1024*C112</f>
        <v/>
      </c>
      <c r="D134">
        <f>B134/C134</f>
        <v/>
      </c>
      <c r="E134" t="n">
        <v>44.84</v>
      </c>
      <c r="F134">
        <f>A134*1024/(C134*0.000001)/1000000000*C113</f>
        <v/>
      </c>
      <c r="G134">
        <f>E134/F134</f>
        <v/>
      </c>
    </row>
    <row r="135">
      <c r="A135" t="n">
        <v>262144</v>
      </c>
      <c r="B135" t="n">
        <v>11054.7</v>
      </c>
      <c r="C135">
        <f>C114*CEILING(A135*1024/(C108*C109*MIN(4*1024*1024,A135*1024/(C108*C109))),1)+A135*1024*C112</f>
        <v/>
      </c>
      <c r="D135">
        <f>B135/C135</f>
        <v/>
      </c>
      <c r="E135" t="n">
        <v>45.53</v>
      </c>
      <c r="F135">
        <f>A135*1024/(C135*0.000001)/1000000000*C113</f>
        <v/>
      </c>
      <c r="G135">
        <f>E135/F135</f>
        <v/>
      </c>
    </row>
    <row r="136">
      <c r="A136" t="n">
        <v>524288</v>
      </c>
      <c r="B136" t="n">
        <v>21909.4</v>
      </c>
      <c r="C136">
        <f>C114*CEILING(A136*1024/(C108*C109*MIN(4*1024*1024,A136*1024/(C108*C109))),1)+A136*1024*C112</f>
        <v/>
      </c>
      <c r="D136">
        <f>B136/C136</f>
        <v/>
      </c>
      <c r="E136" t="n">
        <v>45.95</v>
      </c>
      <c r="F136">
        <f>A136*1024/(C136*0.000001)/1000000000*C113</f>
        <v/>
      </c>
      <c r="G136">
        <f>E136/F136</f>
        <v/>
      </c>
    </row>
    <row r="137">
      <c r="A137" t="n">
        <v>1048576</v>
      </c>
      <c r="B137" t="n">
        <v>43562.5</v>
      </c>
      <c r="C137">
        <f>C114*CEILING(A137*1024/(C108*C109*MIN(4*1024*1024,A137*1024/(C108*C109))),1)+A137*1024*C112</f>
        <v/>
      </c>
      <c r="D137">
        <f>B137/C137</f>
        <v/>
      </c>
      <c r="E137" t="n">
        <v>46.22</v>
      </c>
      <c r="F137">
        <f>A137*1024/(C137*0.000001)/1000000000*C113</f>
        <v/>
      </c>
      <c r="G137">
        <f>E137/F137</f>
        <v/>
      </c>
    </row>
    <row r="138">
      <c r="A138" t="n">
        <v>2097152</v>
      </c>
      <c r="B138" t="n">
        <v>86830.39999999999</v>
      </c>
      <c r="C138">
        <f>C114*CEILING(A138*1024/(C108*C109*MIN(4*1024*1024,A138*1024/(C108*C109))),1)+A138*1024*C112</f>
        <v/>
      </c>
      <c r="D138">
        <f>B138/C138</f>
        <v/>
      </c>
      <c r="E138" t="n">
        <v>46.37</v>
      </c>
      <c r="F138">
        <f>A138*1024/(C138*0.000001)/1000000000*C113</f>
        <v/>
      </c>
      <c r="G138">
        <f>E138/F138</f>
        <v/>
      </c>
    </row>
    <row r="139">
      <c r="A139" t="n">
        <v>4194304</v>
      </c>
      <c r="B139" t="n">
        <v>173537</v>
      </c>
      <c r="C139">
        <f>C114*CEILING(A139*1024/(C108*C109*MIN(4*1024*1024,A139*1024/(C108*C109))),1)+A139*1024*C112</f>
        <v/>
      </c>
      <c r="D139">
        <f>B139/C139</f>
        <v/>
      </c>
      <c r="E139" t="n">
        <v>46.41</v>
      </c>
      <c r="F139">
        <f>A139*1024/(C139*0.000001)/1000000000*C113</f>
        <v/>
      </c>
      <c r="G139">
        <f>E139/F139</f>
        <v/>
      </c>
    </row>
    <row r="140"/>
    <row r="141">
      <c r="A141" t="inlineStr">
        <is>
          <t>Nodes: 16, Protocol: Simple, Channels: 16</t>
        </is>
      </c>
    </row>
    <row r="142">
      <c r="A142" t="inlineStr">
        <is>
          <t>Parameter</t>
        </is>
      </c>
      <c r="B142" t="inlineStr">
        <is>
          <t>Formula</t>
        </is>
      </c>
      <c r="C142" t="inlineStr">
        <is>
          <t>Value</t>
        </is>
      </c>
    </row>
    <row r="143">
      <c r="A143" t="inlineStr">
        <is>
          <t>n</t>
        </is>
      </c>
      <c r="B143" t="inlineStr">
        <is>
          <t>nodes on ring</t>
        </is>
      </c>
      <c r="C143" t="n">
        <v>16</v>
      </c>
    </row>
    <row r="144">
      <c r="A144" t="inlineStr">
        <is>
          <t>nch</t>
        </is>
      </c>
      <c r="B144" t="inlineStr">
        <is>
          <t>channels</t>
        </is>
      </c>
      <c r="C144" t="n">
        <v>16</v>
      </c>
    </row>
    <row r="145">
      <c r="A145" t="inlineStr">
        <is>
          <t>a</t>
        </is>
      </c>
      <c r="B145" t="inlineStr">
        <is>
          <t>RTT (us)</t>
        </is>
      </c>
      <c r="C145" t="n">
        <v>25.8107</v>
      </c>
    </row>
    <row r="146">
      <c r="A146" t="inlineStr">
        <is>
          <t>NIC_BW</t>
        </is>
      </c>
      <c r="B146" t="inlineStr">
        <is>
          <t>bytes/us</t>
        </is>
      </c>
      <c r="C146" t="n">
        <v>48750</v>
      </c>
    </row>
    <row r="147">
      <c r="A147" t="inlineStr">
        <is>
          <t>G</t>
        </is>
      </c>
      <c r="B147" t="inlineStr">
        <is>
          <t>2*(n-1)/(n*NIC_BW)</t>
        </is>
      </c>
      <c r="C147">
        <f>2*(C143-1)/(C143*C146)</f>
        <v/>
      </c>
    </row>
    <row r="148">
      <c r="A148" t="inlineStr">
        <is>
          <t>busbw_factor</t>
        </is>
      </c>
      <c r="B148" t="inlineStr">
        <is>
          <t>2*(n-1)/n</t>
        </is>
      </c>
      <c r="C148">
        <f>2*(C143-1)/C143</f>
        <v/>
      </c>
    </row>
    <row r="149">
      <c r="A149" t="inlineStr">
        <is>
          <t>fixed_per_step</t>
        </is>
      </c>
      <c r="B149" t="inlineStr">
        <is>
          <t>(2*n-2)*(a/2)</t>
        </is>
      </c>
      <c r="C149">
        <f>(2*C143-2)*(C145/2)</f>
        <v/>
      </c>
    </row>
    <row r="150"/>
    <row r="151">
      <c r="A151" t="inlineStr">
        <is>
          <t>size_KB</t>
        </is>
      </c>
      <c r="B151" t="inlineStr">
        <is>
          <t>Actual Time (us)</t>
        </is>
      </c>
      <c r="C151" t="inlineStr">
        <is>
          <t>Roofline Time (us)</t>
        </is>
      </c>
      <c r="D151" t="inlineStr">
        <is>
          <t>Actual/Roofline</t>
        </is>
      </c>
      <c r="E151" t="inlineStr">
        <is>
          <t>Actual busBW (GB/s)</t>
        </is>
      </c>
      <c r="F151" t="inlineStr">
        <is>
          <t>Roofline busBW (GB/s)</t>
        </is>
      </c>
      <c r="G151" t="inlineStr">
        <is>
          <t>Meas/Roof busBW</t>
        </is>
      </c>
    </row>
    <row r="152">
      <c r="A152" t="n">
        <v>1</v>
      </c>
      <c r="B152" t="n">
        <v>630.26</v>
      </c>
      <c r="C152">
        <f>C149*CEILING(A152*1024/(C143*C144*MIN(4*1024*1024,A152*1024/(C143*C144))),1)+A152*1024*C147</f>
        <v/>
      </c>
      <c r="D152">
        <f>B152/C152</f>
        <v/>
      </c>
      <c r="E152" t="n">
        <v>0</v>
      </c>
      <c r="F152">
        <f>A152*1024/(C152*0.000001)/1000000000*C148</f>
        <v/>
      </c>
      <c r="G152">
        <f>E152/F152</f>
        <v/>
      </c>
    </row>
    <row r="153">
      <c r="A153" t="n">
        <v>2</v>
      </c>
      <c r="B153" t="n">
        <v>624.24</v>
      </c>
      <c r="C153">
        <f>C149*CEILING(A153*1024/(C143*C144*MIN(4*1024*1024,A153*1024/(C143*C144))),1)+A153*1024*C147</f>
        <v/>
      </c>
      <c r="D153">
        <f>B153/C153</f>
        <v/>
      </c>
      <c r="E153" t="n">
        <v>0.01</v>
      </c>
      <c r="F153">
        <f>A153*1024/(C153*0.000001)/1000000000*C148</f>
        <v/>
      </c>
      <c r="G153">
        <f>E153/F153</f>
        <v/>
      </c>
    </row>
    <row r="154">
      <c r="A154" t="n">
        <v>4</v>
      </c>
      <c r="B154" t="n">
        <v>623.6900000000001</v>
      </c>
      <c r="C154">
        <f>C149*CEILING(A154*1024/(C143*C144*MIN(4*1024*1024,A154*1024/(C143*C144))),1)+A154*1024*C147</f>
        <v/>
      </c>
      <c r="D154">
        <f>B154/C154</f>
        <v/>
      </c>
      <c r="E154" t="n">
        <v>0.01</v>
      </c>
      <c r="F154">
        <f>A154*1024/(C154*0.000001)/1000000000*C148</f>
        <v/>
      </c>
      <c r="G154">
        <f>E154/F154</f>
        <v/>
      </c>
    </row>
    <row r="155">
      <c r="A155" t="n">
        <v>8</v>
      </c>
      <c r="B155" t="n">
        <v>624.16</v>
      </c>
      <c r="C155">
        <f>C149*CEILING(A155*1024/(C143*C144*MIN(4*1024*1024,A155*1024/(C143*C144))),1)+A155*1024*C147</f>
        <v/>
      </c>
      <c r="D155">
        <f>B155/C155</f>
        <v/>
      </c>
      <c r="E155" t="n">
        <v>0.02</v>
      </c>
      <c r="F155">
        <f>A155*1024/(C155*0.000001)/1000000000*C148</f>
        <v/>
      </c>
      <c r="G155">
        <f>E155/F155</f>
        <v/>
      </c>
    </row>
    <row r="156">
      <c r="A156" t="n">
        <v>16</v>
      </c>
      <c r="B156" t="n">
        <v>628.26</v>
      </c>
      <c r="C156">
        <f>C149*CEILING(A156*1024/(C143*C144*MIN(4*1024*1024,A156*1024/(C143*C144))),1)+A156*1024*C147</f>
        <v/>
      </c>
      <c r="D156">
        <f>B156/C156</f>
        <v/>
      </c>
      <c r="E156" t="n">
        <v>0.05</v>
      </c>
      <c r="F156">
        <f>A156*1024/(C156*0.000001)/1000000000*C148</f>
        <v/>
      </c>
      <c r="G156">
        <f>E156/F156</f>
        <v/>
      </c>
    </row>
    <row r="157">
      <c r="A157" t="n">
        <v>32</v>
      </c>
      <c r="B157" t="n">
        <v>637.24</v>
      </c>
      <c r="C157">
        <f>C149*CEILING(A157*1024/(C143*C144*MIN(4*1024*1024,A157*1024/(C143*C144))),1)+A157*1024*C147</f>
        <v/>
      </c>
      <c r="D157">
        <f>B157/C157</f>
        <v/>
      </c>
      <c r="E157" t="n">
        <v>0.1</v>
      </c>
      <c r="F157">
        <f>A157*1024/(C157*0.000001)/1000000000*C148</f>
        <v/>
      </c>
      <c r="G157">
        <f>E157/F157</f>
        <v/>
      </c>
    </row>
    <row r="158">
      <c r="A158" t="n">
        <v>64</v>
      </c>
      <c r="B158" t="n">
        <v>662.58</v>
      </c>
      <c r="C158">
        <f>C149*CEILING(A158*1024/(C143*C144*MIN(4*1024*1024,A158*1024/(C143*C144))),1)+A158*1024*C147</f>
        <v/>
      </c>
      <c r="D158">
        <f>B158/C158</f>
        <v/>
      </c>
      <c r="E158" t="n">
        <v>0.19</v>
      </c>
      <c r="F158">
        <f>A158*1024/(C158*0.000001)/1000000000*C148</f>
        <v/>
      </c>
      <c r="G158">
        <f>E158/F158</f>
        <v/>
      </c>
    </row>
    <row r="159">
      <c r="A159" t="n">
        <v>128</v>
      </c>
      <c r="B159" t="n">
        <v>737.97</v>
      </c>
      <c r="C159">
        <f>C149*CEILING(A159*1024/(C143*C144*MIN(4*1024*1024,A159*1024/(C143*C144))),1)+A159*1024*C147</f>
        <v/>
      </c>
      <c r="D159">
        <f>B159/C159</f>
        <v/>
      </c>
      <c r="E159" t="n">
        <v>0.33</v>
      </c>
      <c r="F159">
        <f>A159*1024/(C159*0.000001)/1000000000*C148</f>
        <v/>
      </c>
      <c r="G159">
        <f>E159/F159</f>
        <v/>
      </c>
    </row>
    <row r="160">
      <c r="A160" t="n">
        <v>256</v>
      </c>
      <c r="B160" t="n">
        <v>992.6900000000001</v>
      </c>
      <c r="C160">
        <f>C149*CEILING(A160*1024/(C143*C144*MIN(4*1024*1024,A160*1024/(C143*C144))),1)+A160*1024*C147</f>
        <v/>
      </c>
      <c r="D160">
        <f>B160/C160</f>
        <v/>
      </c>
      <c r="E160" t="n">
        <v>0.5</v>
      </c>
      <c r="F160">
        <f>A160*1024/(C160*0.000001)/1000000000*C148</f>
        <v/>
      </c>
      <c r="G160">
        <f>E160/F160</f>
        <v/>
      </c>
    </row>
    <row r="161">
      <c r="A161" t="n">
        <v>512</v>
      </c>
      <c r="B161" t="n">
        <v>1752.32</v>
      </c>
      <c r="C161">
        <f>C149*CEILING(A161*1024/(C143*C144*MIN(4*1024*1024,A161*1024/(C143*C144))),1)+A161*1024*C147</f>
        <v/>
      </c>
      <c r="D161">
        <f>B161/C161</f>
        <v/>
      </c>
      <c r="E161" t="n">
        <v>0.5600000000000001</v>
      </c>
      <c r="F161">
        <f>A161*1024/(C161*0.000001)/1000000000*C148</f>
        <v/>
      </c>
      <c r="G161">
        <f>E161/F161</f>
        <v/>
      </c>
    </row>
    <row r="162">
      <c r="A162" t="n">
        <v>1024</v>
      </c>
      <c r="B162" t="n">
        <v>1737.74</v>
      </c>
      <c r="C162">
        <f>C149*CEILING(A162*1024/(C143*C144*MIN(4*1024*1024,A162*1024/(C143*C144))),1)+A162*1024*C147</f>
        <v/>
      </c>
      <c r="D162">
        <f>B162/C162</f>
        <v/>
      </c>
      <c r="E162" t="n">
        <v>1.13</v>
      </c>
      <c r="F162">
        <f>A162*1024/(C162*0.000001)/1000000000*C148</f>
        <v/>
      </c>
      <c r="G162">
        <f>E162/F162</f>
        <v/>
      </c>
    </row>
    <row r="163">
      <c r="A163" t="n">
        <v>2048</v>
      </c>
      <c r="B163" t="n">
        <v>1734.96</v>
      </c>
      <c r="C163">
        <f>C149*CEILING(A163*1024/(C143*C144*MIN(4*1024*1024,A163*1024/(C143*C144))),1)+A163*1024*C147</f>
        <v/>
      </c>
      <c r="D163">
        <f>B163/C163</f>
        <v/>
      </c>
      <c r="E163" t="n">
        <v>2.27</v>
      </c>
      <c r="F163">
        <f>A163*1024/(C163*0.000001)/1000000000*C148</f>
        <v/>
      </c>
      <c r="G163">
        <f>E163/F163</f>
        <v/>
      </c>
    </row>
    <row r="164">
      <c r="A164" t="n">
        <v>4096</v>
      </c>
      <c r="B164" t="n">
        <v>1717.03</v>
      </c>
      <c r="C164">
        <f>C149*CEILING(A164*1024/(C143*C144*MIN(4*1024*1024,A164*1024/(C143*C144))),1)+A164*1024*C147</f>
        <v/>
      </c>
      <c r="D164">
        <f>B164/C164</f>
        <v/>
      </c>
      <c r="E164" t="n">
        <v>4.58</v>
      </c>
      <c r="F164">
        <f>A164*1024/(C164*0.000001)/1000000000*C148</f>
        <v/>
      </c>
      <c r="G164">
        <f>E164/F164</f>
        <v/>
      </c>
    </row>
    <row r="165">
      <c r="A165" t="n">
        <v>8192</v>
      </c>
      <c r="B165" t="n">
        <v>1803.92</v>
      </c>
      <c r="C165">
        <f>C149*CEILING(A165*1024/(C143*C144*MIN(4*1024*1024,A165*1024/(C143*C144))),1)+A165*1024*C147</f>
        <v/>
      </c>
      <c r="D165">
        <f>B165/C165</f>
        <v/>
      </c>
      <c r="E165" t="n">
        <v>8.720000000000001</v>
      </c>
      <c r="F165">
        <f>A165*1024/(C165*0.000001)/1000000000*C148</f>
        <v/>
      </c>
      <c r="G165">
        <f>E165/F165</f>
        <v/>
      </c>
    </row>
    <row r="166">
      <c r="A166" t="n">
        <v>16384</v>
      </c>
      <c r="B166" t="n">
        <v>1933.09</v>
      </c>
      <c r="C166">
        <f>C149*CEILING(A166*1024/(C143*C144*MIN(4*1024*1024,A166*1024/(C143*C144))),1)+A166*1024*C147</f>
        <v/>
      </c>
      <c r="D166">
        <f>B166/C166</f>
        <v/>
      </c>
      <c r="E166" t="n">
        <v>16.27</v>
      </c>
      <c r="F166">
        <f>A166*1024/(C166*0.000001)/1000000000*C148</f>
        <v/>
      </c>
      <c r="G166">
        <f>E166/F166</f>
        <v/>
      </c>
    </row>
    <row r="167">
      <c r="A167" t="n">
        <v>32768</v>
      </c>
      <c r="B167" t="n">
        <v>2049.55</v>
      </c>
      <c r="C167">
        <f>C149*CEILING(A167*1024/(C143*C144*MIN(4*1024*1024,A167*1024/(C143*C144))),1)+A167*1024*C147</f>
        <v/>
      </c>
      <c r="D167">
        <f>B167/C167</f>
        <v/>
      </c>
      <c r="E167" t="n">
        <v>30.7</v>
      </c>
      <c r="F167">
        <f>A167*1024/(C167*0.000001)/1000000000*C148</f>
        <v/>
      </c>
      <c r="G167">
        <f>E167/F167</f>
        <v/>
      </c>
    </row>
    <row r="168">
      <c r="A168" t="n">
        <v>65536</v>
      </c>
      <c r="B168" t="n">
        <v>3098.31</v>
      </c>
      <c r="C168">
        <f>C149*CEILING(A168*1024/(C143*C144*MIN(4*1024*1024,A168*1024/(C143*C144))),1)+A168*1024*C147</f>
        <v/>
      </c>
      <c r="D168">
        <f>B168/C168</f>
        <v/>
      </c>
      <c r="E168" t="n">
        <v>40.61</v>
      </c>
      <c r="F168">
        <f>A168*1024/(C168*0.000001)/1000000000*C148</f>
        <v/>
      </c>
      <c r="G168">
        <f>E168/F168</f>
        <v/>
      </c>
    </row>
    <row r="169">
      <c r="A169" t="n">
        <v>131072</v>
      </c>
      <c r="B169" t="n">
        <v>5644.97</v>
      </c>
      <c r="C169">
        <f>C149*CEILING(A169*1024/(C143*C144*MIN(4*1024*1024,A169*1024/(C143*C144))),1)+A169*1024*C147</f>
        <v/>
      </c>
      <c r="D169">
        <f>B169/C169</f>
        <v/>
      </c>
      <c r="E169" t="n">
        <v>44.58</v>
      </c>
      <c r="F169">
        <f>A169*1024/(C169*0.000001)/1000000000*C148</f>
        <v/>
      </c>
      <c r="G169">
        <f>E169/F169</f>
        <v/>
      </c>
    </row>
    <row r="170">
      <c r="A170" t="n">
        <v>262144</v>
      </c>
      <c r="B170" t="n">
        <v>11042.1</v>
      </c>
      <c r="C170">
        <f>C149*CEILING(A170*1024/(C143*C144*MIN(4*1024*1024,A170*1024/(C143*C144))),1)+A170*1024*C147</f>
        <v/>
      </c>
      <c r="D170">
        <f>B170/C170</f>
        <v/>
      </c>
      <c r="E170" t="n">
        <v>45.58</v>
      </c>
      <c r="F170">
        <f>A170*1024/(C170*0.000001)/1000000000*C148</f>
        <v/>
      </c>
      <c r="G170">
        <f>E170/F170</f>
        <v/>
      </c>
    </row>
    <row r="171">
      <c r="A171" t="n">
        <v>524288</v>
      </c>
      <c r="B171" t="n">
        <v>21874.6</v>
      </c>
      <c r="C171">
        <f>C149*CEILING(A171*1024/(C143*C144*MIN(4*1024*1024,A171*1024/(C143*C144))),1)+A171*1024*C147</f>
        <v/>
      </c>
      <c r="D171">
        <f>B171/C171</f>
        <v/>
      </c>
      <c r="E171" t="n">
        <v>46.02</v>
      </c>
      <c r="F171">
        <f>A171*1024/(C171*0.000001)/1000000000*C148</f>
        <v/>
      </c>
      <c r="G171">
        <f>E171/F171</f>
        <v/>
      </c>
    </row>
    <row r="172">
      <c r="A172" t="n">
        <v>1048576</v>
      </c>
      <c r="B172" t="n">
        <v>43547.8</v>
      </c>
      <c r="C172">
        <f>C149*CEILING(A172*1024/(C143*C144*MIN(4*1024*1024,A172*1024/(C143*C144))),1)+A172*1024*C147</f>
        <v/>
      </c>
      <c r="D172">
        <f>B172/C172</f>
        <v/>
      </c>
      <c r="E172" t="n">
        <v>46.23</v>
      </c>
      <c r="F172">
        <f>A172*1024/(C172*0.000001)/1000000000*C148</f>
        <v/>
      </c>
      <c r="G172">
        <f>E172/F172</f>
        <v/>
      </c>
    </row>
    <row r="173">
      <c r="A173" t="n">
        <v>2097152</v>
      </c>
      <c r="B173" t="n">
        <v>86859.39999999999</v>
      </c>
      <c r="C173">
        <f>C149*CEILING(A173*1024/(C143*C144*MIN(4*1024*1024,A173*1024/(C143*C144))),1)+A173*1024*C147</f>
        <v/>
      </c>
      <c r="D173">
        <f>B173/C173</f>
        <v/>
      </c>
      <c r="E173" t="n">
        <v>46.36</v>
      </c>
      <c r="F173">
        <f>A173*1024/(C173*0.000001)/1000000000*C148</f>
        <v/>
      </c>
      <c r="G173">
        <f>E173/F173</f>
        <v/>
      </c>
    </row>
    <row r="174">
      <c r="A174" t="n">
        <v>4194304</v>
      </c>
      <c r="B174" t="n">
        <v>173609</v>
      </c>
      <c r="C174">
        <f>C149*CEILING(A174*1024/(C143*C144*MIN(4*1024*1024,A174*1024/(C143*C144))),1)+A174*1024*C147</f>
        <v/>
      </c>
      <c r="D174">
        <f>B174/C174</f>
        <v/>
      </c>
      <c r="E174" t="n">
        <v>46.39</v>
      </c>
      <c r="F174">
        <f>A174*1024/(C174*0.000001)/1000000000*C148</f>
        <v/>
      </c>
      <c r="G174">
        <f>E174/F174</f>
        <v/>
      </c>
    </row>
    <row r="175"/>
    <row r="176">
      <c r="A176" t="inlineStr">
        <is>
          <t>Nodes: 16, Protocol: LL, Channels: 1</t>
        </is>
      </c>
    </row>
    <row r="177">
      <c r="A177" t="inlineStr">
        <is>
          <t>Parameter</t>
        </is>
      </c>
      <c r="B177" t="inlineStr">
        <is>
          <t>Formula</t>
        </is>
      </c>
      <c r="C177" t="inlineStr">
        <is>
          <t>Value</t>
        </is>
      </c>
    </row>
    <row r="178">
      <c r="A178" t="inlineStr">
        <is>
          <t>n</t>
        </is>
      </c>
      <c r="B178" t="inlineStr">
        <is>
          <t>nodes on ring</t>
        </is>
      </c>
      <c r="C178" t="n">
        <v>16</v>
      </c>
    </row>
    <row r="179">
      <c r="A179" t="inlineStr">
        <is>
          <t>nch</t>
        </is>
      </c>
      <c r="B179" t="inlineStr">
        <is>
          <t>channels</t>
        </is>
      </c>
      <c r="C179" t="n">
        <v>1</v>
      </c>
    </row>
    <row r="180">
      <c r="A180" t="inlineStr">
        <is>
          <t>a</t>
        </is>
      </c>
      <c r="B180" t="inlineStr">
        <is>
          <t>RTT (us)</t>
        </is>
      </c>
      <c r="C180" t="n">
        <v>25.8107</v>
      </c>
    </row>
    <row r="181">
      <c r="A181" t="inlineStr">
        <is>
          <t>NIC_BW</t>
        </is>
      </c>
      <c r="B181" t="inlineStr">
        <is>
          <t>bytes/us</t>
        </is>
      </c>
      <c r="C181" t="n">
        <v>48750</v>
      </c>
    </row>
    <row r="182">
      <c r="A182" t="inlineStr">
        <is>
          <t>NIC_BW_single_efa</t>
        </is>
      </c>
      <c r="B182" t="inlineStr">
        <is>
          <t>50/2*1e3*0.975</t>
        </is>
      </c>
      <c r="C182" t="n">
        <v>24375</v>
      </c>
    </row>
    <row r="183">
      <c r="A183" t="inlineStr">
        <is>
          <t>chunk_size</t>
        </is>
      </c>
      <c r="B183" t="inlineStr">
        <is>
          <t>32KB (bytes)</t>
        </is>
      </c>
      <c r="C183" t="n">
        <v>32768</v>
      </c>
    </row>
    <row r="184">
      <c r="A184" t="inlineStr">
        <is>
          <t>G</t>
        </is>
      </c>
      <c r="B184" t="inlineStr">
        <is>
          <t>2*2*(n-1)/(n*NIC_BW)</t>
        </is>
      </c>
      <c r="C184">
        <f>2*2*(C178-1)/(C178*C181)</f>
        <v/>
      </c>
    </row>
    <row r="185">
      <c r="A185" t="inlineStr">
        <is>
          <t>busbw_factor</t>
        </is>
      </c>
      <c r="B185" t="inlineStr">
        <is>
          <t>2*(n-1)/n</t>
        </is>
      </c>
      <c r="C185">
        <f>2*(C178-1)/C178</f>
        <v/>
      </c>
    </row>
    <row r="186">
      <c r="A186" t="inlineStr">
        <is>
          <t>fixed_per_step</t>
        </is>
      </c>
      <c r="B186" t="inlineStr">
        <is>
          <t>2*(n-1)*a/2</t>
        </is>
      </c>
      <c r="C186">
        <f>2*(C178-1)*C180/2</f>
        <v/>
      </c>
    </row>
    <row r="187"/>
    <row r="188">
      <c r="A188" t="inlineStr">
        <is>
          <t>size_KB</t>
        </is>
      </c>
      <c r="B188" t="inlineStr">
        <is>
          <t>Actual Time (us)</t>
        </is>
      </c>
      <c r="C188" t="inlineStr">
        <is>
          <t>Roofline Time (us)</t>
        </is>
      </c>
      <c r="D188" t="inlineStr">
        <is>
          <t>Actual/Roofline</t>
        </is>
      </c>
      <c r="E188" t="inlineStr">
        <is>
          <t>Actual busBW (GB/s)</t>
        </is>
      </c>
      <c r="F188" t="inlineStr">
        <is>
          <t>Roofline busBW (GB/s)</t>
        </is>
      </c>
      <c r="G188" t="inlineStr">
        <is>
          <t>Meas/Roof busBW</t>
        </is>
      </c>
    </row>
    <row r="189">
      <c r="A189" t="n">
        <v>1</v>
      </c>
      <c r="B189" t="n">
        <v>409.31</v>
      </c>
      <c r="C189">
        <f>C186*CEILING(A189*1024/(C179*C183*C178),1)+A189*1024*C184</f>
        <v/>
      </c>
      <c r="D189">
        <f>B189/C189</f>
        <v/>
      </c>
      <c r="E189" t="n">
        <v>0</v>
      </c>
      <c r="F189">
        <f>A189*1024/(C189*0.000001)/1000000000*C185</f>
        <v/>
      </c>
      <c r="G189">
        <f>E189/F189</f>
        <v/>
      </c>
    </row>
    <row r="190">
      <c r="A190" t="n">
        <v>2</v>
      </c>
      <c r="B190" t="n">
        <v>406</v>
      </c>
      <c r="C190">
        <f>C186*CEILING(A190*1024/(C179*C183*C178),1)+A190*1024*C184</f>
        <v/>
      </c>
      <c r="D190">
        <f>B190/C190</f>
        <v/>
      </c>
      <c r="E190" t="n">
        <v>0.01</v>
      </c>
      <c r="F190">
        <f>A190*1024/(C190*0.000001)/1000000000*C185</f>
        <v/>
      </c>
      <c r="G190">
        <f>E190/F190</f>
        <v/>
      </c>
    </row>
    <row r="191">
      <c r="A191" t="n">
        <v>4</v>
      </c>
      <c r="B191" t="n">
        <v>407.38</v>
      </c>
      <c r="C191">
        <f>C186*CEILING(A191*1024/(C179*C183*C178),1)+A191*1024*C184</f>
        <v/>
      </c>
      <c r="D191">
        <f>B191/C191</f>
        <v/>
      </c>
      <c r="E191" t="n">
        <v>0.02</v>
      </c>
      <c r="F191">
        <f>A191*1024/(C191*0.000001)/1000000000*C185</f>
        <v/>
      </c>
      <c r="G191">
        <f>E191/F191</f>
        <v/>
      </c>
    </row>
    <row r="192">
      <c r="A192" t="n">
        <v>8</v>
      </c>
      <c r="B192" t="n">
        <v>411.35</v>
      </c>
      <c r="C192">
        <f>C186*CEILING(A192*1024/(C179*C183*C178),1)+A192*1024*C184</f>
        <v/>
      </c>
      <c r="D192">
        <f>B192/C192</f>
        <v/>
      </c>
      <c r="E192" t="n">
        <v>0.04</v>
      </c>
      <c r="F192">
        <f>A192*1024/(C192*0.000001)/1000000000*C185</f>
        <v/>
      </c>
      <c r="G192">
        <f>E192/F192</f>
        <v/>
      </c>
    </row>
    <row r="193">
      <c r="A193" t="n">
        <v>16</v>
      </c>
      <c r="B193" t="n">
        <v>418.88</v>
      </c>
      <c r="C193">
        <f>C186*CEILING(A193*1024/(C179*C183*C178),1)+A193*1024*C184</f>
        <v/>
      </c>
      <c r="D193">
        <f>B193/C193</f>
        <v/>
      </c>
      <c r="E193" t="n">
        <v>0.07000000000000001</v>
      </c>
      <c r="F193">
        <f>A193*1024/(C193*0.000001)/1000000000*C185</f>
        <v/>
      </c>
      <c r="G193">
        <f>E193/F193</f>
        <v/>
      </c>
    </row>
    <row r="194">
      <c r="A194" t="n">
        <v>32</v>
      </c>
      <c r="B194" t="n">
        <v>443.72</v>
      </c>
      <c r="C194">
        <f>C186*CEILING(A194*1024/(C179*C183*C178),1)+A194*1024*C184</f>
        <v/>
      </c>
      <c r="D194">
        <f>B194/C194</f>
        <v/>
      </c>
      <c r="E194" t="n">
        <v>0.14</v>
      </c>
      <c r="F194">
        <f>A194*1024/(C194*0.000001)/1000000000*C185</f>
        <v/>
      </c>
      <c r="G194">
        <f>E194/F194</f>
        <v/>
      </c>
    </row>
    <row r="195">
      <c r="A195" t="n">
        <v>64</v>
      </c>
      <c r="B195" t="n">
        <v>496.73</v>
      </c>
      <c r="C195">
        <f>C186*CEILING(A195*1024/(C179*C183*C178),1)+A195*1024*C184</f>
        <v/>
      </c>
      <c r="D195">
        <f>B195/C195</f>
        <v/>
      </c>
      <c r="E195" t="n">
        <v>0.25</v>
      </c>
      <c r="F195">
        <f>A195*1024/(C195*0.000001)/1000000000*C185</f>
        <v/>
      </c>
      <c r="G195">
        <f>E195/F195</f>
        <v/>
      </c>
    </row>
    <row r="196">
      <c r="A196" t="n">
        <v>128</v>
      </c>
      <c r="B196" t="n">
        <v>538.9</v>
      </c>
      <c r="C196">
        <f>C186*CEILING(A196*1024/(C179*C183*C178),1)+A196*1024*C184</f>
        <v/>
      </c>
      <c r="D196">
        <f>B196/C196</f>
        <v/>
      </c>
      <c r="E196" t="n">
        <v>0.46</v>
      </c>
      <c r="F196">
        <f>A196*1024/(C196*0.000001)/1000000000*C185</f>
        <v/>
      </c>
      <c r="G196">
        <f>E196/F196</f>
        <v/>
      </c>
    </row>
    <row r="197">
      <c r="A197" t="n">
        <v>256</v>
      </c>
      <c r="B197" t="n">
        <v>601.67</v>
      </c>
      <c r="C197">
        <f>C186*CEILING(A197*1024/(C179*C183*C178),1)+A197*1024*C184</f>
        <v/>
      </c>
      <c r="D197">
        <f>B197/C197</f>
        <v/>
      </c>
      <c r="E197" t="n">
        <v>0.82</v>
      </c>
      <c r="F197">
        <f>A197*1024/(C197*0.000001)/1000000000*C185</f>
        <v/>
      </c>
      <c r="G197">
        <f>E197/F197</f>
        <v/>
      </c>
    </row>
    <row r="198">
      <c r="A198" t="n">
        <v>512</v>
      </c>
      <c r="B198" t="n">
        <v>730.02</v>
      </c>
      <c r="C198">
        <f>C186*CEILING(A198*1024/(C179*C183*C178),1)+A198*1024*C184</f>
        <v/>
      </c>
      <c r="D198">
        <f>B198/C198</f>
        <v/>
      </c>
      <c r="E198" t="n">
        <v>1.35</v>
      </c>
      <c r="F198">
        <f>A198*1024/(C198*0.000001)/1000000000*C185</f>
        <v/>
      </c>
      <c r="G198">
        <f>E198/F198</f>
        <v/>
      </c>
    </row>
    <row r="199">
      <c r="A199" t="n">
        <v>1024</v>
      </c>
      <c r="B199" t="n">
        <v>1447.55</v>
      </c>
      <c r="C199">
        <f>C186*CEILING(A199*1024/(C179*C183*C178),1)+A199*1024*C184</f>
        <v/>
      </c>
      <c r="D199">
        <f>B199/C199</f>
        <v/>
      </c>
      <c r="E199" t="n">
        <v>1.36</v>
      </c>
      <c r="F199">
        <f>A199*1024/(C199*0.000001)/1000000000*C185</f>
        <v/>
      </c>
      <c r="G199">
        <f>E199/F199</f>
        <v/>
      </c>
    </row>
    <row r="200">
      <c r="A200" t="n">
        <v>2048</v>
      </c>
      <c r="B200" t="n">
        <v>2881.97</v>
      </c>
      <c r="C200">
        <f>C186*CEILING(A200*1024/(C179*C183*C178),1)+A200*1024*C184</f>
        <v/>
      </c>
      <c r="D200">
        <f>B200/C200</f>
        <v/>
      </c>
      <c r="E200" t="n">
        <v>1.36</v>
      </c>
      <c r="F200">
        <f>A200*1024/(C200*0.000001)/1000000000*C185</f>
        <v/>
      </c>
      <c r="G200">
        <f>E200/F200</f>
        <v/>
      </c>
    </row>
    <row r="201">
      <c r="A201" t="n">
        <v>4096</v>
      </c>
      <c r="B201" t="n">
        <v>5750.66</v>
      </c>
      <c r="C201">
        <f>C186*CEILING(A201*1024/(C179*C183*C178),1)+A201*1024*C184</f>
        <v/>
      </c>
      <c r="D201">
        <f>B201/C201</f>
        <v/>
      </c>
      <c r="E201" t="n">
        <v>1.37</v>
      </c>
      <c r="F201">
        <f>A201*1024/(C201*0.000001)/1000000000*C185</f>
        <v/>
      </c>
      <c r="G201">
        <f>E201/F201</f>
        <v/>
      </c>
    </row>
    <row r="202">
      <c r="A202" t="n">
        <v>8192</v>
      </c>
      <c r="B202" t="n">
        <v>11501.9</v>
      </c>
      <c r="C202">
        <f>C186*CEILING(A202*1024/(C179*C183*C178),1)+A202*1024*C184</f>
        <v/>
      </c>
      <c r="D202">
        <f>B202/C202</f>
        <v/>
      </c>
      <c r="E202" t="n">
        <v>1.37</v>
      </c>
      <c r="F202">
        <f>A202*1024/(C202*0.000001)/1000000000*C185</f>
        <v/>
      </c>
      <c r="G202">
        <f>E202/F202</f>
        <v/>
      </c>
    </row>
    <row r="203">
      <c r="A203" t="n">
        <v>16384</v>
      </c>
      <c r="B203" t="n">
        <v>23006.3</v>
      </c>
      <c r="C203">
        <f>C186*CEILING(A203*1024/(C179*C183*C178),1)+A203*1024*C184</f>
        <v/>
      </c>
      <c r="D203">
        <f>B203/C203</f>
        <v/>
      </c>
      <c r="E203" t="n">
        <v>1.37</v>
      </c>
      <c r="F203">
        <f>A203*1024/(C203*0.000001)/1000000000*C185</f>
        <v/>
      </c>
      <c r="G203">
        <f>E203/F203</f>
        <v/>
      </c>
    </row>
    <row r="204">
      <c r="A204" t="n">
        <v>32768</v>
      </c>
      <c r="B204" t="n">
        <v>45939</v>
      </c>
      <c r="C204">
        <f>C186*CEILING(A204*1024/(C179*C183*C178),1)+A204*1024*C184</f>
        <v/>
      </c>
      <c r="D204">
        <f>B204/C204</f>
        <v/>
      </c>
      <c r="E204" t="n">
        <v>1.37</v>
      </c>
      <c r="F204">
        <f>A204*1024/(C204*0.000001)/1000000000*C185</f>
        <v/>
      </c>
      <c r="G204">
        <f>E204/F204</f>
        <v/>
      </c>
    </row>
    <row r="205">
      <c r="A205" t="n">
        <v>65536</v>
      </c>
      <c r="B205" t="n">
        <v>91868.3</v>
      </c>
      <c r="C205">
        <f>C186*CEILING(A205*1024/(C179*C183*C178),1)+A205*1024*C184</f>
        <v/>
      </c>
      <c r="D205">
        <f>B205/C205</f>
        <v/>
      </c>
      <c r="E205" t="n">
        <v>1.37</v>
      </c>
      <c r="F205">
        <f>A205*1024/(C205*0.000001)/1000000000*C185</f>
        <v/>
      </c>
      <c r="G205">
        <f>E205/F205</f>
        <v/>
      </c>
    </row>
    <row r="206">
      <c r="A206" t="n">
        <v>131072</v>
      </c>
      <c r="B206" t="n">
        <v>183764</v>
      </c>
      <c r="C206">
        <f>C186*CEILING(A206*1024/(C179*C183*C178),1)+A206*1024*C184</f>
        <v/>
      </c>
      <c r="D206">
        <f>B206/C206</f>
        <v/>
      </c>
      <c r="E206" t="n">
        <v>1.37</v>
      </c>
      <c r="F206">
        <f>A206*1024/(C206*0.000001)/1000000000*C185</f>
        <v/>
      </c>
      <c r="G206">
        <f>E206/F206</f>
        <v/>
      </c>
    </row>
    <row r="207">
      <c r="A207" t="n">
        <v>262144</v>
      </c>
      <c r="B207" t="n">
        <v>367888</v>
      </c>
      <c r="C207">
        <f>C186*CEILING(A207*1024/(C179*C183*C178),1)+A207*1024*C184</f>
        <v/>
      </c>
      <c r="D207">
        <f>B207/C207</f>
        <v/>
      </c>
      <c r="E207" t="n">
        <v>1.37</v>
      </c>
      <c r="F207">
        <f>A207*1024/(C207*0.000001)/1000000000*C185</f>
        <v/>
      </c>
      <c r="G207">
        <f>E207/F207</f>
        <v/>
      </c>
    </row>
    <row r="208">
      <c r="A208" t="n">
        <v>524288</v>
      </c>
      <c r="B208" t="n">
        <v>736410</v>
      </c>
      <c r="C208">
        <f>C186*CEILING(A208*1024/(C179*C183*C178),1)+A208*1024*C184</f>
        <v/>
      </c>
      <c r="D208">
        <f>B208/C208</f>
        <v/>
      </c>
      <c r="E208" t="n">
        <v>1.37</v>
      </c>
      <c r="F208">
        <f>A208*1024/(C208*0.000001)/1000000000*C185</f>
        <v/>
      </c>
      <c r="G208">
        <f>E208/F208</f>
        <v/>
      </c>
    </row>
    <row r="209">
      <c r="A209" t="n">
        <v>1048576</v>
      </c>
      <c r="B209" t="n">
        <v>1472508</v>
      </c>
      <c r="C209">
        <f>C186*CEILING(A209*1024/(C179*C183*C178),1)+A209*1024*C184</f>
        <v/>
      </c>
      <c r="D209">
        <f>B209/C209</f>
        <v/>
      </c>
      <c r="E209" t="n">
        <v>1.37</v>
      </c>
      <c r="F209">
        <f>A209*1024/(C209*0.000001)/1000000000*C185</f>
        <v/>
      </c>
      <c r="G209">
        <f>E209/F209</f>
        <v/>
      </c>
    </row>
    <row r="210"/>
    <row r="211">
      <c r="A211" t="inlineStr">
        <is>
          <t>Nodes: 16, Protocol: LL, Channels: 2</t>
        </is>
      </c>
    </row>
    <row r="212">
      <c r="A212" t="inlineStr">
        <is>
          <t>Parameter</t>
        </is>
      </c>
      <c r="B212" t="inlineStr">
        <is>
          <t>Formula</t>
        </is>
      </c>
      <c r="C212" t="inlineStr">
        <is>
          <t>Value</t>
        </is>
      </c>
    </row>
    <row r="213">
      <c r="A213" t="inlineStr">
        <is>
          <t>n</t>
        </is>
      </c>
      <c r="B213" t="inlineStr">
        <is>
          <t>nodes on ring</t>
        </is>
      </c>
      <c r="C213" t="n">
        <v>16</v>
      </c>
    </row>
    <row r="214">
      <c r="A214" t="inlineStr">
        <is>
          <t>nch</t>
        </is>
      </c>
      <c r="B214" t="inlineStr">
        <is>
          <t>channels</t>
        </is>
      </c>
      <c r="C214" t="n">
        <v>2</v>
      </c>
    </row>
    <row r="215">
      <c r="A215" t="inlineStr">
        <is>
          <t>a</t>
        </is>
      </c>
      <c r="B215" t="inlineStr">
        <is>
          <t>RTT (us)</t>
        </is>
      </c>
      <c r="C215" t="n">
        <v>25.8107</v>
      </c>
    </row>
    <row r="216">
      <c r="A216" t="inlineStr">
        <is>
          <t>NIC_BW</t>
        </is>
      </c>
      <c r="B216" t="inlineStr">
        <is>
          <t>bytes/us</t>
        </is>
      </c>
      <c r="C216" t="n">
        <v>48750</v>
      </c>
    </row>
    <row r="217">
      <c r="A217" t="inlineStr">
        <is>
          <t>NIC_BW_single_efa</t>
        </is>
      </c>
      <c r="B217" t="inlineStr">
        <is>
          <t>50/2*1e3*0.975</t>
        </is>
      </c>
      <c r="C217" t="n">
        <v>24375</v>
      </c>
    </row>
    <row r="218">
      <c r="A218" t="inlineStr">
        <is>
          <t>chunk_size</t>
        </is>
      </c>
      <c r="B218" t="inlineStr">
        <is>
          <t>32KB (bytes)</t>
        </is>
      </c>
      <c r="C218" t="n">
        <v>32768</v>
      </c>
    </row>
    <row r="219">
      <c r="A219" t="inlineStr">
        <is>
          <t>G</t>
        </is>
      </c>
      <c r="B219" t="inlineStr">
        <is>
          <t>2*2*(n-1)/(n*NIC_BW)</t>
        </is>
      </c>
      <c r="C219">
        <f>2*2*(C213-1)/(C213*C216)</f>
        <v/>
      </c>
    </row>
    <row r="220">
      <c r="A220" t="inlineStr">
        <is>
          <t>busbw_factor</t>
        </is>
      </c>
      <c r="B220" t="inlineStr">
        <is>
          <t>2*(n-1)/n</t>
        </is>
      </c>
      <c r="C220">
        <f>2*(C213-1)/C213</f>
        <v/>
      </c>
    </row>
    <row r="221">
      <c r="A221" t="inlineStr">
        <is>
          <t>fixed_per_step</t>
        </is>
      </c>
      <c r="B221" t="inlineStr">
        <is>
          <t>2*(n-1)*a/2</t>
        </is>
      </c>
      <c r="C221">
        <f>2*(C213-1)*C215/2</f>
        <v/>
      </c>
    </row>
    <row r="222"/>
    <row r="223">
      <c r="A223" t="inlineStr">
        <is>
          <t>size_KB</t>
        </is>
      </c>
      <c r="B223" t="inlineStr">
        <is>
          <t>Actual Time (us)</t>
        </is>
      </c>
      <c r="C223" t="inlineStr">
        <is>
          <t>Roofline Time (us)</t>
        </is>
      </c>
      <c r="D223" t="inlineStr">
        <is>
          <t>Actual/Roofline</t>
        </is>
      </c>
      <c r="E223" t="inlineStr">
        <is>
          <t>Actual busBW (GB/s)</t>
        </is>
      </c>
      <c r="F223" t="inlineStr">
        <is>
          <t>Roofline busBW (GB/s)</t>
        </is>
      </c>
      <c r="G223" t="inlineStr">
        <is>
          <t>Meas/Roof busBW</t>
        </is>
      </c>
    </row>
    <row r="224">
      <c r="A224" t="n">
        <v>1</v>
      </c>
      <c r="B224" t="n">
        <v>409.87</v>
      </c>
      <c r="C224">
        <f>C221*CEILING(A224*1024/(C214*C218*C213),1)+A224*1024*C219</f>
        <v/>
      </c>
      <c r="D224">
        <f>B224/C224</f>
        <v/>
      </c>
      <c r="E224" t="n">
        <v>0</v>
      </c>
      <c r="F224">
        <f>A224*1024/(C224*0.000001)/1000000000*C220</f>
        <v/>
      </c>
      <c r="G224">
        <f>E224/F224</f>
        <v/>
      </c>
    </row>
    <row r="225">
      <c r="A225" t="n">
        <v>2</v>
      </c>
      <c r="B225" t="n">
        <v>410.02</v>
      </c>
      <c r="C225">
        <f>C221*CEILING(A225*1024/(C214*C218*C213),1)+A225*1024*C219</f>
        <v/>
      </c>
      <c r="D225">
        <f>B225/C225</f>
        <v/>
      </c>
      <c r="E225" t="n">
        <v>0.01</v>
      </c>
      <c r="F225">
        <f>A225*1024/(C225*0.000001)/1000000000*C220</f>
        <v/>
      </c>
      <c r="G225">
        <f>E225/F225</f>
        <v/>
      </c>
    </row>
    <row r="226">
      <c r="A226" t="n">
        <v>4</v>
      </c>
      <c r="B226" t="n">
        <v>411.46</v>
      </c>
      <c r="C226">
        <f>C221*CEILING(A226*1024/(C214*C218*C213),1)+A226*1024*C219</f>
        <v/>
      </c>
      <c r="D226">
        <f>B226/C226</f>
        <v/>
      </c>
      <c r="E226" t="n">
        <v>0.02</v>
      </c>
      <c r="F226">
        <f>A226*1024/(C226*0.000001)/1000000000*C220</f>
        <v/>
      </c>
      <c r="G226">
        <f>E226/F226</f>
        <v/>
      </c>
    </row>
    <row r="227">
      <c r="A227" t="n">
        <v>8</v>
      </c>
      <c r="B227" t="n">
        <v>414.11</v>
      </c>
      <c r="C227">
        <f>C221*CEILING(A227*1024/(C214*C218*C213),1)+A227*1024*C219</f>
        <v/>
      </c>
      <c r="D227">
        <f>B227/C227</f>
        <v/>
      </c>
      <c r="E227" t="n">
        <v>0.04</v>
      </c>
      <c r="F227">
        <f>A227*1024/(C227*0.000001)/1000000000*C220</f>
        <v/>
      </c>
      <c r="G227">
        <f>E227/F227</f>
        <v/>
      </c>
    </row>
    <row r="228">
      <c r="A228" t="n">
        <v>16</v>
      </c>
      <c r="B228" t="n">
        <v>420.49</v>
      </c>
      <c r="C228">
        <f>C221*CEILING(A228*1024/(C214*C218*C213),1)+A228*1024*C219</f>
        <v/>
      </c>
      <c r="D228">
        <f>B228/C228</f>
        <v/>
      </c>
      <c r="E228" t="n">
        <v>0.07000000000000001</v>
      </c>
      <c r="F228">
        <f>A228*1024/(C228*0.000001)/1000000000*C220</f>
        <v/>
      </c>
      <c r="G228">
        <f>E228/F228</f>
        <v/>
      </c>
    </row>
    <row r="229">
      <c r="A229" t="n">
        <v>32</v>
      </c>
      <c r="B229" t="n">
        <v>442.26</v>
      </c>
      <c r="C229">
        <f>C221*CEILING(A229*1024/(C214*C218*C213),1)+A229*1024*C219</f>
        <v/>
      </c>
      <c r="D229">
        <f>B229/C229</f>
        <v/>
      </c>
      <c r="E229" t="n">
        <v>0.14</v>
      </c>
      <c r="F229">
        <f>A229*1024/(C229*0.000001)/1000000000*C220</f>
        <v/>
      </c>
      <c r="G229">
        <f>E229/F229</f>
        <v/>
      </c>
    </row>
    <row r="230">
      <c r="A230" t="n">
        <v>64</v>
      </c>
      <c r="B230" t="n">
        <v>496.91</v>
      </c>
      <c r="C230">
        <f>C221*CEILING(A230*1024/(C214*C218*C213),1)+A230*1024*C219</f>
        <v/>
      </c>
      <c r="D230">
        <f>B230/C230</f>
        <v/>
      </c>
      <c r="E230" t="n">
        <v>0.25</v>
      </c>
      <c r="F230">
        <f>A230*1024/(C230*0.000001)/1000000000*C220</f>
        <v/>
      </c>
      <c r="G230">
        <f>E230/F230</f>
        <v/>
      </c>
    </row>
    <row r="231">
      <c r="A231" t="n">
        <v>128</v>
      </c>
      <c r="B231" t="n">
        <v>506.56</v>
      </c>
      <c r="C231">
        <f>C221*CEILING(A231*1024/(C214*C218*C213),1)+A231*1024*C219</f>
        <v/>
      </c>
      <c r="D231">
        <f>B231/C231</f>
        <v/>
      </c>
      <c r="E231" t="n">
        <v>0.49</v>
      </c>
      <c r="F231">
        <f>A231*1024/(C231*0.000001)/1000000000*C220</f>
        <v/>
      </c>
      <c r="G231">
        <f>E231/F231</f>
        <v/>
      </c>
    </row>
    <row r="232">
      <c r="A232" t="n">
        <v>256</v>
      </c>
      <c r="B232" t="n">
        <v>549.8200000000001</v>
      </c>
      <c r="C232">
        <f>C221*CEILING(A232*1024/(C214*C218*C213),1)+A232*1024*C219</f>
        <v/>
      </c>
      <c r="D232">
        <f>B232/C232</f>
        <v/>
      </c>
      <c r="E232" t="n">
        <v>0.89</v>
      </c>
      <c r="F232">
        <f>A232*1024/(C232*0.000001)/1000000000*C220</f>
        <v/>
      </c>
      <c r="G232">
        <f>E232/F232</f>
        <v/>
      </c>
    </row>
    <row r="233">
      <c r="A233" t="n">
        <v>512</v>
      </c>
      <c r="B233" t="n">
        <v>629.76</v>
      </c>
      <c r="C233">
        <f>C221*CEILING(A233*1024/(C214*C218*C213),1)+A233*1024*C219</f>
        <v/>
      </c>
      <c r="D233">
        <f>B233/C233</f>
        <v/>
      </c>
      <c r="E233" t="n">
        <v>1.56</v>
      </c>
      <c r="F233">
        <f>A233*1024/(C233*0.000001)/1000000000*C220</f>
        <v/>
      </c>
      <c r="G233">
        <f>E233/F233</f>
        <v/>
      </c>
    </row>
    <row r="234">
      <c r="A234" t="n">
        <v>1024</v>
      </c>
      <c r="B234" t="n">
        <v>777.1900000000001</v>
      </c>
      <c r="C234">
        <f>C221*CEILING(A234*1024/(C214*C218*C213),1)+A234*1024*C219</f>
        <v/>
      </c>
      <c r="D234">
        <f>B234/C234</f>
        <v/>
      </c>
      <c r="E234" t="n">
        <v>2.53</v>
      </c>
      <c r="F234">
        <f>A234*1024/(C234*0.000001)/1000000000*C220</f>
        <v/>
      </c>
      <c r="G234">
        <f>E234/F234</f>
        <v/>
      </c>
    </row>
    <row r="235">
      <c r="A235" t="n">
        <v>2048</v>
      </c>
      <c r="B235" t="n">
        <v>1529.94</v>
      </c>
      <c r="C235">
        <f>C221*CEILING(A235*1024/(C214*C218*C213),1)+A235*1024*C219</f>
        <v/>
      </c>
      <c r="D235">
        <f>B235/C235</f>
        <v/>
      </c>
      <c r="E235" t="n">
        <v>2.57</v>
      </c>
      <c r="F235">
        <f>A235*1024/(C235*0.000001)/1000000000*C220</f>
        <v/>
      </c>
      <c r="G235">
        <f>E235/F235</f>
        <v/>
      </c>
    </row>
    <row r="236">
      <c r="A236" t="n">
        <v>4096</v>
      </c>
      <c r="B236" t="n">
        <v>3042.5</v>
      </c>
      <c r="C236">
        <f>C221*CEILING(A236*1024/(C214*C218*C213),1)+A236*1024*C219</f>
        <v/>
      </c>
      <c r="D236">
        <f>B236/C236</f>
        <v/>
      </c>
      <c r="E236" t="n">
        <v>2.58</v>
      </c>
      <c r="F236">
        <f>A236*1024/(C236*0.000001)/1000000000*C220</f>
        <v/>
      </c>
      <c r="G236">
        <f>E236/F236</f>
        <v/>
      </c>
    </row>
    <row r="237">
      <c r="A237" t="n">
        <v>8192</v>
      </c>
      <c r="B237" t="n">
        <v>6065.02</v>
      </c>
      <c r="C237">
        <f>C221*CEILING(A237*1024/(C214*C218*C213),1)+A237*1024*C219</f>
        <v/>
      </c>
      <c r="D237">
        <f>B237/C237</f>
        <v/>
      </c>
      <c r="E237" t="n">
        <v>2.59</v>
      </c>
      <c r="F237">
        <f>A237*1024/(C237*0.000001)/1000000000*C220</f>
        <v/>
      </c>
      <c r="G237">
        <f>E237/F237</f>
        <v/>
      </c>
    </row>
    <row r="238">
      <c r="A238" t="n">
        <v>16384</v>
      </c>
      <c r="B238" t="n">
        <v>12096.2</v>
      </c>
      <c r="C238">
        <f>C221*CEILING(A238*1024/(C214*C218*C213),1)+A238*1024*C219</f>
        <v/>
      </c>
      <c r="D238">
        <f>B238/C238</f>
        <v/>
      </c>
      <c r="E238" t="n">
        <v>2.6</v>
      </c>
      <c r="F238">
        <f>A238*1024/(C238*0.000001)/1000000000*C220</f>
        <v/>
      </c>
      <c r="G238">
        <f>E238/F238</f>
        <v/>
      </c>
    </row>
    <row r="239">
      <c r="A239" t="n">
        <v>32768</v>
      </c>
      <c r="B239" t="n">
        <v>24166.2</v>
      </c>
      <c r="C239">
        <f>C221*CEILING(A239*1024/(C214*C218*C213),1)+A239*1024*C219</f>
        <v/>
      </c>
      <c r="D239">
        <f>B239/C239</f>
        <v/>
      </c>
      <c r="E239" t="n">
        <v>2.6</v>
      </c>
      <c r="F239">
        <f>A239*1024/(C239*0.000001)/1000000000*C220</f>
        <v/>
      </c>
      <c r="G239">
        <f>E239/F239</f>
        <v/>
      </c>
    </row>
    <row r="240">
      <c r="A240" t="n">
        <v>65536</v>
      </c>
      <c r="B240" t="n">
        <v>48353.1</v>
      </c>
      <c r="C240">
        <f>C221*CEILING(A240*1024/(C214*C218*C213),1)+A240*1024*C219</f>
        <v/>
      </c>
      <c r="D240">
        <f>B240/C240</f>
        <v/>
      </c>
      <c r="E240" t="n">
        <v>2.6</v>
      </c>
      <c r="F240">
        <f>A240*1024/(C240*0.000001)/1000000000*C220</f>
        <v/>
      </c>
      <c r="G240">
        <f>E240/F240</f>
        <v/>
      </c>
    </row>
    <row r="241">
      <c r="A241" t="n">
        <v>131072</v>
      </c>
      <c r="B241" t="n">
        <v>96790.2</v>
      </c>
      <c r="C241">
        <f>C221*CEILING(A241*1024/(C214*C218*C213),1)+A241*1024*C219</f>
        <v/>
      </c>
      <c r="D241">
        <f>B241/C241</f>
        <v/>
      </c>
      <c r="E241" t="n">
        <v>2.6</v>
      </c>
      <c r="F241">
        <f>A241*1024/(C241*0.000001)/1000000000*C220</f>
        <v/>
      </c>
      <c r="G241">
        <f>E241/F241</f>
        <v/>
      </c>
    </row>
    <row r="242">
      <c r="A242" t="n">
        <v>262144</v>
      </c>
      <c r="B242" t="n">
        <v>193875</v>
      </c>
      <c r="C242">
        <f>C221*CEILING(A242*1024/(C214*C218*C213),1)+A242*1024*C219</f>
        <v/>
      </c>
      <c r="D242">
        <f>B242/C242</f>
        <v/>
      </c>
      <c r="E242" t="n">
        <v>2.6</v>
      </c>
      <c r="F242">
        <f>A242*1024/(C242*0.000001)/1000000000*C220</f>
        <v/>
      </c>
      <c r="G242">
        <f>E242/F242</f>
        <v/>
      </c>
    </row>
    <row r="243">
      <c r="A243" t="n">
        <v>524288</v>
      </c>
      <c r="B243" t="n">
        <v>387651</v>
      </c>
      <c r="C243">
        <f>C221*CEILING(A243*1024/(C214*C218*C213),1)+A243*1024*C219</f>
        <v/>
      </c>
      <c r="D243">
        <f>B243/C243</f>
        <v/>
      </c>
      <c r="E243" t="n">
        <v>2.6</v>
      </c>
      <c r="F243">
        <f>A243*1024/(C243*0.000001)/1000000000*C220</f>
        <v/>
      </c>
      <c r="G243">
        <f>E243/F243</f>
        <v/>
      </c>
    </row>
    <row r="244">
      <c r="A244" t="n">
        <v>1048576</v>
      </c>
      <c r="B244" t="n">
        <v>776634</v>
      </c>
      <c r="C244">
        <f>C221*CEILING(A244*1024/(C214*C218*C213),1)+A244*1024*C219</f>
        <v/>
      </c>
      <c r="D244">
        <f>B244/C244</f>
        <v/>
      </c>
      <c r="E244" t="n">
        <v>2.59</v>
      </c>
      <c r="F244">
        <f>A244*1024/(C244*0.000001)/1000000000*C220</f>
        <v/>
      </c>
      <c r="G244">
        <f>E244/F244</f>
        <v/>
      </c>
    </row>
    <row r="245"/>
    <row r="246">
      <c r="A246" t="inlineStr">
        <is>
          <t>Nodes: 16, Protocol: LL, Channels: 4</t>
        </is>
      </c>
    </row>
    <row r="247">
      <c r="A247" t="inlineStr">
        <is>
          <t>Parameter</t>
        </is>
      </c>
      <c r="B247" t="inlineStr">
        <is>
          <t>Formula</t>
        </is>
      </c>
      <c r="C247" t="inlineStr">
        <is>
          <t>Value</t>
        </is>
      </c>
    </row>
    <row r="248">
      <c r="A248" t="inlineStr">
        <is>
          <t>n</t>
        </is>
      </c>
      <c r="B248" t="inlineStr">
        <is>
          <t>nodes on ring</t>
        </is>
      </c>
      <c r="C248" t="n">
        <v>16</v>
      </c>
    </row>
    <row r="249">
      <c r="A249" t="inlineStr">
        <is>
          <t>nch</t>
        </is>
      </c>
      <c r="B249" t="inlineStr">
        <is>
          <t>channels</t>
        </is>
      </c>
      <c r="C249" t="n">
        <v>4</v>
      </c>
    </row>
    <row r="250">
      <c r="A250" t="inlineStr">
        <is>
          <t>a</t>
        </is>
      </c>
      <c r="B250" t="inlineStr">
        <is>
          <t>RTT (us)</t>
        </is>
      </c>
      <c r="C250" t="n">
        <v>25.8107</v>
      </c>
    </row>
    <row r="251">
      <c r="A251" t="inlineStr">
        <is>
          <t>NIC_BW</t>
        </is>
      </c>
      <c r="B251" t="inlineStr">
        <is>
          <t>bytes/us</t>
        </is>
      </c>
      <c r="C251" t="n">
        <v>48750</v>
      </c>
    </row>
    <row r="252">
      <c r="A252" t="inlineStr">
        <is>
          <t>NIC_BW_single_efa</t>
        </is>
      </c>
      <c r="B252" t="inlineStr">
        <is>
          <t>50/2*1e3*0.975</t>
        </is>
      </c>
      <c r="C252" t="n">
        <v>24375</v>
      </c>
    </row>
    <row r="253">
      <c r="A253" t="inlineStr">
        <is>
          <t>chunk_size</t>
        </is>
      </c>
      <c r="B253" t="inlineStr">
        <is>
          <t>32KB (bytes)</t>
        </is>
      </c>
      <c r="C253" t="n">
        <v>32768</v>
      </c>
    </row>
    <row r="254">
      <c r="A254" t="inlineStr">
        <is>
          <t>G</t>
        </is>
      </c>
      <c r="B254" t="inlineStr">
        <is>
          <t>2*2*(n-1)/(n*NIC_BW)</t>
        </is>
      </c>
      <c r="C254">
        <f>2*2*(C248-1)/(C248*C251)</f>
        <v/>
      </c>
    </row>
    <row r="255">
      <c r="A255" t="inlineStr">
        <is>
          <t>busbw_factor</t>
        </is>
      </c>
      <c r="B255" t="inlineStr">
        <is>
          <t>2*(n-1)/n</t>
        </is>
      </c>
      <c r="C255">
        <f>2*(C248-1)/C248</f>
        <v/>
      </c>
    </row>
    <row r="256">
      <c r="A256" t="inlineStr">
        <is>
          <t>fixed_per_step</t>
        </is>
      </c>
      <c r="B256" t="inlineStr">
        <is>
          <t>2*(n-1)*a/2</t>
        </is>
      </c>
      <c r="C256">
        <f>2*(C248-1)*C250/2</f>
        <v/>
      </c>
    </row>
    <row r="257"/>
    <row r="258">
      <c r="A258" t="inlineStr">
        <is>
          <t>size_KB</t>
        </is>
      </c>
      <c r="B258" t="inlineStr">
        <is>
          <t>Actual Time (us)</t>
        </is>
      </c>
      <c r="C258" t="inlineStr">
        <is>
          <t>Roofline Time (us)</t>
        </is>
      </c>
      <c r="D258" t="inlineStr">
        <is>
          <t>Actual/Roofline</t>
        </is>
      </c>
      <c r="E258" t="inlineStr">
        <is>
          <t>Actual busBW (GB/s)</t>
        </is>
      </c>
      <c r="F258" t="inlineStr">
        <is>
          <t>Roofline busBW (GB/s)</t>
        </is>
      </c>
      <c r="G258" t="inlineStr">
        <is>
          <t>Meas/Roof busBW</t>
        </is>
      </c>
    </row>
    <row r="259">
      <c r="A259" t="n">
        <v>1</v>
      </c>
      <c r="B259" t="n">
        <v>412.74</v>
      </c>
      <c r="C259">
        <f>C256*CEILING(A259*1024/(C249*C253*C248),1)+A259*1024*C254</f>
        <v/>
      </c>
      <c r="D259">
        <f>B259/C259</f>
        <v/>
      </c>
      <c r="E259" t="n">
        <v>0</v>
      </c>
      <c r="F259">
        <f>A259*1024/(C259*0.000001)/1000000000*C255</f>
        <v/>
      </c>
      <c r="G259">
        <f>E259/F259</f>
        <v/>
      </c>
    </row>
    <row r="260">
      <c r="A260" t="n">
        <v>2</v>
      </c>
      <c r="B260" t="n">
        <v>406.24</v>
      </c>
      <c r="C260">
        <f>C256*CEILING(A260*1024/(C249*C253*C248),1)+A260*1024*C254</f>
        <v/>
      </c>
      <c r="D260">
        <f>B260/C260</f>
        <v/>
      </c>
      <c r="E260" t="n">
        <v>0.01</v>
      </c>
      <c r="F260">
        <f>A260*1024/(C260*0.000001)/1000000000*C255</f>
        <v/>
      </c>
      <c r="G260">
        <f>E260/F260</f>
        <v/>
      </c>
    </row>
    <row r="261">
      <c r="A261" t="n">
        <v>4</v>
      </c>
      <c r="B261" t="n">
        <v>407.78</v>
      </c>
      <c r="C261">
        <f>C256*CEILING(A261*1024/(C249*C253*C248),1)+A261*1024*C254</f>
        <v/>
      </c>
      <c r="D261">
        <f>B261/C261</f>
        <v/>
      </c>
      <c r="E261" t="n">
        <v>0.02</v>
      </c>
      <c r="F261">
        <f>A261*1024/(C261*0.000001)/1000000000*C255</f>
        <v/>
      </c>
      <c r="G261">
        <f>E261/F261</f>
        <v/>
      </c>
    </row>
    <row r="262">
      <c r="A262" t="n">
        <v>8</v>
      </c>
      <c r="B262" t="n">
        <v>411.94</v>
      </c>
      <c r="C262">
        <f>C256*CEILING(A262*1024/(C249*C253*C248),1)+A262*1024*C254</f>
        <v/>
      </c>
      <c r="D262">
        <f>B262/C262</f>
        <v/>
      </c>
      <c r="E262" t="n">
        <v>0.04</v>
      </c>
      <c r="F262">
        <f>A262*1024/(C262*0.000001)/1000000000*C255</f>
        <v/>
      </c>
      <c r="G262">
        <f>E262/F262</f>
        <v/>
      </c>
    </row>
    <row r="263">
      <c r="A263" t="n">
        <v>16</v>
      </c>
      <c r="B263" t="n">
        <v>418.48</v>
      </c>
      <c r="C263">
        <f>C256*CEILING(A263*1024/(C249*C253*C248),1)+A263*1024*C254</f>
        <v/>
      </c>
      <c r="D263">
        <f>B263/C263</f>
        <v/>
      </c>
      <c r="E263" t="n">
        <v>0.07000000000000001</v>
      </c>
      <c r="F263">
        <f>A263*1024/(C263*0.000001)/1000000000*C255</f>
        <v/>
      </c>
      <c r="G263">
        <f>E263/F263</f>
        <v/>
      </c>
    </row>
    <row r="264">
      <c r="A264" t="n">
        <v>32</v>
      </c>
      <c r="B264" t="n">
        <v>441.93</v>
      </c>
      <c r="C264">
        <f>C256*CEILING(A264*1024/(C249*C253*C248),1)+A264*1024*C254</f>
        <v/>
      </c>
      <c r="D264">
        <f>B264/C264</f>
        <v/>
      </c>
      <c r="E264" t="n">
        <v>0.14</v>
      </c>
      <c r="F264">
        <f>A264*1024/(C264*0.000001)/1000000000*C255</f>
        <v/>
      </c>
      <c r="G264">
        <f>E264/F264</f>
        <v/>
      </c>
    </row>
    <row r="265">
      <c r="A265" t="n">
        <v>64</v>
      </c>
      <c r="B265" t="n">
        <v>498.73</v>
      </c>
      <c r="C265">
        <f>C256*CEILING(A265*1024/(C249*C253*C248),1)+A265*1024*C254</f>
        <v/>
      </c>
      <c r="D265">
        <f>B265/C265</f>
        <v/>
      </c>
      <c r="E265" t="n">
        <v>0.25</v>
      </c>
      <c r="F265">
        <f>A265*1024/(C265*0.000001)/1000000000*C255</f>
        <v/>
      </c>
      <c r="G265">
        <f>E265/F265</f>
        <v/>
      </c>
    </row>
    <row r="266">
      <c r="A266" t="n">
        <v>128</v>
      </c>
      <c r="B266" t="n">
        <v>511.33</v>
      </c>
      <c r="C266">
        <f>C256*CEILING(A266*1024/(C249*C253*C248),1)+A266*1024*C254</f>
        <v/>
      </c>
      <c r="D266">
        <f>B266/C266</f>
        <v/>
      </c>
      <c r="E266" t="n">
        <v>0.48</v>
      </c>
      <c r="F266">
        <f>A266*1024/(C266*0.000001)/1000000000*C255</f>
        <v/>
      </c>
      <c r="G266">
        <f>E266/F266</f>
        <v/>
      </c>
    </row>
    <row r="267">
      <c r="A267" t="n">
        <v>256</v>
      </c>
      <c r="B267" t="n">
        <v>530.45</v>
      </c>
      <c r="C267">
        <f>C256*CEILING(A267*1024/(C249*C253*C248),1)+A267*1024*C254</f>
        <v/>
      </c>
      <c r="D267">
        <f>B267/C267</f>
        <v/>
      </c>
      <c r="E267" t="n">
        <v>0.93</v>
      </c>
      <c r="F267">
        <f>A267*1024/(C267*0.000001)/1000000000*C255</f>
        <v/>
      </c>
      <c r="G267">
        <f>E267/F267</f>
        <v/>
      </c>
    </row>
    <row r="268">
      <c r="A268" t="n">
        <v>512</v>
      </c>
      <c r="B268" t="n">
        <v>588.88</v>
      </c>
      <c r="C268">
        <f>C256*CEILING(A268*1024/(C249*C253*C248),1)+A268*1024*C254</f>
        <v/>
      </c>
      <c r="D268">
        <f>B268/C268</f>
        <v/>
      </c>
      <c r="E268" t="n">
        <v>1.67</v>
      </c>
      <c r="F268">
        <f>A268*1024/(C268*0.000001)/1000000000*C255</f>
        <v/>
      </c>
      <c r="G268">
        <f>E268/F268</f>
        <v/>
      </c>
    </row>
    <row r="269">
      <c r="A269" t="n">
        <v>1024</v>
      </c>
      <c r="B269" t="n">
        <v>680.3200000000001</v>
      </c>
      <c r="C269">
        <f>C256*CEILING(A269*1024/(C249*C253*C248),1)+A269*1024*C254</f>
        <v/>
      </c>
      <c r="D269">
        <f>B269/C269</f>
        <v/>
      </c>
      <c r="E269" t="n">
        <v>2.89</v>
      </c>
      <c r="F269">
        <f>A269*1024/(C269*0.000001)/1000000000*C255</f>
        <v/>
      </c>
      <c r="G269">
        <f>E269/F269</f>
        <v/>
      </c>
    </row>
    <row r="270">
      <c r="A270" t="n">
        <v>2048</v>
      </c>
      <c r="B270" t="n">
        <v>943.17</v>
      </c>
      <c r="C270">
        <f>C256*CEILING(A270*1024/(C249*C253*C248),1)+A270*1024*C254</f>
        <v/>
      </c>
      <c r="D270">
        <f>B270/C270</f>
        <v/>
      </c>
      <c r="E270" t="n">
        <v>4.17</v>
      </c>
      <c r="F270">
        <f>A270*1024/(C270*0.000001)/1000000000*C255</f>
        <v/>
      </c>
      <c r="G270">
        <f>E270/F270</f>
        <v/>
      </c>
    </row>
    <row r="271">
      <c r="A271" t="n">
        <v>4096</v>
      </c>
      <c r="B271" t="n">
        <v>1848.75</v>
      </c>
      <c r="C271">
        <f>C256*CEILING(A271*1024/(C249*C253*C248),1)+A271*1024*C254</f>
        <v/>
      </c>
      <c r="D271">
        <f>B271/C271</f>
        <v/>
      </c>
      <c r="E271" t="n">
        <v>4.25</v>
      </c>
      <c r="F271">
        <f>A271*1024/(C271*0.000001)/1000000000*C255</f>
        <v/>
      </c>
      <c r="G271">
        <f>E271/F271</f>
        <v/>
      </c>
    </row>
    <row r="272">
      <c r="A272" t="n">
        <v>8192</v>
      </c>
      <c r="B272" t="n">
        <v>3661.01</v>
      </c>
      <c r="C272">
        <f>C256*CEILING(A272*1024/(C249*C253*C248),1)+A272*1024*C254</f>
        <v/>
      </c>
      <c r="D272">
        <f>B272/C272</f>
        <v/>
      </c>
      <c r="E272" t="n">
        <v>4.3</v>
      </c>
      <c r="F272">
        <f>A272*1024/(C272*0.000001)/1000000000*C255</f>
        <v/>
      </c>
      <c r="G272">
        <f>E272/F272</f>
        <v/>
      </c>
    </row>
    <row r="273">
      <c r="A273" t="n">
        <v>16384</v>
      </c>
      <c r="B273" t="n">
        <v>7289.19</v>
      </c>
      <c r="C273">
        <f>C256*CEILING(A273*1024/(C249*C253*C248),1)+A273*1024*C254</f>
        <v/>
      </c>
      <c r="D273">
        <f>B273/C273</f>
        <v/>
      </c>
      <c r="E273" t="n">
        <v>4.32</v>
      </c>
      <c r="F273">
        <f>A273*1024/(C273*0.000001)/1000000000*C255</f>
        <v/>
      </c>
      <c r="G273">
        <f>E273/F273</f>
        <v/>
      </c>
    </row>
    <row r="274">
      <c r="A274" t="n">
        <v>32768</v>
      </c>
      <c r="B274" t="n">
        <v>14541.4</v>
      </c>
      <c r="C274">
        <f>C256*CEILING(A274*1024/(C249*C253*C248),1)+A274*1024*C254</f>
        <v/>
      </c>
      <c r="D274">
        <f>B274/C274</f>
        <v/>
      </c>
      <c r="E274" t="n">
        <v>4.33</v>
      </c>
      <c r="F274">
        <f>A274*1024/(C274*0.000001)/1000000000*C255</f>
        <v/>
      </c>
      <c r="G274">
        <f>E274/F274</f>
        <v/>
      </c>
    </row>
    <row r="275">
      <c r="A275" t="n">
        <v>65536</v>
      </c>
      <c r="B275" t="n">
        <v>29065.5</v>
      </c>
      <c r="C275">
        <f>C256*CEILING(A275*1024/(C249*C253*C248),1)+A275*1024*C254</f>
        <v/>
      </c>
      <c r="D275">
        <f>B275/C275</f>
        <v/>
      </c>
      <c r="E275" t="n">
        <v>4.33</v>
      </c>
      <c r="F275">
        <f>A275*1024/(C275*0.000001)/1000000000*C255</f>
        <v/>
      </c>
      <c r="G275">
        <f>E275/F275</f>
        <v/>
      </c>
    </row>
    <row r="276">
      <c r="A276" t="n">
        <v>131072</v>
      </c>
      <c r="B276" t="n">
        <v>58096.7</v>
      </c>
      <c r="C276">
        <f>C256*CEILING(A276*1024/(C249*C253*C248),1)+A276*1024*C254</f>
        <v/>
      </c>
      <c r="D276">
        <f>B276/C276</f>
        <v/>
      </c>
      <c r="E276" t="n">
        <v>4.33</v>
      </c>
      <c r="F276">
        <f>A276*1024/(C276*0.000001)/1000000000*C255</f>
        <v/>
      </c>
      <c r="G276">
        <f>E276/F276</f>
        <v/>
      </c>
    </row>
    <row r="277">
      <c r="A277" t="n">
        <v>262144</v>
      </c>
      <c r="B277" t="n">
        <v>116209</v>
      </c>
      <c r="C277">
        <f>C256*CEILING(A277*1024/(C249*C253*C248),1)+A277*1024*C254</f>
        <v/>
      </c>
      <c r="D277">
        <f>B277/C277</f>
        <v/>
      </c>
      <c r="E277" t="n">
        <v>4.33</v>
      </c>
      <c r="F277">
        <f>A277*1024/(C277*0.000001)/1000000000*C255</f>
        <v/>
      </c>
      <c r="G277">
        <f>E277/F277</f>
        <v/>
      </c>
    </row>
    <row r="278">
      <c r="A278" t="n">
        <v>524288</v>
      </c>
      <c r="B278" t="n">
        <v>231690</v>
      </c>
      <c r="C278">
        <f>C256*CEILING(A278*1024/(C249*C253*C248),1)+A278*1024*C254</f>
        <v/>
      </c>
      <c r="D278">
        <f>B278/C278</f>
        <v/>
      </c>
      <c r="E278" t="n">
        <v>4.34</v>
      </c>
      <c r="F278">
        <f>A278*1024/(C278*0.000001)/1000000000*C255</f>
        <v/>
      </c>
      <c r="G278">
        <f>E278/F278</f>
        <v/>
      </c>
    </row>
    <row r="279">
      <c r="A279" t="n">
        <v>1048576</v>
      </c>
      <c r="B279" t="n">
        <v>464085</v>
      </c>
      <c r="C279">
        <f>C256*CEILING(A279*1024/(C249*C253*C248),1)+A279*1024*C254</f>
        <v/>
      </c>
      <c r="D279">
        <f>B279/C279</f>
        <v/>
      </c>
      <c r="E279" t="n">
        <v>4.34</v>
      </c>
      <c r="F279">
        <f>A279*1024/(C279*0.000001)/1000000000*C255</f>
        <v/>
      </c>
      <c r="G279">
        <f>E279/F279</f>
        <v/>
      </c>
    </row>
    <row r="280"/>
    <row r="281">
      <c r="A281" t="inlineStr">
        <is>
          <t>Nodes: 16, Protocol: LL, Channels: 8</t>
        </is>
      </c>
    </row>
    <row r="282">
      <c r="A282" t="inlineStr">
        <is>
          <t>Parameter</t>
        </is>
      </c>
      <c r="B282" t="inlineStr">
        <is>
          <t>Formula</t>
        </is>
      </c>
      <c r="C282" t="inlineStr">
        <is>
          <t>Value</t>
        </is>
      </c>
    </row>
    <row r="283">
      <c r="A283" t="inlineStr">
        <is>
          <t>n</t>
        </is>
      </c>
      <c r="B283" t="inlineStr">
        <is>
          <t>nodes on ring</t>
        </is>
      </c>
      <c r="C283" t="n">
        <v>16</v>
      </c>
    </row>
    <row r="284">
      <c r="A284" t="inlineStr">
        <is>
          <t>nch</t>
        </is>
      </c>
      <c r="B284" t="inlineStr">
        <is>
          <t>channels</t>
        </is>
      </c>
      <c r="C284" t="n">
        <v>8</v>
      </c>
    </row>
    <row r="285">
      <c r="A285" t="inlineStr">
        <is>
          <t>a</t>
        </is>
      </c>
      <c r="B285" t="inlineStr">
        <is>
          <t>RTT (us)</t>
        </is>
      </c>
      <c r="C285" t="n">
        <v>25.8107</v>
      </c>
    </row>
    <row r="286">
      <c r="A286" t="inlineStr">
        <is>
          <t>NIC_BW</t>
        </is>
      </c>
      <c r="B286" t="inlineStr">
        <is>
          <t>bytes/us</t>
        </is>
      </c>
      <c r="C286" t="n">
        <v>48750</v>
      </c>
    </row>
    <row r="287">
      <c r="A287" t="inlineStr">
        <is>
          <t>NIC_BW_single_efa</t>
        </is>
      </c>
      <c r="B287" t="inlineStr">
        <is>
          <t>50/2*1e3*0.975</t>
        </is>
      </c>
      <c r="C287" t="n">
        <v>24375</v>
      </c>
    </row>
    <row r="288">
      <c r="A288" t="inlineStr">
        <is>
          <t>chunk_size</t>
        </is>
      </c>
      <c r="B288" t="inlineStr">
        <is>
          <t>32KB (bytes)</t>
        </is>
      </c>
      <c r="C288" t="n">
        <v>32768</v>
      </c>
    </row>
    <row r="289">
      <c r="A289" t="inlineStr">
        <is>
          <t>G</t>
        </is>
      </c>
      <c r="B289" t="inlineStr">
        <is>
          <t>2*2*(n-1)/(n*NIC_BW)</t>
        </is>
      </c>
      <c r="C289">
        <f>2*2*(C283-1)/(C283*C286)</f>
        <v/>
      </c>
    </row>
    <row r="290">
      <c r="A290" t="inlineStr">
        <is>
          <t>busbw_factor</t>
        </is>
      </c>
      <c r="B290" t="inlineStr">
        <is>
          <t>2*(n-1)/n</t>
        </is>
      </c>
      <c r="C290">
        <f>2*(C283-1)/C283</f>
        <v/>
      </c>
    </row>
    <row r="291">
      <c r="A291" t="inlineStr">
        <is>
          <t>fixed_per_step</t>
        </is>
      </c>
      <c r="B291" t="inlineStr">
        <is>
          <t>2*(n-1)*a/2</t>
        </is>
      </c>
      <c r="C291">
        <f>2*(C283-1)*C285/2</f>
        <v/>
      </c>
    </row>
    <row r="292"/>
    <row r="293">
      <c r="A293" t="inlineStr">
        <is>
          <t>size_KB</t>
        </is>
      </c>
      <c r="B293" t="inlineStr">
        <is>
          <t>Actual Time (us)</t>
        </is>
      </c>
      <c r="C293" t="inlineStr">
        <is>
          <t>Roofline Time (us)</t>
        </is>
      </c>
      <c r="D293" t="inlineStr">
        <is>
          <t>Actual/Roofline</t>
        </is>
      </c>
      <c r="E293" t="inlineStr">
        <is>
          <t>Actual busBW (GB/s)</t>
        </is>
      </c>
      <c r="F293" t="inlineStr">
        <is>
          <t>Roofline busBW (GB/s)</t>
        </is>
      </c>
      <c r="G293" t="inlineStr">
        <is>
          <t>Meas/Roof busBW</t>
        </is>
      </c>
    </row>
    <row r="294">
      <c r="A294" t="n">
        <v>1</v>
      </c>
      <c r="B294" t="n">
        <v>415.09</v>
      </c>
      <c r="C294">
        <f>C291*CEILING(A294*1024/(C284*C288*C283),1)+A294*1024*C289</f>
        <v/>
      </c>
      <c r="D294">
        <f>B294/C294</f>
        <v/>
      </c>
      <c r="E294" t="n">
        <v>0</v>
      </c>
      <c r="F294">
        <f>A294*1024/(C294*0.000001)/1000000000*C290</f>
        <v/>
      </c>
      <c r="G294">
        <f>E294/F294</f>
        <v/>
      </c>
    </row>
    <row r="295">
      <c r="A295" t="n">
        <v>2</v>
      </c>
      <c r="B295" t="n">
        <v>411.38</v>
      </c>
      <c r="C295">
        <f>C291*CEILING(A295*1024/(C284*C288*C283),1)+A295*1024*C289</f>
        <v/>
      </c>
      <c r="D295">
        <f>B295/C295</f>
        <v/>
      </c>
      <c r="E295" t="n">
        <v>0.01</v>
      </c>
      <c r="F295">
        <f>A295*1024/(C295*0.000001)/1000000000*C290</f>
        <v/>
      </c>
      <c r="G295">
        <f>E295/F295</f>
        <v/>
      </c>
    </row>
    <row r="296">
      <c r="A296" t="n">
        <v>4</v>
      </c>
      <c r="B296" t="n">
        <v>408.81</v>
      </c>
      <c r="C296">
        <f>C291*CEILING(A296*1024/(C284*C288*C283),1)+A296*1024*C289</f>
        <v/>
      </c>
      <c r="D296">
        <f>B296/C296</f>
        <v/>
      </c>
      <c r="E296" t="n">
        <v>0.02</v>
      </c>
      <c r="F296">
        <f>A296*1024/(C296*0.000001)/1000000000*C290</f>
        <v/>
      </c>
      <c r="G296">
        <f>E296/F296</f>
        <v/>
      </c>
    </row>
    <row r="297">
      <c r="A297" t="n">
        <v>8</v>
      </c>
      <c r="B297" t="n">
        <v>413.03</v>
      </c>
      <c r="C297">
        <f>C291*CEILING(A297*1024/(C284*C288*C283),1)+A297*1024*C289</f>
        <v/>
      </c>
      <c r="D297">
        <f>B297/C297</f>
        <v/>
      </c>
      <c r="E297" t="n">
        <v>0.04</v>
      </c>
      <c r="F297">
        <f>A297*1024/(C297*0.000001)/1000000000*C290</f>
        <v/>
      </c>
      <c r="G297">
        <f>E297/F297</f>
        <v/>
      </c>
    </row>
    <row r="298">
      <c r="A298" t="n">
        <v>16</v>
      </c>
      <c r="B298" t="n">
        <v>419.65</v>
      </c>
      <c r="C298">
        <f>C291*CEILING(A298*1024/(C284*C288*C283),1)+A298*1024*C289</f>
        <v/>
      </c>
      <c r="D298">
        <f>B298/C298</f>
        <v/>
      </c>
      <c r="E298" t="n">
        <v>0.07000000000000001</v>
      </c>
      <c r="F298">
        <f>A298*1024/(C298*0.000001)/1000000000*C290</f>
        <v/>
      </c>
      <c r="G298">
        <f>E298/F298</f>
        <v/>
      </c>
    </row>
    <row r="299">
      <c r="A299" t="n">
        <v>32</v>
      </c>
      <c r="B299" t="n">
        <v>444.95</v>
      </c>
      <c r="C299">
        <f>C291*CEILING(A299*1024/(C284*C288*C283),1)+A299*1024*C289</f>
        <v/>
      </c>
      <c r="D299">
        <f>B299/C299</f>
        <v/>
      </c>
      <c r="E299" t="n">
        <v>0.14</v>
      </c>
      <c r="F299">
        <f>A299*1024/(C299*0.000001)/1000000000*C290</f>
        <v/>
      </c>
      <c r="G299">
        <f>E299/F299</f>
        <v/>
      </c>
    </row>
    <row r="300">
      <c r="A300" t="n">
        <v>64</v>
      </c>
      <c r="B300" t="n">
        <v>497.12</v>
      </c>
      <c r="C300">
        <f>C291*CEILING(A300*1024/(C284*C288*C283),1)+A300*1024*C289</f>
        <v/>
      </c>
      <c r="D300">
        <f>B300/C300</f>
        <v/>
      </c>
      <c r="E300" t="n">
        <v>0.25</v>
      </c>
      <c r="F300">
        <f>A300*1024/(C300*0.000001)/1000000000*C290</f>
        <v/>
      </c>
      <c r="G300">
        <f>E300/F300</f>
        <v/>
      </c>
    </row>
    <row r="301">
      <c r="A301" t="n">
        <v>128</v>
      </c>
      <c r="B301" t="n">
        <v>512.01</v>
      </c>
      <c r="C301">
        <f>C291*CEILING(A301*1024/(C284*C288*C283),1)+A301*1024*C289</f>
        <v/>
      </c>
      <c r="D301">
        <f>B301/C301</f>
        <v/>
      </c>
      <c r="E301" t="n">
        <v>0.48</v>
      </c>
      <c r="F301">
        <f>A301*1024/(C301*0.000001)/1000000000*C290</f>
        <v/>
      </c>
      <c r="G301">
        <f>E301/F301</f>
        <v/>
      </c>
    </row>
    <row r="302">
      <c r="A302" t="n">
        <v>256</v>
      </c>
      <c r="B302" t="n">
        <v>525.34</v>
      </c>
      <c r="C302">
        <f>C291*CEILING(A302*1024/(C284*C288*C283),1)+A302*1024*C289</f>
        <v/>
      </c>
      <c r="D302">
        <f>B302/C302</f>
        <v/>
      </c>
      <c r="E302" t="n">
        <v>0.9399999999999999</v>
      </c>
      <c r="F302">
        <f>A302*1024/(C302*0.000001)/1000000000*C290</f>
        <v/>
      </c>
      <c r="G302">
        <f>E302/F302</f>
        <v/>
      </c>
    </row>
    <row r="303">
      <c r="A303" t="n">
        <v>512</v>
      </c>
      <c r="B303" t="n">
        <v>595.38</v>
      </c>
      <c r="C303">
        <f>C291*CEILING(A303*1024/(C284*C288*C283),1)+A303*1024*C289</f>
        <v/>
      </c>
      <c r="D303">
        <f>B303/C303</f>
        <v/>
      </c>
      <c r="E303" t="n">
        <v>1.65</v>
      </c>
      <c r="F303">
        <f>A303*1024/(C303*0.000001)/1000000000*C290</f>
        <v/>
      </c>
      <c r="G303">
        <f>E303/F303</f>
        <v/>
      </c>
    </row>
    <row r="304">
      <c r="A304" t="n">
        <v>1024</v>
      </c>
      <c r="B304" t="n">
        <v>680.4</v>
      </c>
      <c r="C304">
        <f>C291*CEILING(A304*1024/(C284*C288*C283),1)+A304*1024*C289</f>
        <v/>
      </c>
      <c r="D304">
        <f>B304/C304</f>
        <v/>
      </c>
      <c r="E304" t="n">
        <v>2.89</v>
      </c>
      <c r="F304">
        <f>A304*1024/(C304*0.000001)/1000000000*C290</f>
        <v/>
      </c>
      <c r="G304">
        <f>E304/F304</f>
        <v/>
      </c>
    </row>
    <row r="305">
      <c r="A305" t="n">
        <v>2048</v>
      </c>
      <c r="B305" t="n">
        <v>895.41</v>
      </c>
      <c r="C305">
        <f>C291*CEILING(A305*1024/(C284*C288*C283),1)+A305*1024*C289</f>
        <v/>
      </c>
      <c r="D305">
        <f>B305/C305</f>
        <v/>
      </c>
      <c r="E305" t="n">
        <v>4.39</v>
      </c>
      <c r="F305">
        <f>A305*1024/(C305*0.000001)/1000000000*C290</f>
        <v/>
      </c>
      <c r="G305">
        <f>E305/F305</f>
        <v/>
      </c>
    </row>
    <row r="306">
      <c r="A306" t="n">
        <v>4096</v>
      </c>
      <c r="B306" t="n">
        <v>1640.56</v>
      </c>
      <c r="C306">
        <f>C291*CEILING(A306*1024/(C284*C288*C283),1)+A306*1024*C289</f>
        <v/>
      </c>
      <c r="D306">
        <f>B306/C306</f>
        <v/>
      </c>
      <c r="E306" t="n">
        <v>4.79</v>
      </c>
      <c r="F306">
        <f>A306*1024/(C306*0.000001)/1000000000*C290</f>
        <v/>
      </c>
      <c r="G306">
        <f>E306/F306</f>
        <v/>
      </c>
    </row>
    <row r="307">
      <c r="A307" t="n">
        <v>8192</v>
      </c>
      <c r="B307" t="n">
        <v>3217.56</v>
      </c>
      <c r="C307">
        <f>C291*CEILING(A307*1024/(C284*C288*C283),1)+A307*1024*C289</f>
        <v/>
      </c>
      <c r="D307">
        <f>B307/C307</f>
        <v/>
      </c>
      <c r="E307" t="n">
        <v>4.89</v>
      </c>
      <c r="F307">
        <f>A307*1024/(C307*0.000001)/1000000000*C290</f>
        <v/>
      </c>
      <c r="G307">
        <f>E307/F307</f>
        <v/>
      </c>
    </row>
    <row r="308">
      <c r="A308" t="n">
        <v>16384</v>
      </c>
      <c r="B308" t="n">
        <v>6371.69</v>
      </c>
      <c r="C308">
        <f>C291*CEILING(A308*1024/(C284*C288*C283),1)+A308*1024*C289</f>
        <v/>
      </c>
      <c r="D308">
        <f>B308/C308</f>
        <v/>
      </c>
      <c r="E308" t="n">
        <v>4.94</v>
      </c>
      <c r="F308">
        <f>A308*1024/(C308*0.000001)/1000000000*C290</f>
        <v/>
      </c>
      <c r="G308">
        <f>E308/F308</f>
        <v/>
      </c>
    </row>
    <row r="309">
      <c r="A309" t="n">
        <v>32768</v>
      </c>
      <c r="B309" t="n">
        <v>12692.1</v>
      </c>
      <c r="C309">
        <f>C291*CEILING(A309*1024/(C284*C288*C283),1)+A309*1024*C289</f>
        <v/>
      </c>
      <c r="D309">
        <f>B309/C309</f>
        <v/>
      </c>
      <c r="E309" t="n">
        <v>4.96</v>
      </c>
      <c r="F309">
        <f>A309*1024/(C309*0.000001)/1000000000*C290</f>
        <v/>
      </c>
      <c r="G309">
        <f>E309/F309</f>
        <v/>
      </c>
    </row>
    <row r="310">
      <c r="A310" t="n">
        <v>65536</v>
      </c>
      <c r="B310" t="n">
        <v>25293.3</v>
      </c>
      <c r="C310">
        <f>C291*CEILING(A310*1024/(C284*C288*C283),1)+A310*1024*C289</f>
        <v/>
      </c>
      <c r="D310">
        <f>B310/C310</f>
        <v/>
      </c>
      <c r="E310" t="n">
        <v>4.97</v>
      </c>
      <c r="F310">
        <f>A310*1024/(C310*0.000001)/1000000000*C290</f>
        <v/>
      </c>
      <c r="G310">
        <f>E310/F310</f>
        <v/>
      </c>
    </row>
    <row r="311">
      <c r="A311" t="n">
        <v>131072</v>
      </c>
      <c r="B311" t="n">
        <v>50511.6</v>
      </c>
      <c r="C311">
        <f>C291*CEILING(A311*1024/(C284*C288*C283),1)+A311*1024*C289</f>
        <v/>
      </c>
      <c r="D311">
        <f>B311/C311</f>
        <v/>
      </c>
      <c r="E311" t="n">
        <v>4.98</v>
      </c>
      <c r="F311">
        <f>A311*1024/(C311*0.000001)/1000000000*C290</f>
        <v/>
      </c>
      <c r="G311">
        <f>E311/F311</f>
        <v/>
      </c>
    </row>
    <row r="312">
      <c r="A312" t="n">
        <v>262144</v>
      </c>
      <c r="B312" t="n">
        <v>101004</v>
      </c>
      <c r="C312">
        <f>C291*CEILING(A312*1024/(C284*C288*C283),1)+A312*1024*C289</f>
        <v/>
      </c>
      <c r="D312">
        <f>B312/C312</f>
        <v/>
      </c>
      <c r="E312" t="n">
        <v>4.98</v>
      </c>
      <c r="F312">
        <f>A312*1024/(C312*0.000001)/1000000000*C290</f>
        <v/>
      </c>
      <c r="G312">
        <f>E312/F312</f>
        <v/>
      </c>
    </row>
    <row r="313">
      <c r="A313" t="n">
        <v>524288</v>
      </c>
      <c r="B313" t="n">
        <v>201856</v>
      </c>
      <c r="C313">
        <f>C291*CEILING(A313*1024/(C284*C288*C283),1)+A313*1024*C289</f>
        <v/>
      </c>
      <c r="D313">
        <f>B313/C313</f>
        <v/>
      </c>
      <c r="E313" t="n">
        <v>4.99</v>
      </c>
      <c r="F313">
        <f>A313*1024/(C313*0.000001)/1000000000*C290</f>
        <v/>
      </c>
      <c r="G313">
        <f>E313/F313</f>
        <v/>
      </c>
    </row>
    <row r="314">
      <c r="A314" t="n">
        <v>1048576</v>
      </c>
      <c r="B314" t="n">
        <v>403628</v>
      </c>
      <c r="C314">
        <f>C291*CEILING(A314*1024/(C284*C288*C283),1)+A314*1024*C289</f>
        <v/>
      </c>
      <c r="D314">
        <f>B314/C314</f>
        <v/>
      </c>
      <c r="E314" t="n">
        <v>4.99</v>
      </c>
      <c r="F314">
        <f>A314*1024/(C314*0.000001)/1000000000*C290</f>
        <v/>
      </c>
      <c r="G314">
        <f>E314/F314</f>
        <v/>
      </c>
    </row>
    <row r="315"/>
    <row r="316">
      <c r="A316" t="inlineStr">
        <is>
          <t>Nodes: 16, Protocol: LL, Channels: 16</t>
        </is>
      </c>
    </row>
    <row r="317">
      <c r="A317" t="inlineStr">
        <is>
          <t>Parameter</t>
        </is>
      </c>
      <c r="B317" t="inlineStr">
        <is>
          <t>Formula</t>
        </is>
      </c>
      <c r="C317" t="inlineStr">
        <is>
          <t>Value</t>
        </is>
      </c>
    </row>
    <row r="318">
      <c r="A318" t="inlineStr">
        <is>
          <t>n</t>
        </is>
      </c>
      <c r="B318" t="inlineStr">
        <is>
          <t>nodes on ring</t>
        </is>
      </c>
      <c r="C318" t="n">
        <v>16</v>
      </c>
    </row>
    <row r="319">
      <c r="A319" t="inlineStr">
        <is>
          <t>nch</t>
        </is>
      </c>
      <c r="B319" t="inlineStr">
        <is>
          <t>channels</t>
        </is>
      </c>
      <c r="C319" t="n">
        <v>16</v>
      </c>
    </row>
    <row r="320">
      <c r="A320" t="inlineStr">
        <is>
          <t>a</t>
        </is>
      </c>
      <c r="B320" t="inlineStr">
        <is>
          <t>RTT (us)</t>
        </is>
      </c>
      <c r="C320" t="n">
        <v>25.8107</v>
      </c>
    </row>
    <row r="321">
      <c r="A321" t="inlineStr">
        <is>
          <t>NIC_BW</t>
        </is>
      </c>
      <c r="B321" t="inlineStr">
        <is>
          <t>bytes/us</t>
        </is>
      </c>
      <c r="C321" t="n">
        <v>48750</v>
      </c>
    </row>
    <row r="322">
      <c r="A322" t="inlineStr">
        <is>
          <t>NIC_BW_single_efa</t>
        </is>
      </c>
      <c r="B322" t="inlineStr">
        <is>
          <t>50/2*1e3*0.975</t>
        </is>
      </c>
      <c r="C322" t="n">
        <v>24375</v>
      </c>
    </row>
    <row r="323">
      <c r="A323" t="inlineStr">
        <is>
          <t>chunk_size</t>
        </is>
      </c>
      <c r="B323" t="inlineStr">
        <is>
          <t>32KB (bytes)</t>
        </is>
      </c>
      <c r="C323" t="n">
        <v>32768</v>
      </c>
    </row>
    <row r="324">
      <c r="A324" t="inlineStr">
        <is>
          <t>G</t>
        </is>
      </c>
      <c r="B324" t="inlineStr">
        <is>
          <t>2*2*(n-1)/(n*NIC_BW)</t>
        </is>
      </c>
      <c r="C324">
        <f>2*2*(C318-1)/(C318*C321)</f>
        <v/>
      </c>
    </row>
    <row r="325">
      <c r="A325" t="inlineStr">
        <is>
          <t>busbw_factor</t>
        </is>
      </c>
      <c r="B325" t="inlineStr">
        <is>
          <t>2*(n-1)/n</t>
        </is>
      </c>
      <c r="C325">
        <f>2*(C318-1)/C318</f>
        <v/>
      </c>
    </row>
    <row r="326">
      <c r="A326" t="inlineStr">
        <is>
          <t>fixed_per_step</t>
        </is>
      </c>
      <c r="B326" t="inlineStr">
        <is>
          <t>2*(n-1)*a/2</t>
        </is>
      </c>
      <c r="C326">
        <f>2*(C318-1)*C320/2</f>
        <v/>
      </c>
    </row>
    <row r="327"/>
    <row r="328">
      <c r="A328" t="inlineStr">
        <is>
          <t>size_KB</t>
        </is>
      </c>
      <c r="B328" t="inlineStr">
        <is>
          <t>Actual Time (us)</t>
        </is>
      </c>
      <c r="C328" t="inlineStr">
        <is>
          <t>Roofline Time (us)</t>
        </is>
      </c>
      <c r="D328" t="inlineStr">
        <is>
          <t>Actual/Roofline</t>
        </is>
      </c>
      <c r="E328" t="inlineStr">
        <is>
          <t>Actual busBW (GB/s)</t>
        </is>
      </c>
      <c r="F328" t="inlineStr">
        <is>
          <t>Roofline busBW (GB/s)</t>
        </is>
      </c>
      <c r="G328" t="inlineStr">
        <is>
          <t>Meas/Roof busBW</t>
        </is>
      </c>
    </row>
    <row r="329">
      <c r="A329" t="n">
        <v>1</v>
      </c>
      <c r="B329" t="n">
        <v>417.98</v>
      </c>
      <c r="C329">
        <f>C326*CEILING(A329*1024/(C319*C323*C318),1)+A329*1024*C324</f>
        <v/>
      </c>
      <c r="D329">
        <f>B329/C329</f>
        <v/>
      </c>
      <c r="E329" t="n">
        <v>0</v>
      </c>
      <c r="F329">
        <f>A329*1024/(C329*0.000001)/1000000000*C325</f>
        <v/>
      </c>
      <c r="G329">
        <f>E329/F329</f>
        <v/>
      </c>
    </row>
    <row r="330">
      <c r="A330" t="n">
        <v>2</v>
      </c>
      <c r="B330" t="n">
        <v>406.16</v>
      </c>
      <c r="C330">
        <f>C326*CEILING(A330*1024/(C319*C323*C318),1)+A330*1024*C324</f>
        <v/>
      </c>
      <c r="D330">
        <f>B330/C330</f>
        <v/>
      </c>
      <c r="E330" t="n">
        <v>0.01</v>
      </c>
      <c r="F330">
        <f>A330*1024/(C330*0.000001)/1000000000*C325</f>
        <v/>
      </c>
      <c r="G330">
        <f>E330/F330</f>
        <v/>
      </c>
    </row>
    <row r="331">
      <c r="A331" t="n">
        <v>4</v>
      </c>
      <c r="B331" t="n">
        <v>407.94</v>
      </c>
      <c r="C331">
        <f>C326*CEILING(A331*1024/(C319*C323*C318),1)+A331*1024*C324</f>
        <v/>
      </c>
      <c r="D331">
        <f>B331/C331</f>
        <v/>
      </c>
      <c r="E331" t="n">
        <v>0.02</v>
      </c>
      <c r="F331">
        <f>A331*1024/(C331*0.000001)/1000000000*C325</f>
        <v/>
      </c>
      <c r="G331">
        <f>E331/F331</f>
        <v/>
      </c>
    </row>
    <row r="332">
      <c r="A332" t="n">
        <v>8</v>
      </c>
      <c r="B332" t="n">
        <v>412.25</v>
      </c>
      <c r="C332">
        <f>C326*CEILING(A332*1024/(C319*C323*C318),1)+A332*1024*C324</f>
        <v/>
      </c>
      <c r="D332">
        <f>B332/C332</f>
        <v/>
      </c>
      <c r="E332" t="n">
        <v>0.04</v>
      </c>
      <c r="F332">
        <f>A332*1024/(C332*0.000001)/1000000000*C325</f>
        <v/>
      </c>
      <c r="G332">
        <f>E332/F332</f>
        <v/>
      </c>
    </row>
    <row r="333">
      <c r="A333" t="n">
        <v>16</v>
      </c>
      <c r="B333" t="n">
        <v>419.88</v>
      </c>
      <c r="C333">
        <f>C326*CEILING(A333*1024/(C319*C323*C318),1)+A333*1024*C324</f>
        <v/>
      </c>
      <c r="D333">
        <f>B333/C333</f>
        <v/>
      </c>
      <c r="E333" t="n">
        <v>0.07000000000000001</v>
      </c>
      <c r="F333">
        <f>A333*1024/(C333*0.000001)/1000000000*C325</f>
        <v/>
      </c>
      <c r="G333">
        <f>E333/F333</f>
        <v/>
      </c>
    </row>
    <row r="334">
      <c r="A334" t="n">
        <v>32</v>
      </c>
      <c r="B334" t="n">
        <v>441.8</v>
      </c>
      <c r="C334">
        <f>C326*CEILING(A334*1024/(C319*C323*C318),1)+A334*1024*C324</f>
        <v/>
      </c>
      <c r="D334">
        <f>B334/C334</f>
        <v/>
      </c>
      <c r="E334" t="n">
        <v>0.14</v>
      </c>
      <c r="F334">
        <f>A334*1024/(C334*0.000001)/1000000000*C325</f>
        <v/>
      </c>
      <c r="G334">
        <f>E334/F334</f>
        <v/>
      </c>
    </row>
    <row r="335">
      <c r="A335" t="n">
        <v>64</v>
      </c>
      <c r="B335" t="n">
        <v>497.76</v>
      </c>
      <c r="C335">
        <f>C326*CEILING(A335*1024/(C319*C323*C318),1)+A335*1024*C324</f>
        <v/>
      </c>
      <c r="D335">
        <f>B335/C335</f>
        <v/>
      </c>
      <c r="E335" t="n">
        <v>0.25</v>
      </c>
      <c r="F335">
        <f>A335*1024/(C335*0.000001)/1000000000*C325</f>
        <v/>
      </c>
      <c r="G335">
        <f>E335/F335</f>
        <v/>
      </c>
    </row>
    <row r="336">
      <c r="A336" t="n">
        <v>128</v>
      </c>
      <c r="B336" t="n">
        <v>506.73</v>
      </c>
      <c r="C336">
        <f>C326*CEILING(A336*1024/(C319*C323*C318),1)+A336*1024*C324</f>
        <v/>
      </c>
      <c r="D336">
        <f>B336/C336</f>
        <v/>
      </c>
      <c r="E336" t="n">
        <v>0.48</v>
      </c>
      <c r="F336">
        <f>A336*1024/(C336*0.000001)/1000000000*C325</f>
        <v/>
      </c>
      <c r="G336">
        <f>E336/F336</f>
        <v/>
      </c>
    </row>
    <row r="337">
      <c r="A337" t="n">
        <v>256</v>
      </c>
      <c r="B337" t="n">
        <v>525.71</v>
      </c>
      <c r="C337">
        <f>C326*CEILING(A337*1024/(C319*C323*C318),1)+A337*1024*C324</f>
        <v/>
      </c>
      <c r="D337">
        <f>B337/C337</f>
        <v/>
      </c>
      <c r="E337" t="n">
        <v>0.93</v>
      </c>
      <c r="F337">
        <f>A337*1024/(C337*0.000001)/1000000000*C325</f>
        <v/>
      </c>
      <c r="G337">
        <f>E337/F337</f>
        <v/>
      </c>
    </row>
    <row r="338">
      <c r="A338" t="n">
        <v>512</v>
      </c>
      <c r="B338" t="n">
        <v>595.72</v>
      </c>
      <c r="C338">
        <f>C326*CEILING(A338*1024/(C319*C323*C318),1)+A338*1024*C324</f>
        <v/>
      </c>
      <c r="D338">
        <f>B338/C338</f>
        <v/>
      </c>
      <c r="E338" t="n">
        <v>1.65</v>
      </c>
      <c r="F338">
        <f>A338*1024/(C338*0.000001)/1000000000*C325</f>
        <v/>
      </c>
      <c r="G338">
        <f>E338/F338</f>
        <v/>
      </c>
    </row>
    <row r="339">
      <c r="A339" t="n">
        <v>1024</v>
      </c>
      <c r="B339" t="n">
        <v>943.27</v>
      </c>
      <c r="C339">
        <f>C326*CEILING(A339*1024/(C319*C323*C318),1)+A339*1024*C324</f>
        <v/>
      </c>
      <c r="D339">
        <f>B339/C339</f>
        <v/>
      </c>
      <c r="E339" t="n">
        <v>2.08</v>
      </c>
      <c r="F339">
        <f>A339*1024/(C339*0.000001)/1000000000*C325</f>
        <v/>
      </c>
      <c r="G339">
        <f>E339/F339</f>
        <v/>
      </c>
    </row>
    <row r="340">
      <c r="A340" t="n">
        <v>2048</v>
      </c>
      <c r="B340" t="n">
        <v>1141.01</v>
      </c>
      <c r="C340">
        <f>C326*CEILING(A340*1024/(C319*C323*C318),1)+A340*1024*C324</f>
        <v/>
      </c>
      <c r="D340">
        <f>B340/C340</f>
        <v/>
      </c>
      <c r="E340" t="n">
        <v>3.45</v>
      </c>
      <c r="F340">
        <f>A340*1024/(C340*0.000001)/1000000000*C325</f>
        <v/>
      </c>
      <c r="G340">
        <f>E340/F340</f>
        <v/>
      </c>
    </row>
    <row r="341">
      <c r="A341" t="n">
        <v>4096</v>
      </c>
      <c r="B341" t="n">
        <v>1711.21</v>
      </c>
      <c r="C341">
        <f>C326*CEILING(A341*1024/(C319*C323*C318),1)+A341*1024*C324</f>
        <v/>
      </c>
      <c r="D341">
        <f>B341/C341</f>
        <v/>
      </c>
      <c r="E341" t="n">
        <v>4.6</v>
      </c>
      <c r="F341">
        <f>A341*1024/(C341*0.000001)/1000000000*C325</f>
        <v/>
      </c>
      <c r="G341">
        <f>E341/F341</f>
        <v/>
      </c>
    </row>
    <row r="342">
      <c r="A342" t="n">
        <v>8192</v>
      </c>
      <c r="B342" t="n">
        <v>3202.72</v>
      </c>
      <c r="C342">
        <f>C326*CEILING(A342*1024/(C319*C323*C318),1)+A342*1024*C324</f>
        <v/>
      </c>
      <c r="D342">
        <f>B342/C342</f>
        <v/>
      </c>
      <c r="E342" t="n">
        <v>4.91</v>
      </c>
      <c r="F342">
        <f>A342*1024/(C342*0.000001)/1000000000*C325</f>
        <v/>
      </c>
      <c r="G342">
        <f>E342/F342</f>
        <v/>
      </c>
    </row>
    <row r="343">
      <c r="A343" t="n">
        <v>16384</v>
      </c>
      <c r="B343" t="n">
        <v>6327.71</v>
      </c>
      <c r="C343">
        <f>C326*CEILING(A343*1024/(C319*C323*C318),1)+A343*1024*C324</f>
        <v/>
      </c>
      <c r="D343">
        <f>B343/C343</f>
        <v/>
      </c>
      <c r="E343" t="n">
        <v>4.97</v>
      </c>
      <c r="F343">
        <f>A343*1024/(C343*0.000001)/1000000000*C325</f>
        <v/>
      </c>
      <c r="G343">
        <f>E343/F343</f>
        <v/>
      </c>
    </row>
    <row r="344">
      <c r="A344" t="n">
        <v>32768</v>
      </c>
      <c r="B344" t="n">
        <v>12599</v>
      </c>
      <c r="C344">
        <f>C326*CEILING(A344*1024/(C319*C323*C318),1)+A344*1024*C324</f>
        <v/>
      </c>
      <c r="D344">
        <f>B344/C344</f>
        <v/>
      </c>
      <c r="E344" t="n">
        <v>4.99</v>
      </c>
      <c r="F344">
        <f>A344*1024/(C344*0.000001)/1000000000*C325</f>
        <v/>
      </c>
      <c r="G344">
        <f>E344/F344</f>
        <v/>
      </c>
    </row>
    <row r="345">
      <c r="A345" t="n">
        <v>65536</v>
      </c>
      <c r="B345" t="n">
        <v>25042.5</v>
      </c>
      <c r="C345">
        <f>C326*CEILING(A345*1024/(C319*C323*C318),1)+A345*1024*C324</f>
        <v/>
      </c>
      <c r="D345">
        <f>B345/C345</f>
        <v/>
      </c>
      <c r="E345" t="n">
        <v>5.02</v>
      </c>
      <c r="F345">
        <f>A345*1024/(C345*0.000001)/1000000000*C325</f>
        <v/>
      </c>
      <c r="G345">
        <f>E345/F345</f>
        <v/>
      </c>
    </row>
    <row r="346">
      <c r="A346" t="n">
        <v>131072</v>
      </c>
      <c r="B346" t="n">
        <v>49871.2</v>
      </c>
      <c r="C346">
        <f>C326*CEILING(A346*1024/(C319*C323*C318),1)+A346*1024*C324</f>
        <v/>
      </c>
      <c r="D346">
        <f>B346/C346</f>
        <v/>
      </c>
      <c r="E346" t="n">
        <v>5.05</v>
      </c>
      <c r="F346">
        <f>A346*1024/(C346*0.000001)/1000000000*C325</f>
        <v/>
      </c>
      <c r="G346">
        <f>E346/F346</f>
        <v/>
      </c>
    </row>
    <row r="347">
      <c r="A347" t="n">
        <v>262144</v>
      </c>
      <c r="B347" t="n">
        <v>99567.8</v>
      </c>
      <c r="C347">
        <f>C326*CEILING(A347*1024/(C319*C323*C318),1)+A347*1024*C324</f>
        <v/>
      </c>
      <c r="D347">
        <f>B347/C347</f>
        <v/>
      </c>
      <c r="E347" t="n">
        <v>5.06</v>
      </c>
      <c r="F347">
        <f>A347*1024/(C347*0.000001)/1000000000*C325</f>
        <v/>
      </c>
      <c r="G347">
        <f>E347/F347</f>
        <v/>
      </c>
    </row>
    <row r="348">
      <c r="A348" t="n">
        <v>524288</v>
      </c>
      <c r="B348" t="n">
        <v>198853</v>
      </c>
      <c r="C348">
        <f>C326*CEILING(A348*1024/(C319*C323*C318),1)+A348*1024*C324</f>
        <v/>
      </c>
      <c r="D348">
        <f>B348/C348</f>
        <v/>
      </c>
      <c r="E348" t="n">
        <v>5.06</v>
      </c>
      <c r="F348">
        <f>A348*1024/(C348*0.000001)/1000000000*C325</f>
        <v/>
      </c>
      <c r="G348">
        <f>E348/F348</f>
        <v/>
      </c>
    </row>
    <row r="349">
      <c r="A349" t="n">
        <v>1048576</v>
      </c>
      <c r="B349" t="n">
        <v>397436</v>
      </c>
      <c r="C349">
        <f>C326*CEILING(A349*1024/(C319*C323*C318),1)+A349*1024*C324</f>
        <v/>
      </c>
      <c r="D349">
        <f>B349/C349</f>
        <v/>
      </c>
      <c r="E349" t="n">
        <v>5.07</v>
      </c>
      <c r="F349">
        <f>A349*1024/(C349*0.000001)/1000000000*C325</f>
        <v/>
      </c>
      <c r="G349">
        <f>E349/F349</f>
        <v/>
      </c>
    </row>
    <row r="350"/>
    <row r="351">
      <c r="A351" t="inlineStr">
        <is>
          <t>Nodes: 16, Protocol: LL128, Channels: 1</t>
        </is>
      </c>
    </row>
    <row r="352">
      <c r="A352" t="inlineStr">
        <is>
          <t>Parameter</t>
        </is>
      </c>
      <c r="B352" t="inlineStr">
        <is>
          <t>Formula</t>
        </is>
      </c>
      <c r="C352" t="inlineStr">
        <is>
          <t>Value</t>
        </is>
      </c>
    </row>
    <row r="353">
      <c r="A353" t="inlineStr">
        <is>
          <t>n</t>
        </is>
      </c>
      <c r="B353" t="inlineStr">
        <is>
          <t>nodes on ring</t>
        </is>
      </c>
      <c r="C353" t="n">
        <v>16</v>
      </c>
    </row>
    <row r="354">
      <c r="A354" t="inlineStr">
        <is>
          <t>nch</t>
        </is>
      </c>
      <c r="B354" t="inlineStr">
        <is>
          <t>channels</t>
        </is>
      </c>
      <c r="C354" t="n">
        <v>1</v>
      </c>
    </row>
    <row r="355">
      <c r="A355" t="inlineStr">
        <is>
          <t>a</t>
        </is>
      </c>
      <c r="B355" t="inlineStr">
        <is>
          <t>RTT (us)</t>
        </is>
      </c>
      <c r="C355" t="n">
        <v>25.8107</v>
      </c>
    </row>
    <row r="356">
      <c r="A356" t="inlineStr">
        <is>
          <t>NIC_BW</t>
        </is>
      </c>
      <c r="B356" t="inlineStr">
        <is>
          <t>bytes/us</t>
        </is>
      </c>
      <c r="C356" t="n">
        <v>48750</v>
      </c>
    </row>
    <row r="357">
      <c r="A357" t="inlineStr">
        <is>
          <t>NIC_BW_single_efa</t>
        </is>
      </c>
      <c r="B357" t="inlineStr">
        <is>
          <t>50/2*1e3*0.975</t>
        </is>
      </c>
      <c r="C357" t="n">
        <v>24375</v>
      </c>
    </row>
    <row r="358">
      <c r="A358" t="inlineStr">
        <is>
          <t>chunk_size</t>
        </is>
      </c>
      <c r="B358" t="inlineStr">
        <is>
          <t>576000 bytes</t>
        </is>
      </c>
      <c r="C358" t="n">
        <v>576000</v>
      </c>
    </row>
    <row r="359">
      <c r="A359" t="inlineStr">
        <is>
          <t>G</t>
        </is>
      </c>
      <c r="B359" t="inlineStr">
        <is>
          <t>(16/15)*2*(n-1)/(n*NIC_BW)</t>
        </is>
      </c>
      <c r="C359">
        <f>(16/15)*2*(C353-1)/(C353*C356)</f>
        <v/>
      </c>
    </row>
    <row r="360">
      <c r="A360" t="inlineStr">
        <is>
          <t>busbw_factor</t>
        </is>
      </c>
      <c r="B360" t="inlineStr">
        <is>
          <t>2*(n-1)/n</t>
        </is>
      </c>
      <c r="C360">
        <f>2*(C353-1)/C353</f>
        <v/>
      </c>
    </row>
    <row r="361">
      <c r="A361" t="inlineStr">
        <is>
          <t>fixed_per_step</t>
        </is>
      </c>
      <c r="B361" t="inlineStr">
        <is>
          <t>2*(n-1)*a/2</t>
        </is>
      </c>
      <c r="C361">
        <f>2*(C353-1)*C355/2</f>
        <v/>
      </c>
    </row>
    <row r="362"/>
    <row r="363">
      <c r="A363" t="inlineStr">
        <is>
          <t>size_KB</t>
        </is>
      </c>
      <c r="B363" t="inlineStr">
        <is>
          <t>Actual Time (us)</t>
        </is>
      </c>
      <c r="C363" t="inlineStr">
        <is>
          <t>Roofline Time (us)</t>
        </is>
      </c>
      <c r="D363" t="inlineStr">
        <is>
          <t>Actual/Roofline</t>
        </is>
      </c>
      <c r="E363" t="inlineStr">
        <is>
          <t>Actual busBW (GB/s)</t>
        </is>
      </c>
      <c r="F363" t="inlineStr">
        <is>
          <t>Roofline busBW (GB/s)</t>
        </is>
      </c>
      <c r="G363" t="inlineStr">
        <is>
          <t>Meas/Roof busBW</t>
        </is>
      </c>
    </row>
    <row r="364">
      <c r="A364" t="n">
        <v>1</v>
      </c>
      <c r="B364" t="n">
        <v>484.81</v>
      </c>
      <c r="C364">
        <f>C361*CEILING(A364*1024/(C354*C358*C353),1)+A364*1024*C359</f>
        <v/>
      </c>
      <c r="D364">
        <f>B364/C364</f>
        <v/>
      </c>
      <c r="E364" t="n">
        <v>0</v>
      </c>
      <c r="F364">
        <f>A364*1024/(C364*0.000001)/1000000000*C360</f>
        <v/>
      </c>
      <c r="G364">
        <f>E364/F364</f>
        <v/>
      </c>
    </row>
    <row r="365">
      <c r="A365" t="n">
        <v>2</v>
      </c>
      <c r="B365" t="n">
        <v>479.18</v>
      </c>
      <c r="C365">
        <f>C361*CEILING(A365*1024/(C354*C358*C353),1)+A365*1024*C359</f>
        <v/>
      </c>
      <c r="D365">
        <f>B365/C365</f>
        <v/>
      </c>
      <c r="E365" t="n">
        <v>0.01</v>
      </c>
      <c r="F365">
        <f>A365*1024/(C365*0.000001)/1000000000*C360</f>
        <v/>
      </c>
      <c r="G365">
        <f>E365/F365</f>
        <v/>
      </c>
    </row>
    <row r="366">
      <c r="A366" t="n">
        <v>4</v>
      </c>
      <c r="B366" t="n">
        <v>478.67</v>
      </c>
      <c r="C366">
        <f>C361*CEILING(A366*1024/(C354*C358*C353),1)+A366*1024*C359</f>
        <v/>
      </c>
      <c r="D366">
        <f>B366/C366</f>
        <v/>
      </c>
      <c r="E366" t="n">
        <v>0.02</v>
      </c>
      <c r="F366">
        <f>A366*1024/(C366*0.000001)/1000000000*C360</f>
        <v/>
      </c>
      <c r="G366">
        <f>E366/F366</f>
        <v/>
      </c>
    </row>
    <row r="367">
      <c r="A367" t="n">
        <v>8</v>
      </c>
      <c r="B367" t="n">
        <v>480.6</v>
      </c>
      <c r="C367">
        <f>C361*CEILING(A367*1024/(C354*C358*C353),1)+A367*1024*C359</f>
        <v/>
      </c>
      <c r="D367">
        <f>B367/C367</f>
        <v/>
      </c>
      <c r="E367" t="n">
        <v>0.03</v>
      </c>
      <c r="F367">
        <f>A367*1024/(C367*0.000001)/1000000000*C360</f>
        <v/>
      </c>
      <c r="G367">
        <f>E367/F367</f>
        <v/>
      </c>
    </row>
    <row r="368">
      <c r="A368" t="n">
        <v>16</v>
      </c>
      <c r="B368" t="n">
        <v>480.6</v>
      </c>
      <c r="C368">
        <f>C361*CEILING(A368*1024/(C354*C358*C353),1)+A368*1024*C359</f>
        <v/>
      </c>
      <c r="D368">
        <f>B368/C368</f>
        <v/>
      </c>
      <c r="E368" t="n">
        <v>0.06</v>
      </c>
      <c r="F368">
        <f>A368*1024/(C368*0.000001)/1000000000*C360</f>
        <v/>
      </c>
      <c r="G368">
        <f>E368/F368</f>
        <v/>
      </c>
    </row>
    <row r="369">
      <c r="A369" t="n">
        <v>32</v>
      </c>
      <c r="B369" t="n">
        <v>503.43</v>
      </c>
      <c r="C369">
        <f>C361*CEILING(A369*1024/(C354*C358*C353),1)+A369*1024*C359</f>
        <v/>
      </c>
      <c r="D369">
        <f>B369/C369</f>
        <v/>
      </c>
      <c r="E369" t="n">
        <v>0.12</v>
      </c>
      <c r="F369">
        <f>A369*1024/(C369*0.000001)/1000000000*C360</f>
        <v/>
      </c>
      <c r="G369">
        <f>E369/F369</f>
        <v/>
      </c>
    </row>
    <row r="370">
      <c r="A370" t="n">
        <v>64</v>
      </c>
      <c r="B370" t="n">
        <v>528.76</v>
      </c>
      <c r="C370">
        <f>C361*CEILING(A370*1024/(C354*C358*C353),1)+A370*1024*C359</f>
        <v/>
      </c>
      <c r="D370">
        <f>B370/C370</f>
        <v/>
      </c>
      <c r="E370" t="n">
        <v>0.23</v>
      </c>
      <c r="F370">
        <f>A370*1024/(C370*0.000001)/1000000000*C360</f>
        <v/>
      </c>
      <c r="G370">
        <f>E370/F370</f>
        <v/>
      </c>
    </row>
    <row r="371">
      <c r="A371" t="n">
        <v>128</v>
      </c>
      <c r="B371" t="n">
        <v>565.51</v>
      </c>
      <c r="C371">
        <f>C361*CEILING(A371*1024/(C354*C358*C353),1)+A371*1024*C359</f>
        <v/>
      </c>
      <c r="D371">
        <f>B371/C371</f>
        <v/>
      </c>
      <c r="E371" t="n">
        <v>0.43</v>
      </c>
      <c r="F371">
        <f>A371*1024/(C371*0.000001)/1000000000*C360</f>
        <v/>
      </c>
      <c r="G371">
        <f>E371/F371</f>
        <v/>
      </c>
    </row>
    <row r="372">
      <c r="A372" t="n">
        <v>256</v>
      </c>
      <c r="B372" t="n">
        <v>595.02</v>
      </c>
      <c r="C372">
        <f>C361*CEILING(A372*1024/(C354*C358*C353),1)+A372*1024*C359</f>
        <v/>
      </c>
      <c r="D372">
        <f>B372/C372</f>
        <v/>
      </c>
      <c r="E372" t="n">
        <v>0.83</v>
      </c>
      <c r="F372">
        <f>A372*1024/(C372*0.000001)/1000000000*C360</f>
        <v/>
      </c>
      <c r="G372">
        <f>E372/F372</f>
        <v/>
      </c>
    </row>
    <row r="373">
      <c r="A373" t="n">
        <v>512</v>
      </c>
      <c r="B373" t="n">
        <v>639.1900000000001</v>
      </c>
      <c r="C373">
        <f>C361*CEILING(A373*1024/(C354*C358*C353),1)+A373*1024*C359</f>
        <v/>
      </c>
      <c r="D373">
        <f>B373/C373</f>
        <v/>
      </c>
      <c r="E373" t="n">
        <v>1.54</v>
      </c>
      <c r="F373">
        <f>A373*1024/(C373*0.000001)/1000000000*C360</f>
        <v/>
      </c>
      <c r="G373">
        <f>E373/F373</f>
        <v/>
      </c>
    </row>
    <row r="374">
      <c r="A374" t="n">
        <v>1024</v>
      </c>
      <c r="B374" t="n">
        <v>719.24</v>
      </c>
      <c r="C374">
        <f>C361*CEILING(A374*1024/(C354*C358*C353),1)+A374*1024*C359</f>
        <v/>
      </c>
      <c r="D374">
        <f>B374/C374</f>
        <v/>
      </c>
      <c r="E374" t="n">
        <v>2.73</v>
      </c>
      <c r="F374">
        <f>A374*1024/(C374*0.000001)/1000000000*C360</f>
        <v/>
      </c>
      <c r="G374">
        <f>E374/F374</f>
        <v/>
      </c>
    </row>
    <row r="375">
      <c r="A375" t="n">
        <v>2048</v>
      </c>
      <c r="B375" t="n">
        <v>802.46</v>
      </c>
      <c r="C375">
        <f>C361*CEILING(A375*1024/(C354*C358*C353),1)+A375*1024*C359</f>
        <v/>
      </c>
      <c r="D375">
        <f>B375/C375</f>
        <v/>
      </c>
      <c r="E375" t="n">
        <v>4.9</v>
      </c>
      <c r="F375">
        <f>A375*1024/(C375*0.000001)/1000000000*C360</f>
        <v/>
      </c>
      <c r="G375">
        <f>E375/F375</f>
        <v/>
      </c>
    </row>
    <row r="376">
      <c r="A376" t="n">
        <v>4096</v>
      </c>
      <c r="B376" t="n">
        <v>1092.41</v>
      </c>
      <c r="C376">
        <f>C361*CEILING(A376*1024/(C354*C358*C353),1)+A376*1024*C359</f>
        <v/>
      </c>
      <c r="D376">
        <f>B376/C376</f>
        <v/>
      </c>
      <c r="E376" t="n">
        <v>7.2</v>
      </c>
      <c r="F376">
        <f>A376*1024/(C376*0.000001)/1000000000*C360</f>
        <v/>
      </c>
      <c r="G376">
        <f>E376/F376</f>
        <v/>
      </c>
    </row>
    <row r="377">
      <c r="A377" t="n">
        <v>8192</v>
      </c>
      <c r="B377" t="n">
        <v>1502.75</v>
      </c>
      <c r="C377">
        <f>C361*CEILING(A377*1024/(C354*C358*C353),1)+A377*1024*C359</f>
        <v/>
      </c>
      <c r="D377">
        <f>B377/C377</f>
        <v/>
      </c>
      <c r="E377" t="n">
        <v>10.47</v>
      </c>
      <c r="F377">
        <f>A377*1024/(C377*0.000001)/1000000000*C360</f>
        <v/>
      </c>
      <c r="G377">
        <f>E377/F377</f>
        <v/>
      </c>
    </row>
    <row r="378">
      <c r="A378" t="n">
        <v>16384</v>
      </c>
      <c r="B378" t="n">
        <v>2997.4</v>
      </c>
      <c r="C378">
        <f>C361*CEILING(A378*1024/(C354*C358*C353),1)+A378*1024*C359</f>
        <v/>
      </c>
      <c r="D378">
        <f>B378/C378</f>
        <v/>
      </c>
      <c r="E378" t="n">
        <v>10.49</v>
      </c>
      <c r="F378">
        <f>A378*1024/(C378*0.000001)/1000000000*C360</f>
        <v/>
      </c>
      <c r="G378">
        <f>E378/F378</f>
        <v/>
      </c>
    </row>
    <row r="379">
      <c r="A379" t="n">
        <v>32768</v>
      </c>
      <c r="B379" t="n">
        <v>5982.2</v>
      </c>
      <c r="C379">
        <f>C361*CEILING(A379*1024/(C354*C358*C353),1)+A379*1024*C359</f>
        <v/>
      </c>
      <c r="D379">
        <f>B379/C379</f>
        <v/>
      </c>
      <c r="E379" t="n">
        <v>10.52</v>
      </c>
      <c r="F379">
        <f>A379*1024/(C379*0.000001)/1000000000*C360</f>
        <v/>
      </c>
      <c r="G379">
        <f>E379/F379</f>
        <v/>
      </c>
    </row>
    <row r="380">
      <c r="A380" t="n">
        <v>65536</v>
      </c>
      <c r="B380" t="n">
        <v>11937</v>
      </c>
      <c r="C380">
        <f>C361*CEILING(A380*1024/(C354*C358*C353),1)+A380*1024*C359</f>
        <v/>
      </c>
      <c r="D380">
        <f>B380/C380</f>
        <v/>
      </c>
      <c r="E380" t="n">
        <v>10.54</v>
      </c>
      <c r="F380">
        <f>A380*1024/(C380*0.000001)/1000000000*C360</f>
        <v/>
      </c>
      <c r="G380">
        <f>E380/F380</f>
        <v/>
      </c>
    </row>
    <row r="381">
      <c r="A381" t="n">
        <v>131072</v>
      </c>
      <c r="B381" t="n">
        <v>23293.4</v>
      </c>
      <c r="C381">
        <f>C361*CEILING(A381*1024/(C354*C358*C353),1)+A381*1024*C359</f>
        <v/>
      </c>
      <c r="D381">
        <f>B381/C381</f>
        <v/>
      </c>
      <c r="E381" t="n">
        <v>10.8</v>
      </c>
      <c r="F381">
        <f>A381*1024/(C381*0.000001)/1000000000*C360</f>
        <v/>
      </c>
      <c r="G381">
        <f>E381/F381</f>
        <v/>
      </c>
    </row>
    <row r="382">
      <c r="A382" t="n">
        <v>262144</v>
      </c>
      <c r="B382" t="n">
        <v>46541.3</v>
      </c>
      <c r="C382">
        <f>C361*CEILING(A382*1024/(C354*C358*C353),1)+A382*1024*C359</f>
        <v/>
      </c>
      <c r="D382">
        <f>B382/C382</f>
        <v/>
      </c>
      <c r="E382" t="n">
        <v>10.81</v>
      </c>
      <c r="F382">
        <f>A382*1024/(C382*0.000001)/1000000000*C360</f>
        <v/>
      </c>
      <c r="G382">
        <f>E382/F382</f>
        <v/>
      </c>
    </row>
    <row r="383">
      <c r="A383" t="n">
        <v>524288</v>
      </c>
      <c r="B383" t="n">
        <v>92389.89999999999</v>
      </c>
      <c r="C383">
        <f>C361*CEILING(A383*1024/(C354*C358*C353),1)+A383*1024*C359</f>
        <v/>
      </c>
      <c r="D383">
        <f>B383/C383</f>
        <v/>
      </c>
      <c r="E383" t="n">
        <v>10.9</v>
      </c>
      <c r="F383">
        <f>A383*1024/(C383*0.000001)/1000000000*C360</f>
        <v/>
      </c>
      <c r="G383">
        <f>E383/F383</f>
        <v/>
      </c>
    </row>
    <row r="384">
      <c r="A384" t="n">
        <v>1048576</v>
      </c>
      <c r="B384" t="n">
        <v>184400</v>
      </c>
      <c r="C384">
        <f>C361*CEILING(A384*1024/(C354*C358*C353),1)+A384*1024*C359</f>
        <v/>
      </c>
      <c r="D384">
        <f>B384/C384</f>
        <v/>
      </c>
      <c r="E384" t="n">
        <v>10.92</v>
      </c>
      <c r="F384">
        <f>A384*1024/(C384*0.000001)/1000000000*C360</f>
        <v/>
      </c>
      <c r="G384">
        <f>E384/F384</f>
        <v/>
      </c>
    </row>
    <row r="385"/>
    <row r="386">
      <c r="A386" t="inlineStr">
        <is>
          <t>Nodes: 16, Protocol: LL128, Channels: 2</t>
        </is>
      </c>
    </row>
    <row r="387">
      <c r="A387" t="inlineStr">
        <is>
          <t>Parameter</t>
        </is>
      </c>
      <c r="B387" t="inlineStr">
        <is>
          <t>Formula</t>
        </is>
      </c>
      <c r="C387" t="inlineStr">
        <is>
          <t>Value</t>
        </is>
      </c>
    </row>
    <row r="388">
      <c r="A388" t="inlineStr">
        <is>
          <t>n</t>
        </is>
      </c>
      <c r="B388" t="inlineStr">
        <is>
          <t>nodes on ring</t>
        </is>
      </c>
      <c r="C388" t="n">
        <v>16</v>
      </c>
    </row>
    <row r="389">
      <c r="A389" t="inlineStr">
        <is>
          <t>nch</t>
        </is>
      </c>
      <c r="B389" t="inlineStr">
        <is>
          <t>channels</t>
        </is>
      </c>
      <c r="C389" t="n">
        <v>2</v>
      </c>
    </row>
    <row r="390">
      <c r="A390" t="inlineStr">
        <is>
          <t>a</t>
        </is>
      </c>
      <c r="B390" t="inlineStr">
        <is>
          <t>RTT (us)</t>
        </is>
      </c>
      <c r="C390" t="n">
        <v>25.8107</v>
      </c>
    </row>
    <row r="391">
      <c r="A391" t="inlineStr">
        <is>
          <t>NIC_BW</t>
        </is>
      </c>
      <c r="B391" t="inlineStr">
        <is>
          <t>bytes/us</t>
        </is>
      </c>
      <c r="C391" t="n">
        <v>48750</v>
      </c>
    </row>
    <row r="392">
      <c r="A392" t="inlineStr">
        <is>
          <t>NIC_BW_single_efa</t>
        </is>
      </c>
      <c r="B392" t="inlineStr">
        <is>
          <t>50/2*1e3*0.975</t>
        </is>
      </c>
      <c r="C392" t="n">
        <v>24375</v>
      </c>
    </row>
    <row r="393">
      <c r="A393" t="inlineStr">
        <is>
          <t>chunk_size</t>
        </is>
      </c>
      <c r="B393" t="inlineStr">
        <is>
          <t>576000 bytes</t>
        </is>
      </c>
      <c r="C393" t="n">
        <v>576000</v>
      </c>
    </row>
    <row r="394">
      <c r="A394" t="inlineStr">
        <is>
          <t>G</t>
        </is>
      </c>
      <c r="B394" t="inlineStr">
        <is>
          <t>(16/15)*2*(n-1)/(n*NIC_BW)</t>
        </is>
      </c>
      <c r="C394">
        <f>(16/15)*2*(C388-1)/(C388*C391)</f>
        <v/>
      </c>
    </row>
    <row r="395">
      <c r="A395" t="inlineStr">
        <is>
          <t>busbw_factor</t>
        </is>
      </c>
      <c r="B395" t="inlineStr">
        <is>
          <t>2*(n-1)/n</t>
        </is>
      </c>
      <c r="C395">
        <f>2*(C388-1)/C388</f>
        <v/>
      </c>
    </row>
    <row r="396">
      <c r="A396" t="inlineStr">
        <is>
          <t>fixed_per_step</t>
        </is>
      </c>
      <c r="B396" t="inlineStr">
        <is>
          <t>2*(n-1)*a/2</t>
        </is>
      </c>
      <c r="C396">
        <f>2*(C388-1)*C390/2</f>
        <v/>
      </c>
    </row>
    <row r="397"/>
    <row r="398">
      <c r="A398" t="inlineStr">
        <is>
          <t>size_KB</t>
        </is>
      </c>
      <c r="B398" t="inlineStr">
        <is>
          <t>Actual Time (us)</t>
        </is>
      </c>
      <c r="C398" t="inlineStr">
        <is>
          <t>Roofline Time (us)</t>
        </is>
      </c>
      <c r="D398" t="inlineStr">
        <is>
          <t>Actual/Roofline</t>
        </is>
      </c>
      <c r="E398" t="inlineStr">
        <is>
          <t>Actual busBW (GB/s)</t>
        </is>
      </c>
      <c r="F398" t="inlineStr">
        <is>
          <t>Roofline busBW (GB/s)</t>
        </is>
      </c>
      <c r="G398" t="inlineStr">
        <is>
          <t>Meas/Roof busBW</t>
        </is>
      </c>
    </row>
    <row r="399">
      <c r="A399" t="n">
        <v>1</v>
      </c>
      <c r="B399" t="n">
        <v>480.06</v>
      </c>
      <c r="C399">
        <f>C396*CEILING(A399*1024/(C389*C393*C388),1)+A399*1024*C394</f>
        <v/>
      </c>
      <c r="D399">
        <f>B399/C399</f>
        <v/>
      </c>
      <c r="E399" t="n">
        <v>0</v>
      </c>
      <c r="F399">
        <f>A399*1024/(C399*0.000001)/1000000000*C395</f>
        <v/>
      </c>
      <c r="G399">
        <f>E399/F399</f>
        <v/>
      </c>
    </row>
    <row r="400">
      <c r="A400" t="n">
        <v>2</v>
      </c>
      <c r="B400" t="n">
        <v>478.54</v>
      </c>
      <c r="C400">
        <f>C396*CEILING(A400*1024/(C389*C393*C388),1)+A400*1024*C394</f>
        <v/>
      </c>
      <c r="D400">
        <f>B400/C400</f>
        <v/>
      </c>
      <c r="E400" t="n">
        <v>0.01</v>
      </c>
      <c r="F400">
        <f>A400*1024/(C400*0.000001)/1000000000*C395</f>
        <v/>
      </c>
      <c r="G400">
        <f>E400/F400</f>
        <v/>
      </c>
    </row>
    <row r="401">
      <c r="A401" t="n">
        <v>4</v>
      </c>
      <c r="B401" t="n">
        <v>478.53</v>
      </c>
      <c r="C401">
        <f>C396*CEILING(A401*1024/(C389*C393*C388),1)+A401*1024*C394</f>
        <v/>
      </c>
      <c r="D401">
        <f>B401/C401</f>
        <v/>
      </c>
      <c r="E401" t="n">
        <v>0.02</v>
      </c>
      <c r="F401">
        <f>A401*1024/(C401*0.000001)/1000000000*C395</f>
        <v/>
      </c>
      <c r="G401">
        <f>E401/F401</f>
        <v/>
      </c>
    </row>
    <row r="402">
      <c r="A402" t="n">
        <v>8</v>
      </c>
      <c r="B402" t="n">
        <v>479.58</v>
      </c>
      <c r="C402">
        <f>C396*CEILING(A402*1024/(C389*C393*C388),1)+A402*1024*C394</f>
        <v/>
      </c>
      <c r="D402">
        <f>B402/C402</f>
        <v/>
      </c>
      <c r="E402" t="n">
        <v>0.03</v>
      </c>
      <c r="F402">
        <f>A402*1024/(C402*0.000001)/1000000000*C395</f>
        <v/>
      </c>
      <c r="G402">
        <f>E402/F402</f>
        <v/>
      </c>
    </row>
    <row r="403">
      <c r="A403" t="n">
        <v>16</v>
      </c>
      <c r="B403" t="n">
        <v>480.39</v>
      </c>
      <c r="C403">
        <f>C396*CEILING(A403*1024/(C389*C393*C388),1)+A403*1024*C394</f>
        <v/>
      </c>
      <c r="D403">
        <f>B403/C403</f>
        <v/>
      </c>
      <c r="E403" t="n">
        <v>0.06</v>
      </c>
      <c r="F403">
        <f>A403*1024/(C403*0.000001)/1000000000*C395</f>
        <v/>
      </c>
      <c r="G403">
        <f>E403/F403</f>
        <v/>
      </c>
    </row>
    <row r="404">
      <c r="A404" t="n">
        <v>32</v>
      </c>
      <c r="B404" t="n">
        <v>498.02</v>
      </c>
      <c r="C404">
        <f>C396*CEILING(A404*1024/(C389*C393*C388),1)+A404*1024*C394</f>
        <v/>
      </c>
      <c r="D404">
        <f>B404/C404</f>
        <v/>
      </c>
      <c r="E404" t="n">
        <v>0.12</v>
      </c>
      <c r="F404">
        <f>A404*1024/(C404*0.000001)/1000000000*C395</f>
        <v/>
      </c>
      <c r="G404">
        <f>E404/F404</f>
        <v/>
      </c>
    </row>
    <row r="405">
      <c r="A405" t="n">
        <v>64</v>
      </c>
      <c r="B405" t="n">
        <v>510.7</v>
      </c>
      <c r="C405">
        <f>C396*CEILING(A405*1024/(C389*C393*C388),1)+A405*1024*C394</f>
        <v/>
      </c>
      <c r="D405">
        <f>B405/C405</f>
        <v/>
      </c>
      <c r="E405" t="n">
        <v>0.24</v>
      </c>
      <c r="F405">
        <f>A405*1024/(C405*0.000001)/1000000000*C395</f>
        <v/>
      </c>
      <c r="G405">
        <f>E405/F405</f>
        <v/>
      </c>
    </row>
    <row r="406">
      <c r="A406" t="n">
        <v>128</v>
      </c>
      <c r="B406" t="n">
        <v>536.6</v>
      </c>
      <c r="C406">
        <f>C396*CEILING(A406*1024/(C389*C393*C388),1)+A406*1024*C394</f>
        <v/>
      </c>
      <c r="D406">
        <f>B406/C406</f>
        <v/>
      </c>
      <c r="E406" t="n">
        <v>0.46</v>
      </c>
      <c r="F406">
        <f>A406*1024/(C406*0.000001)/1000000000*C395</f>
        <v/>
      </c>
      <c r="G406">
        <f>E406/F406</f>
        <v/>
      </c>
    </row>
    <row r="407">
      <c r="A407" t="n">
        <v>256</v>
      </c>
      <c r="B407" t="n">
        <v>574.14</v>
      </c>
      <c r="C407">
        <f>C396*CEILING(A407*1024/(C389*C393*C388),1)+A407*1024*C394</f>
        <v/>
      </c>
      <c r="D407">
        <f>B407/C407</f>
        <v/>
      </c>
      <c r="E407" t="n">
        <v>0.86</v>
      </c>
      <c r="F407">
        <f>A407*1024/(C407*0.000001)/1000000000*C395</f>
        <v/>
      </c>
      <c r="G407">
        <f>E407/F407</f>
        <v/>
      </c>
    </row>
    <row r="408">
      <c r="A408" t="n">
        <v>512</v>
      </c>
      <c r="B408" t="n">
        <v>606.8099999999999</v>
      </c>
      <c r="C408">
        <f>C396*CEILING(A408*1024/(C389*C393*C388),1)+A408*1024*C394</f>
        <v/>
      </c>
      <c r="D408">
        <f>B408/C408</f>
        <v/>
      </c>
      <c r="E408" t="n">
        <v>1.62</v>
      </c>
      <c r="F408">
        <f>A408*1024/(C408*0.000001)/1000000000*C395</f>
        <v/>
      </c>
      <c r="G408">
        <f>E408/F408</f>
        <v/>
      </c>
    </row>
    <row r="409">
      <c r="A409" t="n">
        <v>1024</v>
      </c>
      <c r="B409" t="n">
        <v>654.09</v>
      </c>
      <c r="C409">
        <f>C396*CEILING(A409*1024/(C389*C393*C388),1)+A409*1024*C394</f>
        <v/>
      </c>
      <c r="D409">
        <f>B409/C409</f>
        <v/>
      </c>
      <c r="E409" t="n">
        <v>3.01</v>
      </c>
      <c r="F409">
        <f>A409*1024/(C409*0.000001)/1000000000*C395</f>
        <v/>
      </c>
      <c r="G409">
        <f>E409/F409</f>
        <v/>
      </c>
    </row>
    <row r="410">
      <c r="A410" t="n">
        <v>2048</v>
      </c>
      <c r="B410" t="n">
        <v>740.22</v>
      </c>
      <c r="C410">
        <f>C396*CEILING(A410*1024/(C389*C393*C388),1)+A410*1024*C394</f>
        <v/>
      </c>
      <c r="D410">
        <f>B410/C410</f>
        <v/>
      </c>
      <c r="E410" t="n">
        <v>5.31</v>
      </c>
      <c r="F410">
        <f>A410*1024/(C410*0.000001)/1000000000*C395</f>
        <v/>
      </c>
      <c r="G410">
        <f>E410/F410</f>
        <v/>
      </c>
    </row>
    <row r="411">
      <c r="A411" t="n">
        <v>4096</v>
      </c>
      <c r="B411" t="n">
        <v>839</v>
      </c>
      <c r="C411">
        <f>C396*CEILING(A411*1024/(C389*C393*C388),1)+A411*1024*C394</f>
        <v/>
      </c>
      <c r="D411">
        <f>B411/C411</f>
        <v/>
      </c>
      <c r="E411" t="n">
        <v>9.369999999999999</v>
      </c>
      <c r="F411">
        <f>A411*1024/(C411*0.000001)/1000000000*C395</f>
        <v/>
      </c>
      <c r="G411">
        <f>E411/F411</f>
        <v/>
      </c>
    </row>
    <row r="412">
      <c r="A412" t="n">
        <v>8192</v>
      </c>
      <c r="B412" t="n">
        <v>1108.21</v>
      </c>
      <c r="C412">
        <f>C396*CEILING(A412*1024/(C389*C393*C388),1)+A412*1024*C394</f>
        <v/>
      </c>
      <c r="D412">
        <f>B412/C412</f>
        <v/>
      </c>
      <c r="E412" t="n">
        <v>14.19</v>
      </c>
      <c r="F412">
        <f>A412*1024/(C412*0.000001)/1000000000*C395</f>
        <v/>
      </c>
      <c r="G412">
        <f>E412/F412</f>
        <v/>
      </c>
    </row>
    <row r="413">
      <c r="A413" t="n">
        <v>16384</v>
      </c>
      <c r="B413" t="n">
        <v>1586.47</v>
      </c>
      <c r="C413">
        <f>C396*CEILING(A413*1024/(C389*C393*C388),1)+A413*1024*C394</f>
        <v/>
      </c>
      <c r="D413">
        <f>B413/C413</f>
        <v/>
      </c>
      <c r="E413" t="n">
        <v>19.83</v>
      </c>
      <c r="F413">
        <f>A413*1024/(C413*0.000001)/1000000000*C395</f>
        <v/>
      </c>
      <c r="G413">
        <f>E413/F413</f>
        <v/>
      </c>
    </row>
    <row r="414">
      <c r="A414" t="n">
        <v>32768</v>
      </c>
      <c r="B414" t="n">
        <v>3142.65</v>
      </c>
      <c r="C414">
        <f>C396*CEILING(A414*1024/(C389*C393*C388),1)+A414*1024*C394</f>
        <v/>
      </c>
      <c r="D414">
        <f>B414/C414</f>
        <v/>
      </c>
      <c r="E414" t="n">
        <v>20.02</v>
      </c>
      <c r="F414">
        <f>A414*1024/(C414*0.000001)/1000000000*C395</f>
        <v/>
      </c>
      <c r="G414">
        <f>E414/F414</f>
        <v/>
      </c>
    </row>
    <row r="415">
      <c r="A415" t="n">
        <v>65536</v>
      </c>
      <c r="B415" t="n">
        <v>6257.45</v>
      </c>
      <c r="C415">
        <f>C396*CEILING(A415*1024/(C389*C393*C388),1)+A415*1024*C394</f>
        <v/>
      </c>
      <c r="D415">
        <f>B415/C415</f>
        <v/>
      </c>
      <c r="E415" t="n">
        <v>20.11</v>
      </c>
      <c r="F415">
        <f>A415*1024/(C415*0.000001)/1000000000*C395</f>
        <v/>
      </c>
      <c r="G415">
        <f>E415/F415</f>
        <v/>
      </c>
    </row>
    <row r="416">
      <c r="A416" t="n">
        <v>131072</v>
      </c>
      <c r="B416" t="n">
        <v>12435.8</v>
      </c>
      <c r="C416">
        <f>C396*CEILING(A416*1024/(C389*C393*C388),1)+A416*1024*C394</f>
        <v/>
      </c>
      <c r="D416">
        <f>B416/C416</f>
        <v/>
      </c>
      <c r="E416" t="n">
        <v>20.24</v>
      </c>
      <c r="F416">
        <f>A416*1024/(C416*0.000001)/1000000000*C395</f>
        <v/>
      </c>
      <c r="G416">
        <f>E416/F416</f>
        <v/>
      </c>
    </row>
    <row r="417">
      <c r="A417" t="n">
        <v>262144</v>
      </c>
      <c r="B417" t="n">
        <v>24279.1</v>
      </c>
      <c r="C417">
        <f>C396*CEILING(A417*1024/(C389*C393*C388),1)+A417*1024*C394</f>
        <v/>
      </c>
      <c r="D417">
        <f>B417/C417</f>
        <v/>
      </c>
      <c r="E417" t="n">
        <v>20.73</v>
      </c>
      <c r="F417">
        <f>A417*1024/(C417*0.000001)/1000000000*C395</f>
        <v/>
      </c>
      <c r="G417">
        <f>E417/F417</f>
        <v/>
      </c>
    </row>
    <row r="418">
      <c r="A418" t="n">
        <v>524288</v>
      </c>
      <c r="B418" t="n">
        <v>48650.2</v>
      </c>
      <c r="C418">
        <f>C396*CEILING(A418*1024/(C389*C393*C388),1)+A418*1024*C394</f>
        <v/>
      </c>
      <c r="D418">
        <f>B418/C418</f>
        <v/>
      </c>
      <c r="E418" t="n">
        <v>20.69</v>
      </c>
      <c r="F418">
        <f>A418*1024/(C418*0.000001)/1000000000*C395</f>
        <v/>
      </c>
      <c r="G418">
        <f>E418/F418</f>
        <v/>
      </c>
    </row>
    <row r="419">
      <c r="A419" t="n">
        <v>1048576</v>
      </c>
      <c r="B419" t="n">
        <v>96264.7</v>
      </c>
      <c r="C419">
        <f>C396*CEILING(A419*1024/(C389*C393*C388),1)+A419*1024*C394</f>
        <v/>
      </c>
      <c r="D419">
        <f>B419/C419</f>
        <v/>
      </c>
      <c r="E419" t="n">
        <v>20.91</v>
      </c>
      <c r="F419">
        <f>A419*1024/(C419*0.000001)/1000000000*C395</f>
        <v/>
      </c>
      <c r="G419">
        <f>E419/F419</f>
        <v/>
      </c>
    </row>
    <row r="420"/>
    <row r="421">
      <c r="A421" t="inlineStr">
        <is>
          <t>Nodes: 16, Protocol: LL128, Channels: 4</t>
        </is>
      </c>
    </row>
    <row r="422">
      <c r="A422" t="inlineStr">
        <is>
          <t>Parameter</t>
        </is>
      </c>
      <c r="B422" t="inlineStr">
        <is>
          <t>Formula</t>
        </is>
      </c>
      <c r="C422" t="inlineStr">
        <is>
          <t>Value</t>
        </is>
      </c>
    </row>
    <row r="423">
      <c r="A423" t="inlineStr">
        <is>
          <t>n</t>
        </is>
      </c>
      <c r="B423" t="inlineStr">
        <is>
          <t>nodes on ring</t>
        </is>
      </c>
      <c r="C423" t="n">
        <v>16</v>
      </c>
    </row>
    <row r="424">
      <c r="A424" t="inlineStr">
        <is>
          <t>nch</t>
        </is>
      </c>
      <c r="B424" t="inlineStr">
        <is>
          <t>channels</t>
        </is>
      </c>
      <c r="C424" t="n">
        <v>4</v>
      </c>
    </row>
    <row r="425">
      <c r="A425" t="inlineStr">
        <is>
          <t>a</t>
        </is>
      </c>
      <c r="B425" t="inlineStr">
        <is>
          <t>RTT (us)</t>
        </is>
      </c>
      <c r="C425" t="n">
        <v>25.8107</v>
      </c>
    </row>
    <row r="426">
      <c r="A426" t="inlineStr">
        <is>
          <t>NIC_BW</t>
        </is>
      </c>
      <c r="B426" t="inlineStr">
        <is>
          <t>bytes/us</t>
        </is>
      </c>
      <c r="C426" t="n">
        <v>48750</v>
      </c>
    </row>
    <row r="427">
      <c r="A427" t="inlineStr">
        <is>
          <t>NIC_BW_single_efa</t>
        </is>
      </c>
      <c r="B427" t="inlineStr">
        <is>
          <t>50/2*1e3*0.975</t>
        </is>
      </c>
      <c r="C427" t="n">
        <v>24375</v>
      </c>
    </row>
    <row r="428">
      <c r="A428" t="inlineStr">
        <is>
          <t>chunk_size</t>
        </is>
      </c>
      <c r="B428" t="inlineStr">
        <is>
          <t>576000 bytes</t>
        </is>
      </c>
      <c r="C428" t="n">
        <v>576000</v>
      </c>
    </row>
    <row r="429">
      <c r="A429" t="inlineStr">
        <is>
          <t>G</t>
        </is>
      </c>
      <c r="B429" t="inlineStr">
        <is>
          <t>(16/15)*2*(n-1)/(n*NIC_BW)</t>
        </is>
      </c>
      <c r="C429">
        <f>(16/15)*2*(C423-1)/(C423*C426)</f>
        <v/>
      </c>
    </row>
    <row r="430">
      <c r="A430" t="inlineStr">
        <is>
          <t>busbw_factor</t>
        </is>
      </c>
      <c r="B430" t="inlineStr">
        <is>
          <t>2*(n-1)/n</t>
        </is>
      </c>
      <c r="C430">
        <f>2*(C423-1)/C423</f>
        <v/>
      </c>
    </row>
    <row r="431">
      <c r="A431" t="inlineStr">
        <is>
          <t>fixed_per_step</t>
        </is>
      </c>
      <c r="B431" t="inlineStr">
        <is>
          <t>2*(n-1)*a/2</t>
        </is>
      </c>
      <c r="C431">
        <f>2*(C423-1)*C425/2</f>
        <v/>
      </c>
    </row>
    <row r="432"/>
    <row r="433">
      <c r="A433" t="inlineStr">
        <is>
          <t>size_KB</t>
        </is>
      </c>
      <c r="B433" t="inlineStr">
        <is>
          <t>Actual Time (us)</t>
        </is>
      </c>
      <c r="C433" t="inlineStr">
        <is>
          <t>Roofline Time (us)</t>
        </is>
      </c>
      <c r="D433" t="inlineStr">
        <is>
          <t>Actual/Roofline</t>
        </is>
      </c>
      <c r="E433" t="inlineStr">
        <is>
          <t>Actual busBW (GB/s)</t>
        </is>
      </c>
      <c r="F433" t="inlineStr">
        <is>
          <t>Roofline busBW (GB/s)</t>
        </is>
      </c>
      <c r="G433" t="inlineStr">
        <is>
          <t>Meas/Roof busBW</t>
        </is>
      </c>
    </row>
    <row r="434">
      <c r="A434" t="n">
        <v>1</v>
      </c>
      <c r="B434" t="n">
        <v>478.82</v>
      </c>
      <c r="C434">
        <f>C431*CEILING(A434*1024/(C424*C428*C423),1)+A434*1024*C429</f>
        <v/>
      </c>
      <c r="D434">
        <f>B434/C434</f>
        <v/>
      </c>
      <c r="E434" t="n">
        <v>0</v>
      </c>
      <c r="F434">
        <f>A434*1024/(C434*0.000001)/1000000000*C430</f>
        <v/>
      </c>
      <c r="G434">
        <f>E434/F434</f>
        <v/>
      </c>
    </row>
    <row r="435">
      <c r="A435" t="n">
        <v>2</v>
      </c>
      <c r="B435" t="n">
        <v>476.73</v>
      </c>
      <c r="C435">
        <f>C431*CEILING(A435*1024/(C424*C428*C423),1)+A435*1024*C429</f>
        <v/>
      </c>
      <c r="D435">
        <f>B435/C435</f>
        <v/>
      </c>
      <c r="E435" t="n">
        <v>0.01</v>
      </c>
      <c r="F435">
        <f>A435*1024/(C435*0.000001)/1000000000*C430</f>
        <v/>
      </c>
      <c r="G435">
        <f>E435/F435</f>
        <v/>
      </c>
    </row>
    <row r="436">
      <c r="A436" t="n">
        <v>4</v>
      </c>
      <c r="B436" t="n">
        <v>476.51</v>
      </c>
      <c r="C436">
        <f>C431*CEILING(A436*1024/(C424*C428*C423),1)+A436*1024*C429</f>
        <v/>
      </c>
      <c r="D436">
        <f>B436/C436</f>
        <v/>
      </c>
      <c r="E436" t="n">
        <v>0.02</v>
      </c>
      <c r="F436">
        <f>A436*1024/(C436*0.000001)/1000000000*C430</f>
        <v/>
      </c>
      <c r="G436">
        <f>E436/F436</f>
        <v/>
      </c>
    </row>
    <row r="437">
      <c r="A437" t="n">
        <v>8</v>
      </c>
      <c r="B437" t="n">
        <v>478.55</v>
      </c>
      <c r="C437">
        <f>C431*CEILING(A437*1024/(C424*C428*C423),1)+A437*1024*C429</f>
        <v/>
      </c>
      <c r="D437">
        <f>B437/C437</f>
        <v/>
      </c>
      <c r="E437" t="n">
        <v>0.03</v>
      </c>
      <c r="F437">
        <f>A437*1024/(C437*0.000001)/1000000000*C430</f>
        <v/>
      </c>
      <c r="G437">
        <f>E437/F437</f>
        <v/>
      </c>
    </row>
    <row r="438">
      <c r="A438" t="n">
        <v>16</v>
      </c>
      <c r="B438" t="n">
        <v>478.59</v>
      </c>
      <c r="C438">
        <f>C431*CEILING(A438*1024/(C424*C428*C423),1)+A438*1024*C429</f>
        <v/>
      </c>
      <c r="D438">
        <f>B438/C438</f>
        <v/>
      </c>
      <c r="E438" t="n">
        <v>0.06</v>
      </c>
      <c r="F438">
        <f>A438*1024/(C438*0.000001)/1000000000*C430</f>
        <v/>
      </c>
      <c r="G438">
        <f>E438/F438</f>
        <v/>
      </c>
    </row>
    <row r="439">
      <c r="A439" t="n">
        <v>32</v>
      </c>
      <c r="B439" t="n">
        <v>490.06</v>
      </c>
      <c r="C439">
        <f>C431*CEILING(A439*1024/(C424*C428*C423),1)+A439*1024*C429</f>
        <v/>
      </c>
      <c r="D439">
        <f>B439/C439</f>
        <v/>
      </c>
      <c r="E439" t="n">
        <v>0.13</v>
      </c>
      <c r="F439">
        <f>A439*1024/(C439*0.000001)/1000000000*C430</f>
        <v/>
      </c>
      <c r="G439">
        <f>E439/F439</f>
        <v/>
      </c>
    </row>
    <row r="440">
      <c r="A440" t="n">
        <v>64</v>
      </c>
      <c r="B440" t="n">
        <v>504.06</v>
      </c>
      <c r="C440">
        <f>C431*CEILING(A440*1024/(C424*C428*C423),1)+A440*1024*C429</f>
        <v/>
      </c>
      <c r="D440">
        <f>B440/C440</f>
        <v/>
      </c>
      <c r="E440" t="n">
        <v>0.24</v>
      </c>
      <c r="F440">
        <f>A440*1024/(C440*0.000001)/1000000000*C430</f>
        <v/>
      </c>
      <c r="G440">
        <f>E440/F440</f>
        <v/>
      </c>
    </row>
    <row r="441">
      <c r="A441" t="n">
        <v>128</v>
      </c>
      <c r="B441" t="n">
        <v>525.6</v>
      </c>
      <c r="C441">
        <f>C431*CEILING(A441*1024/(C424*C428*C423),1)+A441*1024*C429</f>
        <v/>
      </c>
      <c r="D441">
        <f>B441/C441</f>
        <v/>
      </c>
      <c r="E441" t="n">
        <v>0.47</v>
      </c>
      <c r="F441">
        <f>A441*1024/(C441*0.000001)/1000000000*C430</f>
        <v/>
      </c>
      <c r="G441">
        <f>E441/F441</f>
        <v/>
      </c>
    </row>
    <row r="442">
      <c r="A442" t="n">
        <v>256</v>
      </c>
      <c r="B442" t="n">
        <v>554.24</v>
      </c>
      <c r="C442">
        <f>C431*CEILING(A442*1024/(C424*C428*C423),1)+A442*1024*C429</f>
        <v/>
      </c>
      <c r="D442">
        <f>B442/C442</f>
        <v/>
      </c>
      <c r="E442" t="n">
        <v>0.89</v>
      </c>
      <c r="F442">
        <f>A442*1024/(C442*0.000001)/1000000000*C430</f>
        <v/>
      </c>
      <c r="G442">
        <f>E442/F442</f>
        <v/>
      </c>
    </row>
    <row r="443">
      <c r="A443" t="n">
        <v>512</v>
      </c>
      <c r="B443" t="n">
        <v>595.09</v>
      </c>
      <c r="C443">
        <f>C431*CEILING(A443*1024/(C424*C428*C423),1)+A443*1024*C429</f>
        <v/>
      </c>
      <c r="D443">
        <f>B443/C443</f>
        <v/>
      </c>
      <c r="E443" t="n">
        <v>1.65</v>
      </c>
      <c r="F443">
        <f>A443*1024/(C443*0.000001)/1000000000*C430</f>
        <v/>
      </c>
      <c r="G443">
        <f>E443/F443</f>
        <v/>
      </c>
    </row>
    <row r="444">
      <c r="A444" t="n">
        <v>1024</v>
      </c>
      <c r="B444" t="n">
        <v>626.22</v>
      </c>
      <c r="C444">
        <f>C431*CEILING(A444*1024/(C424*C428*C423),1)+A444*1024*C429</f>
        <v/>
      </c>
      <c r="D444">
        <f>B444/C444</f>
        <v/>
      </c>
      <c r="E444" t="n">
        <v>3.14</v>
      </c>
      <c r="F444">
        <f>A444*1024/(C444*0.000001)/1000000000*C430</f>
        <v/>
      </c>
      <c r="G444">
        <f>E444/F444</f>
        <v/>
      </c>
    </row>
    <row r="445">
      <c r="A445" t="n">
        <v>2048</v>
      </c>
      <c r="B445" t="n">
        <v>680.75</v>
      </c>
      <c r="C445">
        <f>C431*CEILING(A445*1024/(C424*C428*C423),1)+A445*1024*C429</f>
        <v/>
      </c>
      <c r="D445">
        <f>B445/C445</f>
        <v/>
      </c>
      <c r="E445" t="n">
        <v>5.78</v>
      </c>
      <c r="F445">
        <f>A445*1024/(C445*0.000001)/1000000000*C430</f>
        <v/>
      </c>
      <c r="G445">
        <f>E445/F445</f>
        <v/>
      </c>
    </row>
    <row r="446">
      <c r="A446" t="n">
        <v>4096</v>
      </c>
      <c r="B446" t="n">
        <v>778.17</v>
      </c>
      <c r="C446">
        <f>C431*CEILING(A446*1024/(C424*C428*C423),1)+A446*1024*C429</f>
        <v/>
      </c>
      <c r="D446">
        <f>B446/C446</f>
        <v/>
      </c>
      <c r="E446" t="n">
        <v>10.11</v>
      </c>
      <c r="F446">
        <f>A446*1024/(C446*0.000001)/1000000000*C430</f>
        <v/>
      </c>
      <c r="G446">
        <f>E446/F446</f>
        <v/>
      </c>
    </row>
    <row r="447">
      <c r="A447" t="n">
        <v>8192</v>
      </c>
      <c r="B447" t="n">
        <v>913.59</v>
      </c>
      <c r="C447">
        <f>C431*CEILING(A447*1024/(C424*C428*C423),1)+A447*1024*C429</f>
        <v/>
      </c>
      <c r="D447">
        <f>B447/C447</f>
        <v/>
      </c>
      <c r="E447" t="n">
        <v>17.22</v>
      </c>
      <c r="F447">
        <f>A447*1024/(C447*0.000001)/1000000000*C430</f>
        <v/>
      </c>
      <c r="G447">
        <f>E447/F447</f>
        <v/>
      </c>
    </row>
    <row r="448">
      <c r="A448" t="n">
        <v>16384</v>
      </c>
      <c r="B448" t="n">
        <v>1260.65</v>
      </c>
      <c r="C448">
        <f>C431*CEILING(A448*1024/(C424*C428*C423),1)+A448*1024*C429</f>
        <v/>
      </c>
      <c r="D448">
        <f>B448/C448</f>
        <v/>
      </c>
      <c r="E448" t="n">
        <v>24.95</v>
      </c>
      <c r="F448">
        <f>A448*1024/(C448*0.000001)/1000000000*C430</f>
        <v/>
      </c>
      <c r="G448">
        <f>E448/F448</f>
        <v/>
      </c>
    </row>
    <row r="449">
      <c r="A449" t="n">
        <v>32768</v>
      </c>
      <c r="B449" t="n">
        <v>1892.3</v>
      </c>
      <c r="C449">
        <f>C431*CEILING(A449*1024/(C424*C428*C423),1)+A449*1024*C429</f>
        <v/>
      </c>
      <c r="D449">
        <f>B449/C449</f>
        <v/>
      </c>
      <c r="E449" t="n">
        <v>33.25</v>
      </c>
      <c r="F449">
        <f>A449*1024/(C449*0.000001)/1000000000*C430</f>
        <v/>
      </c>
      <c r="G449">
        <f>E449/F449</f>
        <v/>
      </c>
    </row>
    <row r="450">
      <c r="A450" t="n">
        <v>65536</v>
      </c>
      <c r="B450" t="n">
        <v>3734.98</v>
      </c>
      <c r="C450">
        <f>C431*CEILING(A450*1024/(C424*C428*C423),1)+A450*1024*C429</f>
        <v/>
      </c>
      <c r="D450">
        <f>B450/C450</f>
        <v/>
      </c>
      <c r="E450" t="n">
        <v>33.69</v>
      </c>
      <c r="F450">
        <f>A450*1024/(C450*0.000001)/1000000000*C430</f>
        <v/>
      </c>
      <c r="G450">
        <f>E450/F450</f>
        <v/>
      </c>
    </row>
    <row r="451">
      <c r="A451" t="n">
        <v>131072</v>
      </c>
      <c r="B451" t="n">
        <v>7413.15</v>
      </c>
      <c r="C451">
        <f>C431*CEILING(A451*1024/(C424*C428*C423),1)+A451*1024*C429</f>
        <v/>
      </c>
      <c r="D451">
        <f>B451/C451</f>
        <v/>
      </c>
      <c r="E451" t="n">
        <v>33.95</v>
      </c>
      <c r="F451">
        <f>A451*1024/(C451*0.000001)/1000000000*C430</f>
        <v/>
      </c>
      <c r="G451">
        <f>E451/F451</f>
        <v/>
      </c>
    </row>
    <row r="452">
      <c r="A452" t="n">
        <v>262144</v>
      </c>
      <c r="B452" t="n">
        <v>14758.8</v>
      </c>
      <c r="C452">
        <f>C431*CEILING(A452*1024/(C424*C428*C423),1)+A452*1024*C429</f>
        <v/>
      </c>
      <c r="D452">
        <f>B452/C452</f>
        <v/>
      </c>
      <c r="E452" t="n">
        <v>34.1</v>
      </c>
      <c r="F452">
        <f>A452*1024/(C452*0.000001)/1000000000*C430</f>
        <v/>
      </c>
      <c r="G452">
        <f>E452/F452</f>
        <v/>
      </c>
    </row>
    <row r="453">
      <c r="A453" t="n">
        <v>524288</v>
      </c>
      <c r="B453" t="n">
        <v>28935.5</v>
      </c>
      <c r="C453">
        <f>C431*CEILING(A453*1024/(C424*C428*C423),1)+A453*1024*C429</f>
        <v/>
      </c>
      <c r="D453">
        <f>B453/C453</f>
        <v/>
      </c>
      <c r="E453" t="n">
        <v>34.79</v>
      </c>
      <c r="F453">
        <f>A453*1024/(C453*0.000001)/1000000000*C430</f>
        <v/>
      </c>
      <c r="G453">
        <f>E453/F453</f>
        <v/>
      </c>
    </row>
    <row r="454">
      <c r="A454" t="n">
        <v>1048576</v>
      </c>
      <c r="B454" t="n">
        <v>57793.7</v>
      </c>
      <c r="C454">
        <f>C431*CEILING(A454*1024/(C424*C428*C423),1)+A454*1024*C429</f>
        <v/>
      </c>
      <c r="D454">
        <f>B454/C454</f>
        <v/>
      </c>
      <c r="E454" t="n">
        <v>34.84</v>
      </c>
      <c r="F454">
        <f>A454*1024/(C454*0.000001)/1000000000*C430</f>
        <v/>
      </c>
      <c r="G454">
        <f>E454/F454</f>
        <v/>
      </c>
    </row>
    <row r="455"/>
    <row r="456">
      <c r="A456" t="inlineStr">
        <is>
          <t>Nodes: 16, Protocol: LL128, Channels: 8</t>
        </is>
      </c>
    </row>
    <row r="457">
      <c r="A457" t="inlineStr">
        <is>
          <t>Parameter</t>
        </is>
      </c>
      <c r="B457" t="inlineStr">
        <is>
          <t>Formula</t>
        </is>
      </c>
      <c r="C457" t="inlineStr">
        <is>
          <t>Value</t>
        </is>
      </c>
    </row>
    <row r="458">
      <c r="A458" t="inlineStr">
        <is>
          <t>n</t>
        </is>
      </c>
      <c r="B458" t="inlineStr">
        <is>
          <t>nodes on ring</t>
        </is>
      </c>
      <c r="C458" t="n">
        <v>16</v>
      </c>
    </row>
    <row r="459">
      <c r="A459" t="inlineStr">
        <is>
          <t>nch</t>
        </is>
      </c>
      <c r="B459" t="inlineStr">
        <is>
          <t>channels</t>
        </is>
      </c>
      <c r="C459" t="n">
        <v>8</v>
      </c>
    </row>
    <row r="460">
      <c r="A460" t="inlineStr">
        <is>
          <t>a</t>
        </is>
      </c>
      <c r="B460" t="inlineStr">
        <is>
          <t>RTT (us)</t>
        </is>
      </c>
      <c r="C460" t="n">
        <v>25.8107</v>
      </c>
    </row>
    <row r="461">
      <c r="A461" t="inlineStr">
        <is>
          <t>NIC_BW</t>
        </is>
      </c>
      <c r="B461" t="inlineStr">
        <is>
          <t>bytes/us</t>
        </is>
      </c>
      <c r="C461" t="n">
        <v>48750</v>
      </c>
    </row>
    <row r="462">
      <c r="A462" t="inlineStr">
        <is>
          <t>NIC_BW_single_efa</t>
        </is>
      </c>
      <c r="B462" t="inlineStr">
        <is>
          <t>50/2*1e3*0.975</t>
        </is>
      </c>
      <c r="C462" t="n">
        <v>24375</v>
      </c>
    </row>
    <row r="463">
      <c r="A463" t="inlineStr">
        <is>
          <t>chunk_size</t>
        </is>
      </c>
      <c r="B463" t="inlineStr">
        <is>
          <t>576000 bytes</t>
        </is>
      </c>
      <c r="C463" t="n">
        <v>576000</v>
      </c>
    </row>
    <row r="464">
      <c r="A464" t="inlineStr">
        <is>
          <t>G</t>
        </is>
      </c>
      <c r="B464" t="inlineStr">
        <is>
          <t>(16/15)*2*(n-1)/(n*NIC_BW)</t>
        </is>
      </c>
      <c r="C464">
        <f>(16/15)*2*(C458-1)/(C458*C461)</f>
        <v/>
      </c>
    </row>
    <row r="465">
      <c r="A465" t="inlineStr">
        <is>
          <t>busbw_factor</t>
        </is>
      </c>
      <c r="B465" t="inlineStr">
        <is>
          <t>2*(n-1)/n</t>
        </is>
      </c>
      <c r="C465">
        <f>2*(C458-1)/C458</f>
        <v/>
      </c>
    </row>
    <row r="466">
      <c r="A466" t="inlineStr">
        <is>
          <t>fixed_per_step</t>
        </is>
      </c>
      <c r="B466" t="inlineStr">
        <is>
          <t>2*(n-1)*a/2</t>
        </is>
      </c>
      <c r="C466">
        <f>2*(C458-1)*C460/2</f>
        <v/>
      </c>
    </row>
    <row r="467"/>
    <row r="468">
      <c r="A468" t="inlineStr">
        <is>
          <t>size_KB</t>
        </is>
      </c>
      <c r="B468" t="inlineStr">
        <is>
          <t>Actual Time (us)</t>
        </is>
      </c>
      <c r="C468" t="inlineStr">
        <is>
          <t>Roofline Time (us)</t>
        </is>
      </c>
      <c r="D468" t="inlineStr">
        <is>
          <t>Actual/Roofline</t>
        </is>
      </c>
      <c r="E468" t="inlineStr">
        <is>
          <t>Actual busBW (GB/s)</t>
        </is>
      </c>
      <c r="F468" t="inlineStr">
        <is>
          <t>Roofline busBW (GB/s)</t>
        </is>
      </c>
      <c r="G468" t="inlineStr">
        <is>
          <t>Meas/Roof busBW</t>
        </is>
      </c>
    </row>
    <row r="469">
      <c r="A469" t="n">
        <v>1</v>
      </c>
      <c r="B469" t="n">
        <v>482.74</v>
      </c>
      <c r="C469">
        <f>C466*CEILING(A469*1024/(C459*C463*C458),1)+A469*1024*C464</f>
        <v/>
      </c>
      <c r="D469">
        <f>B469/C469</f>
        <v/>
      </c>
      <c r="E469" t="n">
        <v>0</v>
      </c>
      <c r="F469">
        <f>A469*1024/(C469*0.000001)/1000000000*C465</f>
        <v/>
      </c>
      <c r="G469">
        <f>E469/F469</f>
        <v/>
      </c>
    </row>
    <row r="470">
      <c r="A470" t="n">
        <v>2</v>
      </c>
      <c r="B470" t="n">
        <v>477.67</v>
      </c>
      <c r="C470">
        <f>C466*CEILING(A470*1024/(C459*C463*C458),1)+A470*1024*C464</f>
        <v/>
      </c>
      <c r="D470">
        <f>B470/C470</f>
        <v/>
      </c>
      <c r="E470" t="n">
        <v>0.01</v>
      </c>
      <c r="F470">
        <f>A470*1024/(C470*0.000001)/1000000000*C465</f>
        <v/>
      </c>
      <c r="G470">
        <f>E470/F470</f>
        <v/>
      </c>
    </row>
    <row r="471">
      <c r="A471" t="n">
        <v>4</v>
      </c>
      <c r="B471" t="n">
        <v>478.02</v>
      </c>
      <c r="C471">
        <f>C466*CEILING(A471*1024/(C459*C463*C458),1)+A471*1024*C464</f>
        <v/>
      </c>
      <c r="D471">
        <f>B471/C471</f>
        <v/>
      </c>
      <c r="E471" t="n">
        <v>0.02</v>
      </c>
      <c r="F471">
        <f>A471*1024/(C471*0.000001)/1000000000*C465</f>
        <v/>
      </c>
      <c r="G471">
        <f>E471/F471</f>
        <v/>
      </c>
    </row>
    <row r="472">
      <c r="A472" t="n">
        <v>8</v>
      </c>
      <c r="B472" t="n">
        <v>478.66</v>
      </c>
      <c r="C472">
        <f>C466*CEILING(A472*1024/(C459*C463*C458),1)+A472*1024*C464</f>
        <v/>
      </c>
      <c r="D472">
        <f>B472/C472</f>
        <v/>
      </c>
      <c r="E472" t="n">
        <v>0.03</v>
      </c>
      <c r="F472">
        <f>A472*1024/(C472*0.000001)/1000000000*C465</f>
        <v/>
      </c>
      <c r="G472">
        <f>E472/F472</f>
        <v/>
      </c>
    </row>
    <row r="473">
      <c r="A473" t="n">
        <v>16</v>
      </c>
      <c r="B473" t="n">
        <v>478.43</v>
      </c>
      <c r="C473">
        <f>C466*CEILING(A473*1024/(C459*C463*C458),1)+A473*1024*C464</f>
        <v/>
      </c>
      <c r="D473">
        <f>B473/C473</f>
        <v/>
      </c>
      <c r="E473" t="n">
        <v>0.06</v>
      </c>
      <c r="F473">
        <f>A473*1024/(C473*0.000001)/1000000000*C465</f>
        <v/>
      </c>
      <c r="G473">
        <f>E473/F473</f>
        <v/>
      </c>
    </row>
    <row r="474">
      <c r="A474" t="n">
        <v>32</v>
      </c>
      <c r="B474" t="n">
        <v>487.09</v>
      </c>
      <c r="C474">
        <f>C466*CEILING(A474*1024/(C459*C463*C458),1)+A474*1024*C464</f>
        <v/>
      </c>
      <c r="D474">
        <f>B474/C474</f>
        <v/>
      </c>
      <c r="E474" t="n">
        <v>0.13</v>
      </c>
      <c r="F474">
        <f>A474*1024/(C474*0.000001)/1000000000*C465</f>
        <v/>
      </c>
      <c r="G474">
        <f>E474/F474</f>
        <v/>
      </c>
    </row>
    <row r="475">
      <c r="A475" t="n">
        <v>64</v>
      </c>
      <c r="B475" t="n">
        <v>504.82</v>
      </c>
      <c r="C475">
        <f>C466*CEILING(A475*1024/(C459*C463*C458),1)+A475*1024*C464</f>
        <v/>
      </c>
      <c r="D475">
        <f>B475/C475</f>
        <v/>
      </c>
      <c r="E475" t="n">
        <v>0.24</v>
      </c>
      <c r="F475">
        <f>A475*1024/(C475*0.000001)/1000000000*C465</f>
        <v/>
      </c>
      <c r="G475">
        <f>E475/F475</f>
        <v/>
      </c>
    </row>
    <row r="476">
      <c r="A476" t="n">
        <v>128</v>
      </c>
      <c r="B476" t="n">
        <v>565</v>
      </c>
      <c r="C476">
        <f>C466*CEILING(A476*1024/(C459*C463*C458),1)+A476*1024*C464</f>
        <v/>
      </c>
      <c r="D476">
        <f>B476/C476</f>
        <v/>
      </c>
      <c r="E476" t="n">
        <v>0.43</v>
      </c>
      <c r="F476">
        <f>A476*1024/(C476*0.000001)/1000000000*C465</f>
        <v/>
      </c>
      <c r="G476">
        <f>E476/F476</f>
        <v/>
      </c>
    </row>
    <row r="477">
      <c r="A477" t="n">
        <v>256</v>
      </c>
      <c r="B477" t="n">
        <v>584.4400000000001</v>
      </c>
      <c r="C477">
        <f>C466*CEILING(A477*1024/(C459*C463*C458),1)+A477*1024*C464</f>
        <v/>
      </c>
      <c r="D477">
        <f>B477/C477</f>
        <v/>
      </c>
      <c r="E477" t="n">
        <v>0.84</v>
      </c>
      <c r="F477">
        <f>A477*1024/(C477*0.000001)/1000000000*C465</f>
        <v/>
      </c>
      <c r="G477">
        <f>E477/F477</f>
        <v/>
      </c>
    </row>
    <row r="478">
      <c r="A478" t="n">
        <v>512</v>
      </c>
      <c r="B478" t="n">
        <v>601.9</v>
      </c>
      <c r="C478">
        <f>C466*CEILING(A478*1024/(C459*C463*C458),1)+A478*1024*C464</f>
        <v/>
      </c>
      <c r="D478">
        <f>B478/C478</f>
        <v/>
      </c>
      <c r="E478" t="n">
        <v>1.63</v>
      </c>
      <c r="F478">
        <f>A478*1024/(C478*0.000001)/1000000000*C465</f>
        <v/>
      </c>
      <c r="G478">
        <f>E478/F478</f>
        <v/>
      </c>
    </row>
    <row r="479">
      <c r="A479" t="n">
        <v>1024</v>
      </c>
      <c r="B479" t="n">
        <v>639.3</v>
      </c>
      <c r="C479">
        <f>C466*CEILING(A479*1024/(C459*C463*C458),1)+A479*1024*C464</f>
        <v/>
      </c>
      <c r="D479">
        <f>B479/C479</f>
        <v/>
      </c>
      <c r="E479" t="n">
        <v>3.08</v>
      </c>
      <c r="F479">
        <f>A479*1024/(C479*0.000001)/1000000000*C465</f>
        <v/>
      </c>
      <c r="G479">
        <f>E479/F479</f>
        <v/>
      </c>
    </row>
    <row r="480">
      <c r="A480" t="n">
        <v>2048</v>
      </c>
      <c r="B480" t="n">
        <v>675.38</v>
      </c>
      <c r="C480">
        <f>C466*CEILING(A480*1024/(C459*C463*C458),1)+A480*1024*C464</f>
        <v/>
      </c>
      <c r="D480">
        <f>B480/C480</f>
        <v/>
      </c>
      <c r="E480" t="n">
        <v>5.82</v>
      </c>
      <c r="F480">
        <f>A480*1024/(C480*0.000001)/1000000000*C465</f>
        <v/>
      </c>
      <c r="G480">
        <f>E480/F480</f>
        <v/>
      </c>
    </row>
    <row r="481">
      <c r="A481" t="n">
        <v>4096</v>
      </c>
      <c r="B481" t="n">
        <v>741.38</v>
      </c>
      <c r="C481">
        <f>C466*CEILING(A481*1024/(C459*C463*C458),1)+A481*1024*C464</f>
        <v/>
      </c>
      <c r="D481">
        <f>B481/C481</f>
        <v/>
      </c>
      <c r="E481" t="n">
        <v>10.61</v>
      </c>
      <c r="F481">
        <f>A481*1024/(C481*0.000001)/1000000000*C465</f>
        <v/>
      </c>
      <c r="G481">
        <f>E481/F481</f>
        <v/>
      </c>
    </row>
    <row r="482">
      <c r="A482" t="n">
        <v>8192</v>
      </c>
      <c r="B482" t="n">
        <v>867.3200000000001</v>
      </c>
      <c r="C482">
        <f>C466*CEILING(A482*1024/(C459*C463*C458),1)+A482*1024*C464</f>
        <v/>
      </c>
      <c r="D482">
        <f>B482/C482</f>
        <v/>
      </c>
      <c r="E482" t="n">
        <v>18.13</v>
      </c>
      <c r="F482">
        <f>A482*1024/(C482*0.000001)/1000000000*C465</f>
        <v/>
      </c>
      <c r="G482">
        <f>E482/F482</f>
        <v/>
      </c>
    </row>
    <row r="483">
      <c r="A483" t="n">
        <v>16384</v>
      </c>
      <c r="B483" t="n">
        <v>1126.25</v>
      </c>
      <c r="C483">
        <f>C466*CEILING(A483*1024/(C459*C463*C458),1)+A483*1024*C464</f>
        <v/>
      </c>
      <c r="D483">
        <f>B483/C483</f>
        <v/>
      </c>
      <c r="E483" t="n">
        <v>27.93</v>
      </c>
      <c r="F483">
        <f>A483*1024/(C483*0.000001)/1000000000*C465</f>
        <v/>
      </c>
      <c r="G483">
        <f>E483/F483</f>
        <v/>
      </c>
    </row>
    <row r="484">
      <c r="A484" t="n">
        <v>32768</v>
      </c>
      <c r="B484" t="n">
        <v>1713.79</v>
      </c>
      <c r="C484">
        <f>C466*CEILING(A484*1024/(C459*C463*C458),1)+A484*1024*C464</f>
        <v/>
      </c>
      <c r="D484">
        <f>B484/C484</f>
        <v/>
      </c>
      <c r="E484" t="n">
        <v>36.71</v>
      </c>
      <c r="F484">
        <f>A484*1024/(C484*0.000001)/1000000000*C465</f>
        <v/>
      </c>
      <c r="G484">
        <f>E484/F484</f>
        <v/>
      </c>
    </row>
    <row r="485">
      <c r="A485" t="n">
        <v>65536</v>
      </c>
      <c r="B485" t="n">
        <v>3053.33</v>
      </c>
      <c r="C485">
        <f>C466*CEILING(A485*1024/(C459*C463*C458),1)+A485*1024*C464</f>
        <v/>
      </c>
      <c r="D485">
        <f>B485/C485</f>
        <v/>
      </c>
      <c r="E485" t="n">
        <v>41.21</v>
      </c>
      <c r="F485">
        <f>A485*1024/(C485*0.000001)/1000000000*C465</f>
        <v/>
      </c>
      <c r="G485">
        <f>E485/F485</f>
        <v/>
      </c>
    </row>
    <row r="486">
      <c r="A486" t="n">
        <v>131072</v>
      </c>
      <c r="B486" t="n">
        <v>5999.48</v>
      </c>
      <c r="C486">
        <f>C466*CEILING(A486*1024/(C459*C463*C458),1)+A486*1024*C464</f>
        <v/>
      </c>
      <c r="D486">
        <f>B486/C486</f>
        <v/>
      </c>
      <c r="E486" t="n">
        <v>41.95</v>
      </c>
      <c r="F486">
        <f>A486*1024/(C486*0.000001)/1000000000*C465</f>
        <v/>
      </c>
      <c r="G486">
        <f>E486/F486</f>
        <v/>
      </c>
    </row>
    <row r="487">
      <c r="A487" t="n">
        <v>262144</v>
      </c>
      <c r="B487" t="n">
        <v>11992.1</v>
      </c>
      <c r="C487">
        <f>C466*CEILING(A487*1024/(C459*C463*C458),1)+A487*1024*C464</f>
        <v/>
      </c>
      <c r="D487">
        <f>B487/C487</f>
        <v/>
      </c>
      <c r="E487" t="n">
        <v>41.97</v>
      </c>
      <c r="F487">
        <f>A487*1024/(C487*0.000001)/1000000000*C465</f>
        <v/>
      </c>
      <c r="G487">
        <f>E487/F487</f>
        <v/>
      </c>
    </row>
    <row r="488">
      <c r="A488" t="n">
        <v>524288</v>
      </c>
      <c r="B488" t="n">
        <v>23968.9</v>
      </c>
      <c r="C488">
        <f>C466*CEILING(A488*1024/(C459*C463*C458),1)+A488*1024*C464</f>
        <v/>
      </c>
      <c r="D488">
        <f>B488/C488</f>
        <v/>
      </c>
      <c r="E488" t="n">
        <v>42</v>
      </c>
      <c r="F488">
        <f>A488*1024/(C488*0.000001)/1000000000*C465</f>
        <v/>
      </c>
      <c r="G488">
        <f>E488/F488</f>
        <v/>
      </c>
    </row>
    <row r="489">
      <c r="A489" t="n">
        <v>1048576</v>
      </c>
      <c r="B489" t="n">
        <v>47018.7</v>
      </c>
      <c r="C489">
        <f>C466*CEILING(A489*1024/(C459*C463*C458),1)+A489*1024*C464</f>
        <v/>
      </c>
      <c r="D489">
        <f>B489/C489</f>
        <v/>
      </c>
      <c r="E489" t="n">
        <v>42.82</v>
      </c>
      <c r="F489">
        <f>A489*1024/(C489*0.000001)/1000000000*C465</f>
        <v/>
      </c>
      <c r="G489">
        <f>E489/F489</f>
        <v/>
      </c>
    </row>
    <row r="490"/>
    <row r="491">
      <c r="A491" t="inlineStr">
        <is>
          <t>Nodes: 16, Protocol: LL128, Channels: 16</t>
        </is>
      </c>
    </row>
    <row r="492">
      <c r="A492" t="inlineStr">
        <is>
          <t>Parameter</t>
        </is>
      </c>
      <c r="B492" t="inlineStr">
        <is>
          <t>Formula</t>
        </is>
      </c>
      <c r="C492" t="inlineStr">
        <is>
          <t>Value</t>
        </is>
      </c>
    </row>
    <row r="493">
      <c r="A493" t="inlineStr">
        <is>
          <t>n</t>
        </is>
      </c>
      <c r="B493" t="inlineStr">
        <is>
          <t>nodes on ring</t>
        </is>
      </c>
      <c r="C493" t="n">
        <v>16</v>
      </c>
    </row>
    <row r="494">
      <c r="A494" t="inlineStr">
        <is>
          <t>nch</t>
        </is>
      </c>
      <c r="B494" t="inlineStr">
        <is>
          <t>channels</t>
        </is>
      </c>
      <c r="C494" t="n">
        <v>16</v>
      </c>
    </row>
    <row r="495">
      <c r="A495" t="inlineStr">
        <is>
          <t>a</t>
        </is>
      </c>
      <c r="B495" t="inlineStr">
        <is>
          <t>RTT (us)</t>
        </is>
      </c>
      <c r="C495" t="n">
        <v>25.8107</v>
      </c>
    </row>
    <row r="496">
      <c r="A496" t="inlineStr">
        <is>
          <t>NIC_BW</t>
        </is>
      </c>
      <c r="B496" t="inlineStr">
        <is>
          <t>bytes/us</t>
        </is>
      </c>
      <c r="C496" t="n">
        <v>48750</v>
      </c>
    </row>
    <row r="497">
      <c r="A497" t="inlineStr">
        <is>
          <t>NIC_BW_single_efa</t>
        </is>
      </c>
      <c r="B497" t="inlineStr">
        <is>
          <t>50/2*1e3*0.975</t>
        </is>
      </c>
      <c r="C497" t="n">
        <v>24375</v>
      </c>
    </row>
    <row r="498">
      <c r="A498" t="inlineStr">
        <is>
          <t>chunk_size</t>
        </is>
      </c>
      <c r="B498" t="inlineStr">
        <is>
          <t>576000 bytes</t>
        </is>
      </c>
      <c r="C498" t="n">
        <v>576000</v>
      </c>
    </row>
    <row r="499">
      <c r="A499" t="inlineStr">
        <is>
          <t>G</t>
        </is>
      </c>
      <c r="B499" t="inlineStr">
        <is>
          <t>(16/15)*2*(n-1)/(n*NIC_BW)</t>
        </is>
      </c>
      <c r="C499">
        <f>(16/15)*2*(C493-1)/(C493*C496)</f>
        <v/>
      </c>
    </row>
    <row r="500">
      <c r="A500" t="inlineStr">
        <is>
          <t>busbw_factor</t>
        </is>
      </c>
      <c r="B500" t="inlineStr">
        <is>
          <t>2*(n-1)/n</t>
        </is>
      </c>
      <c r="C500">
        <f>2*(C493-1)/C493</f>
        <v/>
      </c>
    </row>
    <row r="501">
      <c r="A501" t="inlineStr">
        <is>
          <t>fixed_per_step</t>
        </is>
      </c>
      <c r="B501" t="inlineStr">
        <is>
          <t>2*(n-1)*a/2</t>
        </is>
      </c>
      <c r="C501">
        <f>2*(C493-1)*C495/2</f>
        <v/>
      </c>
    </row>
    <row r="502"/>
    <row r="503">
      <c r="A503" t="inlineStr">
        <is>
          <t>size_KB</t>
        </is>
      </c>
      <c r="B503" t="inlineStr">
        <is>
          <t>Actual Time (us)</t>
        </is>
      </c>
      <c r="C503" t="inlineStr">
        <is>
          <t>Roofline Time (us)</t>
        </is>
      </c>
      <c r="D503" t="inlineStr">
        <is>
          <t>Actual/Roofline</t>
        </is>
      </c>
      <c r="E503" t="inlineStr">
        <is>
          <t>Actual busBW (GB/s)</t>
        </is>
      </c>
      <c r="F503" t="inlineStr">
        <is>
          <t>Roofline busBW (GB/s)</t>
        </is>
      </c>
      <c r="G503" t="inlineStr">
        <is>
          <t>Meas/Roof busBW</t>
        </is>
      </c>
    </row>
    <row r="504">
      <c r="A504" t="n">
        <v>1</v>
      </c>
      <c r="B504" t="n">
        <v>478.94</v>
      </c>
      <c r="C504">
        <f>C501*CEILING(A504*1024/(C494*C498*C493),1)+A504*1024*C499</f>
        <v/>
      </c>
      <c r="D504">
        <f>B504/C504</f>
        <v/>
      </c>
      <c r="E504" t="n">
        <v>0</v>
      </c>
      <c r="F504">
        <f>A504*1024/(C504*0.000001)/1000000000*C500</f>
        <v/>
      </c>
      <c r="G504">
        <f>E504/F504</f>
        <v/>
      </c>
    </row>
    <row r="505">
      <c r="A505" t="n">
        <v>2</v>
      </c>
      <c r="B505" t="n">
        <v>479.78</v>
      </c>
      <c r="C505">
        <f>C501*CEILING(A505*1024/(C494*C498*C493),1)+A505*1024*C499</f>
        <v/>
      </c>
      <c r="D505">
        <f>B505/C505</f>
        <v/>
      </c>
      <c r="E505" t="n">
        <v>0.01</v>
      </c>
      <c r="F505">
        <f>A505*1024/(C505*0.000001)/1000000000*C500</f>
        <v/>
      </c>
      <c r="G505">
        <f>E505/F505</f>
        <v/>
      </c>
    </row>
    <row r="506">
      <c r="A506" t="n">
        <v>4</v>
      </c>
      <c r="B506" t="n">
        <v>477.52</v>
      </c>
      <c r="C506">
        <f>C501*CEILING(A506*1024/(C494*C498*C493),1)+A506*1024*C499</f>
        <v/>
      </c>
      <c r="D506">
        <f>B506/C506</f>
        <v/>
      </c>
      <c r="E506" t="n">
        <v>0.02</v>
      </c>
      <c r="F506">
        <f>A506*1024/(C506*0.000001)/1000000000*C500</f>
        <v/>
      </c>
      <c r="G506">
        <f>E506/F506</f>
        <v/>
      </c>
    </row>
    <row r="507">
      <c r="A507" t="n">
        <v>8</v>
      </c>
      <c r="B507" t="n">
        <v>478.51</v>
      </c>
      <c r="C507">
        <f>C501*CEILING(A507*1024/(C494*C498*C493),1)+A507*1024*C499</f>
        <v/>
      </c>
      <c r="D507">
        <f>B507/C507</f>
        <v/>
      </c>
      <c r="E507" t="n">
        <v>0.03</v>
      </c>
      <c r="F507">
        <f>A507*1024/(C507*0.000001)/1000000000*C500</f>
        <v/>
      </c>
      <c r="G507">
        <f>E507/F507</f>
        <v/>
      </c>
    </row>
    <row r="508">
      <c r="A508" t="n">
        <v>16</v>
      </c>
      <c r="B508" t="n">
        <v>477.78</v>
      </c>
      <c r="C508">
        <f>C501*CEILING(A508*1024/(C494*C498*C493),1)+A508*1024*C499</f>
        <v/>
      </c>
      <c r="D508">
        <f>B508/C508</f>
        <v/>
      </c>
      <c r="E508" t="n">
        <v>0.06</v>
      </c>
      <c r="F508">
        <f>A508*1024/(C508*0.000001)/1000000000*C500</f>
        <v/>
      </c>
      <c r="G508">
        <f>E508/F508</f>
        <v/>
      </c>
    </row>
    <row r="509">
      <c r="A509" t="n">
        <v>32</v>
      </c>
      <c r="B509" t="n">
        <v>486.84</v>
      </c>
      <c r="C509">
        <f>C501*CEILING(A509*1024/(C494*C498*C493),1)+A509*1024*C499</f>
        <v/>
      </c>
      <c r="D509">
        <f>B509/C509</f>
        <v/>
      </c>
      <c r="E509" t="n">
        <v>0.13</v>
      </c>
      <c r="F509">
        <f>A509*1024/(C509*0.000001)/1000000000*C500</f>
        <v/>
      </c>
      <c r="G509">
        <f>E509/F509</f>
        <v/>
      </c>
    </row>
    <row r="510">
      <c r="A510" t="n">
        <v>64</v>
      </c>
      <c r="B510" t="n">
        <v>504.74</v>
      </c>
      <c r="C510">
        <f>C501*CEILING(A510*1024/(C494*C498*C493),1)+A510*1024*C499</f>
        <v/>
      </c>
      <c r="D510">
        <f>B510/C510</f>
        <v/>
      </c>
      <c r="E510" t="n">
        <v>0.24</v>
      </c>
      <c r="F510">
        <f>A510*1024/(C510*0.000001)/1000000000*C500</f>
        <v/>
      </c>
      <c r="G510">
        <f>E510/F510</f>
        <v/>
      </c>
    </row>
    <row r="511">
      <c r="A511" t="n">
        <v>128</v>
      </c>
      <c r="B511" t="n">
        <v>563.8</v>
      </c>
      <c r="C511">
        <f>C501*CEILING(A511*1024/(C494*C498*C493),1)+A511*1024*C499</f>
        <v/>
      </c>
      <c r="D511">
        <f>B511/C511</f>
        <v/>
      </c>
      <c r="E511" t="n">
        <v>0.44</v>
      </c>
      <c r="F511">
        <f>A511*1024/(C511*0.000001)/1000000000*C500</f>
        <v/>
      </c>
      <c r="G511">
        <f>E511/F511</f>
        <v/>
      </c>
    </row>
    <row r="512">
      <c r="A512" t="n">
        <v>256</v>
      </c>
      <c r="B512" t="n">
        <v>876.77</v>
      </c>
      <c r="C512">
        <f>C501*CEILING(A512*1024/(C494*C498*C493),1)+A512*1024*C499</f>
        <v/>
      </c>
      <c r="D512">
        <f>B512/C512</f>
        <v/>
      </c>
      <c r="E512" t="n">
        <v>0.5600000000000001</v>
      </c>
      <c r="F512">
        <f>A512*1024/(C512*0.000001)/1000000000*C500</f>
        <v/>
      </c>
      <c r="G512">
        <f>E512/F512</f>
        <v/>
      </c>
    </row>
    <row r="513">
      <c r="A513" t="n">
        <v>512</v>
      </c>
      <c r="B513" t="n">
        <v>789.9</v>
      </c>
      <c r="C513">
        <f>C501*CEILING(A513*1024/(C494*C498*C493),1)+A513*1024*C499</f>
        <v/>
      </c>
      <c r="D513">
        <f>B513/C513</f>
        <v/>
      </c>
      <c r="E513" t="n">
        <v>1.24</v>
      </c>
      <c r="F513">
        <f>A513*1024/(C513*0.000001)/1000000000*C500</f>
        <v/>
      </c>
      <c r="G513">
        <f>E513/F513</f>
        <v/>
      </c>
    </row>
    <row r="514">
      <c r="A514" t="n">
        <v>1024</v>
      </c>
      <c r="B514" t="n">
        <v>819.09</v>
      </c>
      <c r="C514">
        <f>C501*CEILING(A514*1024/(C494*C498*C493),1)+A514*1024*C499</f>
        <v/>
      </c>
      <c r="D514">
        <f>B514/C514</f>
        <v/>
      </c>
      <c r="E514" t="n">
        <v>2.4</v>
      </c>
      <c r="F514">
        <f>A514*1024/(C514*0.000001)/1000000000*C500</f>
        <v/>
      </c>
      <c r="G514">
        <f>E514/F514</f>
        <v/>
      </c>
    </row>
    <row r="515">
      <c r="A515" t="n">
        <v>2048</v>
      </c>
      <c r="B515" t="n">
        <v>820.5700000000001</v>
      </c>
      <c r="C515">
        <f>C501*CEILING(A515*1024/(C494*C498*C493),1)+A515*1024*C499</f>
        <v/>
      </c>
      <c r="D515">
        <f>B515/C515</f>
        <v/>
      </c>
      <c r="E515" t="n">
        <v>4.79</v>
      </c>
      <c r="F515">
        <f>A515*1024/(C515*0.000001)/1000000000*C500</f>
        <v/>
      </c>
      <c r="G515">
        <f>E515/F515</f>
        <v/>
      </c>
    </row>
    <row r="516">
      <c r="A516" t="n">
        <v>4096</v>
      </c>
      <c r="B516" t="n">
        <v>856.72</v>
      </c>
      <c r="C516">
        <f>C501*CEILING(A516*1024/(C494*C498*C493),1)+A516*1024*C499</f>
        <v/>
      </c>
      <c r="D516">
        <f>B516/C516</f>
        <v/>
      </c>
      <c r="E516" t="n">
        <v>9.18</v>
      </c>
      <c r="F516">
        <f>A516*1024/(C516*0.000001)/1000000000*C500</f>
        <v/>
      </c>
      <c r="G516">
        <f>E516/F516</f>
        <v/>
      </c>
    </row>
    <row r="517">
      <c r="A517" t="n">
        <v>8192</v>
      </c>
      <c r="B517" t="n">
        <v>942.99</v>
      </c>
      <c r="C517">
        <f>C501*CEILING(A517*1024/(C494*C498*C493),1)+A517*1024*C499</f>
        <v/>
      </c>
      <c r="D517">
        <f>B517/C517</f>
        <v/>
      </c>
      <c r="E517" t="n">
        <v>16.68</v>
      </c>
      <c r="F517">
        <f>A517*1024/(C517*0.000001)/1000000000*C500</f>
        <v/>
      </c>
      <c r="G517">
        <f>E517/F517</f>
        <v/>
      </c>
    </row>
    <row r="518">
      <c r="A518" t="n">
        <v>16384</v>
      </c>
      <c r="B518" t="n">
        <v>1143.27</v>
      </c>
      <c r="C518">
        <f>C501*CEILING(A518*1024/(C494*C498*C493),1)+A518*1024*C499</f>
        <v/>
      </c>
      <c r="D518">
        <f>B518/C518</f>
        <v/>
      </c>
      <c r="E518" t="n">
        <v>27.52</v>
      </c>
      <c r="F518">
        <f>A518*1024/(C518*0.000001)/1000000000*C500</f>
        <v/>
      </c>
      <c r="G518">
        <f>E518/F518</f>
        <v/>
      </c>
    </row>
    <row r="519">
      <c r="A519" t="n">
        <v>32768</v>
      </c>
      <c r="B519" t="n">
        <v>1677.17</v>
      </c>
      <c r="C519">
        <f>C501*CEILING(A519*1024/(C494*C498*C493),1)+A519*1024*C499</f>
        <v/>
      </c>
      <c r="D519">
        <f>B519/C519</f>
        <v/>
      </c>
      <c r="E519" t="n">
        <v>37.51</v>
      </c>
      <c r="F519">
        <f>A519*1024/(C519*0.000001)/1000000000*C500</f>
        <v/>
      </c>
      <c r="G519">
        <f>E519/F519</f>
        <v/>
      </c>
    </row>
    <row r="520">
      <c r="A520" t="n">
        <v>65536</v>
      </c>
      <c r="B520" t="n">
        <v>3125.24</v>
      </c>
      <c r="C520">
        <f>C501*CEILING(A520*1024/(C494*C498*C493),1)+A520*1024*C499</f>
        <v/>
      </c>
      <c r="D520">
        <f>B520/C520</f>
        <v/>
      </c>
      <c r="E520" t="n">
        <v>40.26</v>
      </c>
      <c r="F520">
        <f>A520*1024/(C520*0.000001)/1000000000*C500</f>
        <v/>
      </c>
      <c r="G520">
        <f>E520/F520</f>
        <v/>
      </c>
    </row>
    <row r="521">
      <c r="A521" t="n">
        <v>131072</v>
      </c>
      <c r="B521" t="n">
        <v>6000.31</v>
      </c>
      <c r="C521">
        <f>C501*CEILING(A521*1024/(C494*C498*C493),1)+A521*1024*C499</f>
        <v/>
      </c>
      <c r="D521">
        <f>B521/C521</f>
        <v/>
      </c>
      <c r="E521" t="n">
        <v>41.94</v>
      </c>
      <c r="F521">
        <f>A521*1024/(C521*0.000001)/1000000000*C500</f>
        <v/>
      </c>
      <c r="G521">
        <f>E521/F521</f>
        <v/>
      </c>
    </row>
    <row r="522">
      <c r="A522" t="n">
        <v>262144</v>
      </c>
      <c r="B522" t="n">
        <v>11807</v>
      </c>
      <c r="C522">
        <f>C501*CEILING(A522*1024/(C494*C498*C493),1)+A522*1024*C499</f>
        <v/>
      </c>
      <c r="D522">
        <f>B522/C522</f>
        <v/>
      </c>
      <c r="E522" t="n">
        <v>42.63</v>
      </c>
      <c r="F522">
        <f>A522*1024/(C522*0.000001)/1000000000*C500</f>
        <v/>
      </c>
      <c r="G522">
        <f>E522/F522</f>
        <v/>
      </c>
    </row>
    <row r="523">
      <c r="A523" t="n">
        <v>524288</v>
      </c>
      <c r="B523" t="n">
        <v>23538.6</v>
      </c>
      <c r="C523">
        <f>C501*CEILING(A523*1024/(C494*C498*C493),1)+A523*1024*C499</f>
        <v/>
      </c>
      <c r="D523">
        <f>B523/C523</f>
        <v/>
      </c>
      <c r="E523" t="n">
        <v>42.77</v>
      </c>
      <c r="F523">
        <f>A523*1024/(C523*0.000001)/1000000000*C500</f>
        <v/>
      </c>
      <c r="G523">
        <f>E523/F523</f>
        <v/>
      </c>
    </row>
    <row r="524">
      <c r="A524" t="n">
        <v>1048576</v>
      </c>
      <c r="B524" t="n">
        <v>47050.9</v>
      </c>
      <c r="C524">
        <f>C501*CEILING(A524*1024/(C494*C498*C493),1)+A524*1024*C499</f>
        <v/>
      </c>
      <c r="D524">
        <f>B524/C524</f>
        <v/>
      </c>
      <c r="E524" t="n">
        <v>42.79</v>
      </c>
      <c r="F524">
        <f>A524*1024/(C524*0.000001)/1000000000*C500</f>
        <v/>
      </c>
      <c r="G524">
        <f>E524/F524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9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Nodes: 16, Protocol: Simple, Channels: 1</t>
        </is>
      </c>
    </row>
    <row r="2">
      <c r="A2" t="inlineStr">
        <is>
          <t>Parameter</t>
        </is>
      </c>
      <c r="B2" t="inlineStr">
        <is>
          <t>Formula</t>
        </is>
      </c>
      <c r="C2" t="inlineStr">
        <is>
          <t>Value</t>
        </is>
      </c>
    </row>
    <row r="3">
      <c r="A3" t="inlineStr">
        <is>
          <t>n</t>
        </is>
      </c>
      <c r="B3" t="inlineStr">
        <is>
          <t>nodes on tree</t>
        </is>
      </c>
      <c r="C3" t="n">
        <v>16</v>
      </c>
    </row>
    <row r="4">
      <c r="A4" t="inlineStr">
        <is>
          <t>nch</t>
        </is>
      </c>
      <c r="B4" t="inlineStr">
        <is>
          <t>channels</t>
        </is>
      </c>
      <c r="C4" t="n">
        <v>1</v>
      </c>
    </row>
    <row r="5">
      <c r="A5" t="inlineStr">
        <is>
          <t>a</t>
        </is>
      </c>
      <c r="B5" t="inlineStr">
        <is>
          <t>RTT (us)</t>
        </is>
      </c>
      <c r="C5" t="n">
        <v>25.8107</v>
      </c>
    </row>
    <row r="6">
      <c r="A6" t="inlineStr">
        <is>
          <t>NIC_BW</t>
        </is>
      </c>
      <c r="B6" t="inlineStr">
        <is>
          <t>bytes/us</t>
        </is>
      </c>
      <c r="C6" t="n">
        <v>48750</v>
      </c>
    </row>
    <row r="7">
      <c r="A7" t="inlineStr">
        <is>
          <t>NIC_BW_REAL</t>
        </is>
      </c>
      <c r="B7" t="inlineStr">
        <is>
          <t>NIC_BW/3</t>
        </is>
      </c>
      <c r="C7">
        <f>C6/3</f>
        <v/>
      </c>
    </row>
    <row r="8">
      <c r="A8" t="inlineStr">
        <is>
          <t>G</t>
        </is>
      </c>
      <c r="B8" t="inlineStr">
        <is>
          <t>1/NIC_BW_REAL</t>
        </is>
      </c>
      <c r="C8">
        <f>1/C7</f>
        <v/>
      </c>
    </row>
    <row r="9">
      <c r="A9" t="inlineStr">
        <is>
          <t>busbw_factor</t>
        </is>
      </c>
      <c r="B9" t="inlineStr">
        <is>
          <t>2*(n-1)/n</t>
        </is>
      </c>
      <c r="C9">
        <f>2*(C3-1)/C3</f>
        <v/>
      </c>
    </row>
    <row r="10">
      <c r="A10" t="inlineStr">
        <is>
          <t>fixed_overhead</t>
        </is>
      </c>
      <c r="B10" t="inlineStr">
        <is>
          <t>(2*LOG2(n)+1)*a/2</t>
        </is>
      </c>
      <c r="C10">
        <f>(2*LOG(C3,2)+1)*C5/2</f>
        <v/>
      </c>
    </row>
    <row r="11"/>
    <row r="12">
      <c r="A12" t="inlineStr">
        <is>
          <t>size_KB</t>
        </is>
      </c>
      <c r="B12" t="inlineStr">
        <is>
          <t>Actual Time (us)</t>
        </is>
      </c>
      <c r="C12" t="inlineStr">
        <is>
          <t>Roofline Time (us)</t>
        </is>
      </c>
      <c r="D12" t="inlineStr">
        <is>
          <t>Actual/Roofline</t>
        </is>
      </c>
      <c r="E12" t="inlineStr">
        <is>
          <t>Actual busBW (GB/s)</t>
        </is>
      </c>
      <c r="F12" t="inlineStr">
        <is>
          <t>Roofline busBW (GB/s)</t>
        </is>
      </c>
      <c r="G12" t="inlineStr">
        <is>
          <t>Meas/Roof busBW</t>
        </is>
      </c>
    </row>
    <row r="13">
      <c r="A13" t="n">
        <v>1</v>
      </c>
      <c r="B13" t="n">
        <v>192.44</v>
      </c>
      <c r="C13">
        <f>C10+A13*1024*C8</f>
        <v/>
      </c>
      <c r="D13">
        <f>B13/C13</f>
        <v/>
      </c>
      <c r="E13" t="n">
        <v>0.01</v>
      </c>
      <c r="F13">
        <f>A13*1024/(C13*0.000001)/1000000000*C9</f>
        <v/>
      </c>
      <c r="G13">
        <f>E13/F13</f>
        <v/>
      </c>
    </row>
    <row r="14">
      <c r="A14" t="n">
        <v>2</v>
      </c>
      <c r="B14" t="n">
        <v>187.58</v>
      </c>
      <c r="C14">
        <f>C10+A14*1024*C8</f>
        <v/>
      </c>
      <c r="D14">
        <f>B14/C14</f>
        <v/>
      </c>
      <c r="E14" t="n">
        <v>0.02</v>
      </c>
      <c r="F14">
        <f>A14*1024/(C14*0.000001)/1000000000*C9</f>
        <v/>
      </c>
      <c r="G14">
        <f>E14/F14</f>
        <v/>
      </c>
    </row>
    <row r="15">
      <c r="A15" t="n">
        <v>4</v>
      </c>
      <c r="B15" t="n">
        <v>193.27</v>
      </c>
      <c r="C15">
        <f>C10+A15*1024*C8</f>
        <v/>
      </c>
      <c r="D15">
        <f>B15/C15</f>
        <v/>
      </c>
      <c r="E15" t="n">
        <v>0.04</v>
      </c>
      <c r="F15">
        <f>A15*1024/(C15*0.000001)/1000000000*C9</f>
        <v/>
      </c>
      <c r="G15">
        <f>E15/F15</f>
        <v/>
      </c>
    </row>
    <row r="16">
      <c r="A16" t="n">
        <v>8</v>
      </c>
      <c r="B16" t="n">
        <v>209.06</v>
      </c>
      <c r="C16">
        <f>C10+A16*1024*C8</f>
        <v/>
      </c>
      <c r="D16">
        <f>B16/C16</f>
        <v/>
      </c>
      <c r="E16" t="n">
        <v>0.07000000000000001</v>
      </c>
      <c r="F16">
        <f>A16*1024/(C16*0.000001)/1000000000*C9</f>
        <v/>
      </c>
      <c r="G16">
        <f>E16/F16</f>
        <v/>
      </c>
    </row>
    <row r="17">
      <c r="A17" t="n">
        <v>16</v>
      </c>
      <c r="B17" t="n">
        <v>247.33</v>
      </c>
      <c r="C17">
        <f>C10+A17*1024*C8</f>
        <v/>
      </c>
      <c r="D17">
        <f>B17/C17</f>
        <v/>
      </c>
      <c r="E17" t="n">
        <v>0.12</v>
      </c>
      <c r="F17">
        <f>A17*1024/(C17*0.000001)/1000000000*C9</f>
        <v/>
      </c>
      <c r="G17">
        <f>E17/F17</f>
        <v/>
      </c>
    </row>
    <row r="18">
      <c r="A18" t="n">
        <v>32</v>
      </c>
      <c r="B18" t="n">
        <v>273.93</v>
      </c>
      <c r="C18">
        <f>C10+A18*1024*C8</f>
        <v/>
      </c>
      <c r="D18">
        <f>B18/C18</f>
        <v/>
      </c>
      <c r="E18" t="n">
        <v>0.22</v>
      </c>
      <c r="F18">
        <f>A18*1024/(C18*0.000001)/1000000000*C9</f>
        <v/>
      </c>
      <c r="G18">
        <f>E18/F18</f>
        <v/>
      </c>
    </row>
    <row r="19">
      <c r="A19" t="n">
        <v>64</v>
      </c>
      <c r="B19" t="n">
        <v>305.75</v>
      </c>
      <c r="C19">
        <f>C10+A19*1024*C8</f>
        <v/>
      </c>
      <c r="D19">
        <f>B19/C19</f>
        <v/>
      </c>
      <c r="E19" t="n">
        <v>0.4</v>
      </c>
      <c r="F19">
        <f>A19*1024/(C19*0.000001)/1000000000*C9</f>
        <v/>
      </c>
      <c r="G19">
        <f>E19/F19</f>
        <v/>
      </c>
    </row>
    <row r="20">
      <c r="A20" t="n">
        <v>128</v>
      </c>
      <c r="B20" t="n">
        <v>366.65</v>
      </c>
      <c r="C20">
        <f>C10+A20*1024*C8</f>
        <v/>
      </c>
      <c r="D20">
        <f>B20/C20</f>
        <v/>
      </c>
      <c r="E20" t="n">
        <v>0.67</v>
      </c>
      <c r="F20">
        <f>A20*1024/(C20*0.000001)/1000000000*C9</f>
        <v/>
      </c>
      <c r="G20">
        <f>E20/F20</f>
        <v/>
      </c>
    </row>
    <row r="21">
      <c r="A21" t="n">
        <v>256</v>
      </c>
      <c r="B21" t="n">
        <v>433.9</v>
      </c>
      <c r="C21">
        <f>C10+A21*1024*C8</f>
        <v/>
      </c>
      <c r="D21">
        <f>B21/C21</f>
        <v/>
      </c>
      <c r="E21" t="n">
        <v>1.13</v>
      </c>
      <c r="F21">
        <f>A21*1024/(C21*0.000001)/1000000000*C9</f>
        <v/>
      </c>
      <c r="G21">
        <f>E21/F21</f>
        <v/>
      </c>
    </row>
    <row r="22">
      <c r="A22" t="n">
        <v>512</v>
      </c>
      <c r="B22" t="n">
        <v>605.05</v>
      </c>
      <c r="C22">
        <f>C10+A22*1024*C8</f>
        <v/>
      </c>
      <c r="D22">
        <f>B22/C22</f>
        <v/>
      </c>
      <c r="E22" t="n">
        <v>1.62</v>
      </c>
      <c r="F22">
        <f>A22*1024/(C22*0.000001)/1000000000*C9</f>
        <v/>
      </c>
      <c r="G22">
        <f>E22/F22</f>
        <v/>
      </c>
    </row>
    <row r="23">
      <c r="A23" t="n">
        <v>1024</v>
      </c>
      <c r="B23" t="n">
        <v>956.17</v>
      </c>
      <c r="C23">
        <f>C10+A23*1024*C8</f>
        <v/>
      </c>
      <c r="D23">
        <f>B23/C23</f>
        <v/>
      </c>
      <c r="E23" t="n">
        <v>2.06</v>
      </c>
      <c r="F23">
        <f>A23*1024/(C23*0.000001)/1000000000*C9</f>
        <v/>
      </c>
      <c r="G23">
        <f>E23/F23</f>
        <v/>
      </c>
    </row>
    <row r="24">
      <c r="A24" t="n">
        <v>2048</v>
      </c>
      <c r="B24" t="n">
        <v>1038.62</v>
      </c>
      <c r="C24">
        <f>C10+A24*1024*C8</f>
        <v/>
      </c>
      <c r="D24">
        <f>B24/C24</f>
        <v/>
      </c>
      <c r="E24" t="n">
        <v>3.79</v>
      </c>
      <c r="F24">
        <f>A24*1024/(C24*0.000001)/1000000000*C9</f>
        <v/>
      </c>
      <c r="G24">
        <f>E24/F24</f>
        <v/>
      </c>
    </row>
    <row r="25">
      <c r="A25" t="n">
        <v>4096</v>
      </c>
      <c r="B25" t="n">
        <v>1189.15</v>
      </c>
      <c r="C25">
        <f>C10+A25*1024*C8</f>
        <v/>
      </c>
      <c r="D25">
        <f>B25/C25</f>
        <v/>
      </c>
      <c r="E25" t="n">
        <v>6.61</v>
      </c>
      <c r="F25">
        <f>A25*1024/(C25*0.000001)/1000000000*C9</f>
        <v/>
      </c>
      <c r="G25">
        <f>E25/F25</f>
        <v/>
      </c>
    </row>
    <row r="26">
      <c r="A26" t="n">
        <v>8192</v>
      </c>
      <c r="B26" t="n">
        <v>1604.55</v>
      </c>
      <c r="C26">
        <f>C10+A26*1024*C8</f>
        <v/>
      </c>
      <c r="D26">
        <f>B26/C26</f>
        <v/>
      </c>
      <c r="E26" t="n">
        <v>9.800000000000001</v>
      </c>
      <c r="F26">
        <f>A26*1024/(C26*0.000001)/1000000000*C9</f>
        <v/>
      </c>
      <c r="G26">
        <f>E26/F26</f>
        <v/>
      </c>
    </row>
    <row r="27">
      <c r="A27" t="n">
        <v>16384</v>
      </c>
      <c r="B27" t="n">
        <v>2401.02</v>
      </c>
      <c r="C27">
        <f>C10+A27*1024*C8</f>
        <v/>
      </c>
      <c r="D27">
        <f>B27/C27</f>
        <v/>
      </c>
      <c r="E27" t="n">
        <v>13.1</v>
      </c>
      <c r="F27">
        <f>A27*1024/(C27*0.000001)/1000000000*C9</f>
        <v/>
      </c>
      <c r="G27">
        <f>E27/F27</f>
        <v/>
      </c>
    </row>
    <row r="28">
      <c r="A28" t="n">
        <v>32768</v>
      </c>
      <c r="B28" t="n">
        <v>3927.54</v>
      </c>
      <c r="C28">
        <f>C10+A28*1024*C8</f>
        <v/>
      </c>
      <c r="D28">
        <f>B28/C28</f>
        <v/>
      </c>
      <c r="E28" t="n">
        <v>16.02</v>
      </c>
      <c r="F28">
        <f>A28*1024/(C28*0.000001)/1000000000*C9</f>
        <v/>
      </c>
      <c r="G28">
        <f>E28/F28</f>
        <v/>
      </c>
    </row>
    <row r="29">
      <c r="A29" t="n">
        <v>65536</v>
      </c>
      <c r="B29" t="n">
        <v>7010.63</v>
      </c>
      <c r="C29">
        <f>C10+A29*1024*C8</f>
        <v/>
      </c>
      <c r="D29">
        <f>B29/C29</f>
        <v/>
      </c>
      <c r="E29" t="n">
        <v>17.95</v>
      </c>
      <c r="F29">
        <f>A29*1024/(C29*0.000001)/1000000000*C9</f>
        <v/>
      </c>
      <c r="G29">
        <f>E29/F29</f>
        <v/>
      </c>
    </row>
    <row r="30">
      <c r="A30" t="n">
        <v>131072</v>
      </c>
      <c r="B30" t="n">
        <v>13129.5</v>
      </c>
      <c r="C30">
        <f>C10+A30*1024*C8</f>
        <v/>
      </c>
      <c r="D30">
        <f>B30/C30</f>
        <v/>
      </c>
      <c r="E30" t="n">
        <v>19.17</v>
      </c>
      <c r="F30">
        <f>A30*1024/(C30*0.000001)/1000000000*C9</f>
        <v/>
      </c>
      <c r="G30">
        <f>E30/F30</f>
        <v/>
      </c>
    </row>
    <row r="31">
      <c r="A31" t="n">
        <v>262144</v>
      </c>
      <c r="B31" t="n">
        <v>25347.8</v>
      </c>
      <c r="C31">
        <f>C10+A31*1024*C8</f>
        <v/>
      </c>
      <c r="D31">
        <f>B31/C31</f>
        <v/>
      </c>
      <c r="E31" t="n">
        <v>19.86</v>
      </c>
      <c r="F31">
        <f>A31*1024/(C31*0.000001)/1000000000*C9</f>
        <v/>
      </c>
      <c r="G31">
        <f>E31/F31</f>
        <v/>
      </c>
    </row>
    <row r="32">
      <c r="A32" t="n">
        <v>524288</v>
      </c>
      <c r="B32" t="n">
        <v>49726.7</v>
      </c>
      <c r="C32">
        <f>C10+A32*1024*C8</f>
        <v/>
      </c>
      <c r="D32">
        <f>B32/C32</f>
        <v/>
      </c>
      <c r="E32" t="n">
        <v>20.24</v>
      </c>
      <c r="F32">
        <f>A32*1024/(C32*0.000001)/1000000000*C9</f>
        <v/>
      </c>
      <c r="G32">
        <f>E32/F32</f>
        <v/>
      </c>
    </row>
    <row r="33">
      <c r="A33" t="n">
        <v>1048576</v>
      </c>
      <c r="B33" t="n">
        <v>98474.10000000001</v>
      </c>
      <c r="C33">
        <f>C10+A33*1024*C8</f>
        <v/>
      </c>
      <c r="D33">
        <f>B33/C33</f>
        <v/>
      </c>
      <c r="E33" t="n">
        <v>20.44</v>
      </c>
      <c r="F33">
        <f>A33*1024/(C33*0.000001)/1000000000*C9</f>
        <v/>
      </c>
      <c r="G33">
        <f>E33/F33</f>
        <v/>
      </c>
    </row>
    <row r="34">
      <c r="A34" t="n">
        <v>2097152</v>
      </c>
      <c r="B34" t="n">
        <v>196040</v>
      </c>
      <c r="C34">
        <f>C10+A34*1024*C8</f>
        <v/>
      </c>
      <c r="D34">
        <f>B34/C34</f>
        <v/>
      </c>
      <c r="E34" t="n">
        <v>20.54</v>
      </c>
      <c r="F34">
        <f>A34*1024/(C34*0.000001)/1000000000*C9</f>
        <v/>
      </c>
      <c r="G34">
        <f>E34/F34</f>
        <v/>
      </c>
    </row>
    <row r="35">
      <c r="A35" t="n">
        <v>4194304</v>
      </c>
      <c r="B35" t="n">
        <v>391030</v>
      </c>
      <c r="C35">
        <f>C10+A35*1024*C8</f>
        <v/>
      </c>
      <c r="D35">
        <f>B35/C35</f>
        <v/>
      </c>
      <c r="E35" t="n">
        <v>20.59</v>
      </c>
      <c r="F35">
        <f>A35*1024/(C35*0.000001)/1000000000*C9</f>
        <v/>
      </c>
      <c r="G35">
        <f>E35/F35</f>
        <v/>
      </c>
    </row>
    <row r="36"/>
    <row r="37">
      <c r="A37" t="inlineStr">
        <is>
          <t>Nodes: 16, Protocol: Simple, Channels: 2</t>
        </is>
      </c>
    </row>
    <row r="38">
      <c r="A38" t="inlineStr">
        <is>
          <t>Parameter</t>
        </is>
      </c>
      <c r="B38" t="inlineStr">
        <is>
          <t>Formula</t>
        </is>
      </c>
      <c r="C38" t="inlineStr">
        <is>
          <t>Value</t>
        </is>
      </c>
    </row>
    <row r="39">
      <c r="A39" t="inlineStr">
        <is>
          <t>n</t>
        </is>
      </c>
      <c r="B39" t="inlineStr">
        <is>
          <t>nodes on tree</t>
        </is>
      </c>
      <c r="C39" t="n">
        <v>16</v>
      </c>
    </row>
    <row r="40">
      <c r="A40" t="inlineStr">
        <is>
          <t>nch</t>
        </is>
      </c>
      <c r="B40" t="inlineStr">
        <is>
          <t>channels</t>
        </is>
      </c>
      <c r="C40" t="n">
        <v>2</v>
      </c>
    </row>
    <row r="41">
      <c r="A41" t="inlineStr">
        <is>
          <t>a</t>
        </is>
      </c>
      <c r="B41" t="inlineStr">
        <is>
          <t>RTT (us)</t>
        </is>
      </c>
      <c r="C41" t="n">
        <v>25.8107</v>
      </c>
    </row>
    <row r="42">
      <c r="A42" t="inlineStr">
        <is>
          <t>NIC_BW</t>
        </is>
      </c>
      <c r="B42" t="inlineStr">
        <is>
          <t>bytes/us</t>
        </is>
      </c>
      <c r="C42" t="n">
        <v>48750</v>
      </c>
    </row>
    <row r="43">
      <c r="A43" t="inlineStr">
        <is>
          <t>NIC_BW_REAL</t>
        </is>
      </c>
      <c r="B43" t="inlineStr">
        <is>
          <t>NIC_BW/3</t>
        </is>
      </c>
      <c r="C43">
        <f>C42/3</f>
        <v/>
      </c>
    </row>
    <row r="44">
      <c r="A44" t="inlineStr">
        <is>
          <t>G</t>
        </is>
      </c>
      <c r="B44" t="inlineStr">
        <is>
          <t>1/NIC_BW_REAL</t>
        </is>
      </c>
      <c r="C44">
        <f>1/C43</f>
        <v/>
      </c>
    </row>
    <row r="45">
      <c r="A45" t="inlineStr">
        <is>
          <t>busbw_factor</t>
        </is>
      </c>
      <c r="B45" t="inlineStr">
        <is>
          <t>2*(n-1)/n</t>
        </is>
      </c>
      <c r="C45">
        <f>2*(C39-1)/C39</f>
        <v/>
      </c>
    </row>
    <row r="46">
      <c r="A46" t="inlineStr">
        <is>
          <t>fixed_overhead</t>
        </is>
      </c>
      <c r="B46" t="inlineStr">
        <is>
          <t>(2*LOG2(n)+1)*a/2</t>
        </is>
      </c>
      <c r="C46">
        <f>(2*LOG(C39,2)+1)*C41/2</f>
        <v/>
      </c>
    </row>
    <row r="47"/>
    <row r="48">
      <c r="A48" t="inlineStr">
        <is>
          <t>size_KB</t>
        </is>
      </c>
      <c r="B48" t="inlineStr">
        <is>
          <t>Actual Time (us)</t>
        </is>
      </c>
      <c r="C48" t="inlineStr">
        <is>
          <t>Roofline Time (us)</t>
        </is>
      </c>
      <c r="D48" t="inlineStr">
        <is>
          <t>Actual/Roofline</t>
        </is>
      </c>
      <c r="E48" t="inlineStr">
        <is>
          <t>Actual busBW (GB/s)</t>
        </is>
      </c>
      <c r="F48" t="inlineStr">
        <is>
          <t>Roofline busBW (GB/s)</t>
        </is>
      </c>
      <c r="G48" t="inlineStr">
        <is>
          <t>Meas/Roof busBW</t>
        </is>
      </c>
    </row>
    <row r="49">
      <c r="A49" t="n">
        <v>1</v>
      </c>
      <c r="B49" t="n">
        <v>198.29</v>
      </c>
      <c r="C49">
        <f>C46+A49*1024*C44</f>
        <v/>
      </c>
      <c r="D49">
        <f>B49/C49</f>
        <v/>
      </c>
      <c r="E49" t="n">
        <v>0.01</v>
      </c>
      <c r="F49">
        <f>A49*1024/(C49*0.000001)/1000000000*C45</f>
        <v/>
      </c>
      <c r="G49">
        <f>E49/F49</f>
        <v/>
      </c>
    </row>
    <row r="50">
      <c r="A50" t="n">
        <v>2</v>
      </c>
      <c r="B50" t="n">
        <v>188.11</v>
      </c>
      <c r="C50">
        <f>C46+A50*1024*C44</f>
        <v/>
      </c>
      <c r="D50">
        <f>B50/C50</f>
        <v/>
      </c>
      <c r="E50" t="n">
        <v>0.02</v>
      </c>
      <c r="F50">
        <f>A50*1024/(C50*0.000001)/1000000000*C45</f>
        <v/>
      </c>
      <c r="G50">
        <f>E50/F50</f>
        <v/>
      </c>
    </row>
    <row r="51">
      <c r="A51" t="n">
        <v>4</v>
      </c>
      <c r="B51" t="n">
        <v>192.88</v>
      </c>
      <c r="C51">
        <f>C46+A51*1024*C44</f>
        <v/>
      </c>
      <c r="D51">
        <f>B51/C51</f>
        <v/>
      </c>
      <c r="E51" t="n">
        <v>0.04</v>
      </c>
      <c r="F51">
        <f>A51*1024/(C51*0.000001)/1000000000*C45</f>
        <v/>
      </c>
      <c r="G51">
        <f>E51/F51</f>
        <v/>
      </c>
    </row>
    <row r="52">
      <c r="A52" t="n">
        <v>8</v>
      </c>
      <c r="B52" t="n">
        <v>208.38</v>
      </c>
      <c r="C52">
        <f>C46+A52*1024*C44</f>
        <v/>
      </c>
      <c r="D52">
        <f>B52/C52</f>
        <v/>
      </c>
      <c r="E52" t="n">
        <v>0.07000000000000001</v>
      </c>
      <c r="F52">
        <f>A52*1024/(C52*0.000001)/1000000000*C45</f>
        <v/>
      </c>
      <c r="G52">
        <f>E52/F52</f>
        <v/>
      </c>
    </row>
    <row r="53">
      <c r="A53" t="n">
        <v>16</v>
      </c>
      <c r="B53" t="n">
        <v>246.26</v>
      </c>
      <c r="C53">
        <f>C46+A53*1024*C44</f>
        <v/>
      </c>
      <c r="D53">
        <f>B53/C53</f>
        <v/>
      </c>
      <c r="E53" t="n">
        <v>0.12</v>
      </c>
      <c r="F53">
        <f>A53*1024/(C53*0.000001)/1000000000*C45</f>
        <v/>
      </c>
      <c r="G53">
        <f>E53/F53</f>
        <v/>
      </c>
    </row>
    <row r="54">
      <c r="A54" t="n">
        <v>32</v>
      </c>
      <c r="B54" t="n">
        <v>274.3</v>
      </c>
      <c r="C54">
        <f>C46+A54*1024*C44</f>
        <v/>
      </c>
      <c r="D54">
        <f>B54/C54</f>
        <v/>
      </c>
      <c r="E54" t="n">
        <v>0.22</v>
      </c>
      <c r="F54">
        <f>A54*1024/(C54*0.000001)/1000000000*C45</f>
        <v/>
      </c>
      <c r="G54">
        <f>E54/F54</f>
        <v/>
      </c>
    </row>
    <row r="55">
      <c r="A55" t="n">
        <v>64</v>
      </c>
      <c r="B55" t="n">
        <v>285.38</v>
      </c>
      <c r="C55">
        <f>C46+A55*1024*C44</f>
        <v/>
      </c>
      <c r="D55">
        <f>B55/C55</f>
        <v/>
      </c>
      <c r="E55" t="n">
        <v>0.43</v>
      </c>
      <c r="F55">
        <f>A55*1024/(C55*0.000001)/1000000000*C45</f>
        <v/>
      </c>
      <c r="G55">
        <f>E55/F55</f>
        <v/>
      </c>
    </row>
    <row r="56">
      <c r="A56" t="n">
        <v>128</v>
      </c>
      <c r="B56" t="n">
        <v>317.29</v>
      </c>
      <c r="C56">
        <f>C46+A56*1024*C44</f>
        <v/>
      </c>
      <c r="D56">
        <f>B56/C56</f>
        <v/>
      </c>
      <c r="E56" t="n">
        <v>0.77</v>
      </c>
      <c r="F56">
        <f>A56*1024/(C56*0.000001)/1000000000*C45</f>
        <v/>
      </c>
      <c r="G56">
        <f>E56/F56</f>
        <v/>
      </c>
    </row>
    <row r="57">
      <c r="A57" t="n">
        <v>256</v>
      </c>
      <c r="B57" t="n">
        <v>385.61</v>
      </c>
      <c r="C57">
        <f>C46+A57*1024*C44</f>
        <v/>
      </c>
      <c r="D57">
        <f>B57/C57</f>
        <v/>
      </c>
      <c r="E57" t="n">
        <v>1.27</v>
      </c>
      <c r="F57">
        <f>A57*1024/(C57*0.000001)/1000000000*C45</f>
        <v/>
      </c>
      <c r="G57">
        <f>E57/F57</f>
        <v/>
      </c>
    </row>
    <row r="58">
      <c r="A58" t="n">
        <v>512</v>
      </c>
      <c r="B58" t="n">
        <v>479.38</v>
      </c>
      <c r="C58">
        <f>C46+A58*1024*C44</f>
        <v/>
      </c>
      <c r="D58">
        <f>B58/C58</f>
        <v/>
      </c>
      <c r="E58" t="n">
        <v>2.05</v>
      </c>
      <c r="F58">
        <f>A58*1024/(C58*0.000001)/1000000000*C45</f>
        <v/>
      </c>
      <c r="G58">
        <f>E58/F58</f>
        <v/>
      </c>
    </row>
    <row r="59">
      <c r="A59" t="n">
        <v>1024</v>
      </c>
      <c r="B59" t="n">
        <v>686.53</v>
      </c>
      <c r="C59">
        <f>C46+A59*1024*C44</f>
        <v/>
      </c>
      <c r="D59">
        <f>B59/C59</f>
        <v/>
      </c>
      <c r="E59" t="n">
        <v>2.86</v>
      </c>
      <c r="F59">
        <f>A59*1024/(C59*0.000001)/1000000000*C45</f>
        <v/>
      </c>
      <c r="G59">
        <f>E59/F59</f>
        <v/>
      </c>
    </row>
    <row r="60">
      <c r="A60" t="n">
        <v>2048</v>
      </c>
      <c r="B60" t="n">
        <v>1092.2</v>
      </c>
      <c r="C60">
        <f>C46+A60*1024*C44</f>
        <v/>
      </c>
      <c r="D60">
        <f>B60/C60</f>
        <v/>
      </c>
      <c r="E60" t="n">
        <v>3.6</v>
      </c>
      <c r="F60">
        <f>A60*1024/(C60*0.000001)/1000000000*C45</f>
        <v/>
      </c>
      <c r="G60">
        <f>E60/F60</f>
        <v/>
      </c>
    </row>
    <row r="61">
      <c r="A61" t="n">
        <v>4096</v>
      </c>
      <c r="B61" t="n">
        <v>1232.58</v>
      </c>
      <c r="C61">
        <f>C46+A61*1024*C44</f>
        <v/>
      </c>
      <c r="D61">
        <f>B61/C61</f>
        <v/>
      </c>
      <c r="E61" t="n">
        <v>6.38</v>
      </c>
      <c r="F61">
        <f>A61*1024/(C61*0.000001)/1000000000*C45</f>
        <v/>
      </c>
      <c r="G61">
        <f>E61/F61</f>
        <v/>
      </c>
    </row>
    <row r="62">
      <c r="A62" t="n">
        <v>8192</v>
      </c>
      <c r="B62" t="n">
        <v>1554.25</v>
      </c>
      <c r="C62">
        <f>C46+A62*1024*C44</f>
        <v/>
      </c>
      <c r="D62">
        <f>B62/C62</f>
        <v/>
      </c>
      <c r="E62" t="n">
        <v>10.12</v>
      </c>
      <c r="F62">
        <f>A62*1024/(C62*0.000001)/1000000000*C45</f>
        <v/>
      </c>
      <c r="G62">
        <f>E62/F62</f>
        <v/>
      </c>
    </row>
    <row r="63">
      <c r="A63" t="n">
        <v>16384</v>
      </c>
      <c r="B63" t="n">
        <v>2202.77</v>
      </c>
      <c r="C63">
        <f>C46+A63*1024*C44</f>
        <v/>
      </c>
      <c r="D63">
        <f>B63/C63</f>
        <v/>
      </c>
      <c r="E63" t="n">
        <v>14.28</v>
      </c>
      <c r="F63">
        <f>A63*1024/(C63*0.000001)/1000000000*C45</f>
        <v/>
      </c>
      <c r="G63">
        <f>E63/F63</f>
        <v/>
      </c>
    </row>
    <row r="64">
      <c r="A64" t="n">
        <v>32768</v>
      </c>
      <c r="B64" t="n">
        <v>3444.72</v>
      </c>
      <c r="C64">
        <f>C46+A64*1024*C44</f>
        <v/>
      </c>
      <c r="D64">
        <f>B64/C64</f>
        <v/>
      </c>
      <c r="E64" t="n">
        <v>18.26</v>
      </c>
      <c r="F64">
        <f>A64*1024/(C64*0.000001)/1000000000*C45</f>
        <v/>
      </c>
      <c r="G64">
        <f>E64/F64</f>
        <v/>
      </c>
    </row>
    <row r="65">
      <c r="A65" t="n">
        <v>65536</v>
      </c>
      <c r="B65" t="n">
        <v>5971.94</v>
      </c>
      <c r="C65">
        <f>C46+A65*1024*C44</f>
        <v/>
      </c>
      <c r="D65">
        <f>B65/C65</f>
        <v/>
      </c>
      <c r="E65" t="n">
        <v>21.07</v>
      </c>
      <c r="F65">
        <f>A65*1024/(C65*0.000001)/1000000000*C45</f>
        <v/>
      </c>
      <c r="G65">
        <f>E65/F65</f>
        <v/>
      </c>
    </row>
    <row r="66">
      <c r="A66" t="n">
        <v>131072</v>
      </c>
      <c r="B66" t="n">
        <v>10874</v>
      </c>
      <c r="C66">
        <f>C46+A66*1024*C44</f>
        <v/>
      </c>
      <c r="D66">
        <f>B66/C66</f>
        <v/>
      </c>
      <c r="E66" t="n">
        <v>23.14</v>
      </c>
      <c r="F66">
        <f>A66*1024/(C66*0.000001)/1000000000*C45</f>
        <v/>
      </c>
      <c r="G66">
        <f>E66/F66</f>
        <v/>
      </c>
    </row>
    <row r="67">
      <c r="A67" t="n">
        <v>262144</v>
      </c>
      <c r="B67" t="n">
        <v>21031.4</v>
      </c>
      <c r="C67">
        <f>C46+A67*1024*C44</f>
        <v/>
      </c>
      <c r="D67">
        <f>B67/C67</f>
        <v/>
      </c>
      <c r="E67" t="n">
        <v>23.93</v>
      </c>
      <c r="F67">
        <f>A67*1024/(C67*0.000001)/1000000000*C45</f>
        <v/>
      </c>
      <c r="G67">
        <f>E67/F67</f>
        <v/>
      </c>
    </row>
    <row r="68">
      <c r="A68" t="n">
        <v>524288</v>
      </c>
      <c r="B68" t="n">
        <v>40800.6</v>
      </c>
      <c r="C68">
        <f>C46+A68*1024*C44</f>
        <v/>
      </c>
      <c r="D68">
        <f>B68/C68</f>
        <v/>
      </c>
      <c r="E68" t="n">
        <v>24.67</v>
      </c>
      <c r="F68">
        <f>A68*1024/(C68*0.000001)/1000000000*C45</f>
        <v/>
      </c>
      <c r="G68">
        <f>E68/F68</f>
        <v/>
      </c>
    </row>
    <row r="69">
      <c r="A69" t="n">
        <v>1048576</v>
      </c>
      <c r="B69" t="n">
        <v>75851.60000000001</v>
      </c>
      <c r="C69">
        <f>C46+A69*1024*C44</f>
        <v/>
      </c>
      <c r="D69">
        <f>B69/C69</f>
        <v/>
      </c>
      <c r="E69" t="n">
        <v>26.54</v>
      </c>
      <c r="F69">
        <f>A69*1024/(C69*0.000001)/1000000000*C45</f>
        <v/>
      </c>
      <c r="G69">
        <f>E69/F69</f>
        <v/>
      </c>
    </row>
    <row r="70">
      <c r="A70" t="n">
        <v>2097152</v>
      </c>
      <c r="B70" t="n">
        <v>149359</v>
      </c>
      <c r="C70">
        <f>C46+A70*1024*C44</f>
        <v/>
      </c>
      <c r="D70">
        <f>B70/C70</f>
        <v/>
      </c>
      <c r="E70" t="n">
        <v>26.96</v>
      </c>
      <c r="F70">
        <f>A70*1024/(C70*0.000001)/1000000000*C45</f>
        <v/>
      </c>
      <c r="G70">
        <f>E70/F70</f>
        <v/>
      </c>
    </row>
    <row r="71">
      <c r="A71" t="n">
        <v>4194304</v>
      </c>
      <c r="B71" t="n">
        <v>297419</v>
      </c>
      <c r="C71">
        <f>C46+A71*1024*C44</f>
        <v/>
      </c>
      <c r="D71">
        <f>B71/C71</f>
        <v/>
      </c>
      <c r="E71" t="n">
        <v>27.08</v>
      </c>
      <c r="F71">
        <f>A71*1024/(C71*0.000001)/1000000000*C45</f>
        <v/>
      </c>
      <c r="G71">
        <f>E71/F71</f>
        <v/>
      </c>
    </row>
    <row r="72"/>
    <row r="73">
      <c r="A73" t="inlineStr">
        <is>
          <t>Nodes: 16, Protocol: Simple, Channels: 4</t>
        </is>
      </c>
    </row>
    <row r="74">
      <c r="A74" t="inlineStr">
        <is>
          <t>Parameter</t>
        </is>
      </c>
      <c r="B74" t="inlineStr">
        <is>
          <t>Formula</t>
        </is>
      </c>
      <c r="C74" t="inlineStr">
        <is>
          <t>Value</t>
        </is>
      </c>
    </row>
    <row r="75">
      <c r="A75" t="inlineStr">
        <is>
          <t>n</t>
        </is>
      </c>
      <c r="B75" t="inlineStr">
        <is>
          <t>nodes on tree</t>
        </is>
      </c>
      <c r="C75" t="n">
        <v>16</v>
      </c>
    </row>
    <row r="76">
      <c r="A76" t="inlineStr">
        <is>
          <t>nch</t>
        </is>
      </c>
      <c r="B76" t="inlineStr">
        <is>
          <t>channels</t>
        </is>
      </c>
      <c r="C76" t="n">
        <v>4</v>
      </c>
    </row>
    <row r="77">
      <c r="A77" t="inlineStr">
        <is>
          <t>a</t>
        </is>
      </c>
      <c r="B77" t="inlineStr">
        <is>
          <t>RTT (us)</t>
        </is>
      </c>
      <c r="C77" t="n">
        <v>25.8107</v>
      </c>
    </row>
    <row r="78">
      <c r="A78" t="inlineStr">
        <is>
          <t>NIC_BW</t>
        </is>
      </c>
      <c r="B78" t="inlineStr">
        <is>
          <t>bytes/us</t>
        </is>
      </c>
      <c r="C78" t="n">
        <v>48750</v>
      </c>
    </row>
    <row r="79">
      <c r="A79" t="inlineStr">
        <is>
          <t>NIC_BW_REAL</t>
        </is>
      </c>
      <c r="B79" t="inlineStr">
        <is>
          <t>NIC_BW/2</t>
        </is>
      </c>
      <c r="C79">
        <f>C78/2</f>
        <v/>
      </c>
    </row>
    <row r="80">
      <c r="A80" t="inlineStr">
        <is>
          <t>G</t>
        </is>
      </c>
      <c r="B80" t="inlineStr">
        <is>
          <t>1/NIC_BW_REAL</t>
        </is>
      </c>
      <c r="C80">
        <f>1/C79</f>
        <v/>
      </c>
    </row>
    <row r="81">
      <c r="A81" t="inlineStr">
        <is>
          <t>busbw_factor</t>
        </is>
      </c>
      <c r="B81" t="inlineStr">
        <is>
          <t>2*(n-1)/n</t>
        </is>
      </c>
      <c r="C81">
        <f>2*(C75-1)/C75</f>
        <v/>
      </c>
    </row>
    <row r="82">
      <c r="A82" t="inlineStr">
        <is>
          <t>fixed_overhead</t>
        </is>
      </c>
      <c r="B82" t="inlineStr">
        <is>
          <t>(2*LOG2(n)+1)*a/2</t>
        </is>
      </c>
      <c r="C82">
        <f>(2*LOG(C75,2)+1)*C77/2</f>
        <v/>
      </c>
    </row>
    <row r="83"/>
    <row r="84">
      <c r="A84" t="inlineStr">
        <is>
          <t>size_KB</t>
        </is>
      </c>
      <c r="B84" t="inlineStr">
        <is>
          <t>Actual Time (us)</t>
        </is>
      </c>
      <c r="C84" t="inlineStr">
        <is>
          <t>Roofline Time (us)</t>
        </is>
      </c>
      <c r="D84" t="inlineStr">
        <is>
          <t>Actual/Roofline</t>
        </is>
      </c>
      <c r="E84" t="inlineStr">
        <is>
          <t>Actual busBW (GB/s)</t>
        </is>
      </c>
      <c r="F84" t="inlineStr">
        <is>
          <t>Roofline busBW (GB/s)</t>
        </is>
      </c>
      <c r="G84" t="inlineStr">
        <is>
          <t>Meas/Roof busBW</t>
        </is>
      </c>
    </row>
    <row r="85">
      <c r="A85" t="n">
        <v>1</v>
      </c>
      <c r="B85" t="n">
        <v>188.04</v>
      </c>
      <c r="C85">
        <f>C82+A85*1024*C80</f>
        <v/>
      </c>
      <c r="D85">
        <f>B85/C85</f>
        <v/>
      </c>
      <c r="E85" t="n">
        <v>0.01</v>
      </c>
      <c r="F85">
        <f>A85*1024/(C85*0.000001)/1000000000*C81</f>
        <v/>
      </c>
      <c r="G85">
        <f>E85/F85</f>
        <v/>
      </c>
    </row>
    <row r="86">
      <c r="A86" t="n">
        <v>2</v>
      </c>
      <c r="B86" t="n">
        <v>187.54</v>
      </c>
      <c r="C86">
        <f>C82+A86*1024*C80</f>
        <v/>
      </c>
      <c r="D86">
        <f>B86/C86</f>
        <v/>
      </c>
      <c r="E86" t="n">
        <v>0.02</v>
      </c>
      <c r="F86">
        <f>A86*1024/(C86*0.000001)/1000000000*C81</f>
        <v/>
      </c>
      <c r="G86">
        <f>E86/F86</f>
        <v/>
      </c>
    </row>
    <row r="87">
      <c r="A87" t="n">
        <v>4</v>
      </c>
      <c r="B87" t="n">
        <v>193.53</v>
      </c>
      <c r="C87">
        <f>C82+A87*1024*C80</f>
        <v/>
      </c>
      <c r="D87">
        <f>B87/C87</f>
        <v/>
      </c>
      <c r="E87" t="n">
        <v>0.04</v>
      </c>
      <c r="F87">
        <f>A87*1024/(C87*0.000001)/1000000000*C81</f>
        <v/>
      </c>
      <c r="G87">
        <f>E87/F87</f>
        <v/>
      </c>
    </row>
    <row r="88">
      <c r="A88" t="n">
        <v>8</v>
      </c>
      <c r="B88" t="n">
        <v>208.76</v>
      </c>
      <c r="C88">
        <f>C82+A88*1024*C80</f>
        <v/>
      </c>
      <c r="D88">
        <f>B88/C88</f>
        <v/>
      </c>
      <c r="E88" t="n">
        <v>0.07000000000000001</v>
      </c>
      <c r="F88">
        <f>A88*1024/(C88*0.000001)/1000000000*C81</f>
        <v/>
      </c>
      <c r="G88">
        <f>E88/F88</f>
        <v/>
      </c>
    </row>
    <row r="89">
      <c r="A89" t="n">
        <v>16</v>
      </c>
      <c r="B89" t="n">
        <v>246.23</v>
      </c>
      <c r="C89">
        <f>C82+A89*1024*C80</f>
        <v/>
      </c>
      <c r="D89">
        <f>B89/C89</f>
        <v/>
      </c>
      <c r="E89" t="n">
        <v>0.12</v>
      </c>
      <c r="F89">
        <f>A89*1024/(C89*0.000001)/1000000000*C81</f>
        <v/>
      </c>
      <c r="G89">
        <f>E89/F89</f>
        <v/>
      </c>
    </row>
    <row r="90">
      <c r="A90" t="n">
        <v>32</v>
      </c>
      <c r="B90" t="n">
        <v>273.83</v>
      </c>
      <c r="C90">
        <f>C82+A90*1024*C80</f>
        <v/>
      </c>
      <c r="D90">
        <f>B90/C90</f>
        <v/>
      </c>
      <c r="E90" t="n">
        <v>0.22</v>
      </c>
      <c r="F90">
        <f>A90*1024/(C90*0.000001)/1000000000*C81</f>
        <v/>
      </c>
      <c r="G90">
        <f>E90/F90</f>
        <v/>
      </c>
    </row>
    <row r="91">
      <c r="A91" t="n">
        <v>64</v>
      </c>
      <c r="B91" t="n">
        <v>284.11</v>
      </c>
      <c r="C91">
        <f>C82+A91*1024*C80</f>
        <v/>
      </c>
      <c r="D91">
        <f>B91/C91</f>
        <v/>
      </c>
      <c r="E91" t="n">
        <v>0.43</v>
      </c>
      <c r="F91">
        <f>A91*1024/(C91*0.000001)/1000000000*C81</f>
        <v/>
      </c>
      <c r="G91">
        <f>E91/F91</f>
        <v/>
      </c>
    </row>
    <row r="92">
      <c r="A92" t="n">
        <v>128</v>
      </c>
      <c r="B92" t="n">
        <v>291.22</v>
      </c>
      <c r="C92">
        <f>C82+A92*1024*C80</f>
        <v/>
      </c>
      <c r="D92">
        <f>B92/C92</f>
        <v/>
      </c>
      <c r="E92" t="n">
        <v>0.84</v>
      </c>
      <c r="F92">
        <f>A92*1024/(C92*0.000001)/1000000000*C81</f>
        <v/>
      </c>
      <c r="G92">
        <f>E92/F92</f>
        <v/>
      </c>
    </row>
    <row r="93">
      <c r="A93" t="n">
        <v>256</v>
      </c>
      <c r="B93" t="n">
        <v>326.77</v>
      </c>
      <c r="C93">
        <f>C82+A93*1024*C80</f>
        <v/>
      </c>
      <c r="D93">
        <f>B93/C93</f>
        <v/>
      </c>
      <c r="E93" t="n">
        <v>1.5</v>
      </c>
      <c r="F93">
        <f>A93*1024/(C93*0.000001)/1000000000*C81</f>
        <v/>
      </c>
      <c r="G93">
        <f>E93/F93</f>
        <v/>
      </c>
    </row>
    <row r="94">
      <c r="A94" t="n">
        <v>512</v>
      </c>
      <c r="B94" t="n">
        <v>396.48</v>
      </c>
      <c r="C94">
        <f>C82+A94*1024*C80</f>
        <v/>
      </c>
      <c r="D94">
        <f>B94/C94</f>
        <v/>
      </c>
      <c r="E94" t="n">
        <v>2.48</v>
      </c>
      <c r="F94">
        <f>A94*1024/(C94*0.000001)/1000000000*C81</f>
        <v/>
      </c>
      <c r="G94">
        <f>E94/F94</f>
        <v/>
      </c>
    </row>
    <row r="95">
      <c r="A95" t="n">
        <v>1024</v>
      </c>
      <c r="B95" t="n">
        <v>495.16</v>
      </c>
      <c r="C95">
        <f>C82+A95*1024*C80</f>
        <v/>
      </c>
      <c r="D95">
        <f>B95/C95</f>
        <v/>
      </c>
      <c r="E95" t="n">
        <v>3.97</v>
      </c>
      <c r="F95">
        <f>A95*1024/(C95*0.000001)/1000000000*C81</f>
        <v/>
      </c>
      <c r="G95">
        <f>E95/F95</f>
        <v/>
      </c>
    </row>
    <row r="96">
      <c r="A96" t="n">
        <v>2048</v>
      </c>
      <c r="B96" t="n">
        <v>703.17</v>
      </c>
      <c r="C96">
        <f>C82+A96*1024*C80</f>
        <v/>
      </c>
      <c r="D96">
        <f>B96/C96</f>
        <v/>
      </c>
      <c r="E96" t="n">
        <v>5.59</v>
      </c>
      <c r="F96">
        <f>A96*1024/(C96*0.000001)/1000000000*C81</f>
        <v/>
      </c>
      <c r="G96">
        <f>E96/F96</f>
        <v/>
      </c>
    </row>
    <row r="97">
      <c r="A97" t="n">
        <v>4096</v>
      </c>
      <c r="B97" t="n">
        <v>1114.33</v>
      </c>
      <c r="C97">
        <f>C82+A97*1024*C80</f>
        <v/>
      </c>
      <c r="D97">
        <f>B97/C97</f>
        <v/>
      </c>
      <c r="E97" t="n">
        <v>7.06</v>
      </c>
      <c r="F97">
        <f>A97*1024/(C97*0.000001)/1000000000*C81</f>
        <v/>
      </c>
      <c r="G97">
        <f>E97/F97</f>
        <v/>
      </c>
    </row>
    <row r="98">
      <c r="A98" t="n">
        <v>8192</v>
      </c>
      <c r="B98" t="n">
        <v>1260.68</v>
      </c>
      <c r="C98">
        <f>C82+A98*1024*C80</f>
        <v/>
      </c>
      <c r="D98">
        <f>B98/C98</f>
        <v/>
      </c>
      <c r="E98" t="n">
        <v>12.48</v>
      </c>
      <c r="F98">
        <f>A98*1024/(C98*0.000001)/1000000000*C81</f>
        <v/>
      </c>
      <c r="G98">
        <f>E98/F98</f>
        <v/>
      </c>
    </row>
    <row r="99">
      <c r="A99" t="n">
        <v>16384</v>
      </c>
      <c r="B99" t="n">
        <v>1614.8</v>
      </c>
      <c r="C99">
        <f>C82+A99*1024*C80</f>
        <v/>
      </c>
      <c r="D99">
        <f>B99/C99</f>
        <v/>
      </c>
      <c r="E99" t="n">
        <v>19.48</v>
      </c>
      <c r="F99">
        <f>A99*1024/(C99*0.000001)/1000000000*C81</f>
        <v/>
      </c>
      <c r="G99">
        <f>E99/F99</f>
        <v/>
      </c>
    </row>
    <row r="100">
      <c r="A100" t="n">
        <v>32768</v>
      </c>
      <c r="B100" t="n">
        <v>2330.78</v>
      </c>
      <c r="C100">
        <f>C82+A100*1024*C80</f>
        <v/>
      </c>
      <c r="D100">
        <f>B100/C100</f>
        <v/>
      </c>
      <c r="E100" t="n">
        <v>26.99</v>
      </c>
      <c r="F100">
        <f>A100*1024/(C100*0.000001)/1000000000*C81</f>
        <v/>
      </c>
      <c r="G100">
        <f>E100/F100</f>
        <v/>
      </c>
    </row>
    <row r="101">
      <c r="A101" t="n">
        <v>65536</v>
      </c>
      <c r="B101" t="n">
        <v>3984.6</v>
      </c>
      <c r="C101">
        <f>C82+A101*1024*C80</f>
        <v/>
      </c>
      <c r="D101">
        <f>B101/C101</f>
        <v/>
      </c>
      <c r="E101" t="n">
        <v>31.58</v>
      </c>
      <c r="F101">
        <f>A101*1024/(C101*0.000001)/1000000000*C81</f>
        <v/>
      </c>
      <c r="G101">
        <f>E101/F101</f>
        <v/>
      </c>
    </row>
    <row r="102">
      <c r="A102" t="n">
        <v>131072</v>
      </c>
      <c r="B102" t="n">
        <v>6959.5</v>
      </c>
      <c r="C102">
        <f>C82+A102*1024*C80</f>
        <v/>
      </c>
      <c r="D102">
        <f>B102/C102</f>
        <v/>
      </c>
      <c r="E102" t="n">
        <v>36.16</v>
      </c>
      <c r="F102">
        <f>A102*1024/(C102*0.000001)/1000000000*C81</f>
        <v/>
      </c>
      <c r="G102">
        <f>E102/F102</f>
        <v/>
      </c>
    </row>
    <row r="103">
      <c r="A103" t="n">
        <v>262144</v>
      </c>
      <c r="B103" t="n">
        <v>13101.2</v>
      </c>
      <c r="C103">
        <f>C82+A103*1024*C80</f>
        <v/>
      </c>
      <c r="D103">
        <f>B103/C103</f>
        <v/>
      </c>
      <c r="E103" t="n">
        <v>38.42</v>
      </c>
      <c r="F103">
        <f>A103*1024/(C103*0.000001)/1000000000*C81</f>
        <v/>
      </c>
      <c r="G103">
        <f>E103/F103</f>
        <v/>
      </c>
    </row>
    <row r="104">
      <c r="A104" t="n">
        <v>524288</v>
      </c>
      <c r="B104" t="n">
        <v>25170.7</v>
      </c>
      <c r="C104">
        <f>C82+A104*1024*C80</f>
        <v/>
      </c>
      <c r="D104">
        <f>B104/C104</f>
        <v/>
      </c>
      <c r="E104" t="n">
        <v>39.99</v>
      </c>
      <c r="F104">
        <f>A104*1024/(C104*0.000001)/1000000000*C81</f>
        <v/>
      </c>
      <c r="G104">
        <f>E104/F104</f>
        <v/>
      </c>
    </row>
    <row r="105">
      <c r="A105" t="n">
        <v>1048576</v>
      </c>
      <c r="B105" t="n">
        <v>49482.3</v>
      </c>
      <c r="C105">
        <f>C82+A105*1024*C80</f>
        <v/>
      </c>
      <c r="D105">
        <f>B105/C105</f>
        <v/>
      </c>
      <c r="E105" t="n">
        <v>40.69</v>
      </c>
      <c r="F105">
        <f>A105*1024/(C105*0.000001)/1000000000*C81</f>
        <v/>
      </c>
      <c r="G105">
        <f>E105/F105</f>
        <v/>
      </c>
    </row>
    <row r="106">
      <c r="A106" t="n">
        <v>2097152</v>
      </c>
      <c r="B106" t="n">
        <v>99390.8</v>
      </c>
      <c r="C106">
        <f>C82+A106*1024*C80</f>
        <v/>
      </c>
      <c r="D106">
        <f>B106/C106</f>
        <v/>
      </c>
      <c r="E106" t="n">
        <v>40.51</v>
      </c>
      <c r="F106">
        <f>A106*1024/(C106*0.000001)/1000000000*C81</f>
        <v/>
      </c>
      <c r="G106">
        <f>E106/F106</f>
        <v/>
      </c>
    </row>
    <row r="107">
      <c r="A107" t="n">
        <v>4194304</v>
      </c>
      <c r="B107" t="n">
        <v>200215</v>
      </c>
      <c r="C107">
        <f>C82+A107*1024*C80</f>
        <v/>
      </c>
      <c r="D107">
        <f>B107/C107</f>
        <v/>
      </c>
      <c r="E107" t="n">
        <v>40.22</v>
      </c>
      <c r="F107">
        <f>A107*1024/(C107*0.000001)/1000000000*C81</f>
        <v/>
      </c>
      <c r="G107">
        <f>E107/F107</f>
        <v/>
      </c>
    </row>
    <row r="108"/>
    <row r="109">
      <c r="A109" t="inlineStr">
        <is>
          <t>Nodes: 16, Protocol: Simple, Channels: 8</t>
        </is>
      </c>
    </row>
    <row r="110">
      <c r="A110" t="inlineStr">
        <is>
          <t>Parameter</t>
        </is>
      </c>
      <c r="B110" t="inlineStr">
        <is>
          <t>Formula</t>
        </is>
      </c>
      <c r="C110" t="inlineStr">
        <is>
          <t>Value</t>
        </is>
      </c>
    </row>
    <row r="111">
      <c r="A111" t="inlineStr">
        <is>
          <t>n</t>
        </is>
      </c>
      <c r="B111" t="inlineStr">
        <is>
          <t>nodes on tree</t>
        </is>
      </c>
      <c r="C111" t="n">
        <v>16</v>
      </c>
    </row>
    <row r="112">
      <c r="A112" t="inlineStr">
        <is>
          <t>nch</t>
        </is>
      </c>
      <c r="B112" t="inlineStr">
        <is>
          <t>channels</t>
        </is>
      </c>
      <c r="C112" t="n">
        <v>8</v>
      </c>
    </row>
    <row r="113">
      <c r="A113" t="inlineStr">
        <is>
          <t>a</t>
        </is>
      </c>
      <c r="B113" t="inlineStr">
        <is>
          <t>RTT (us)</t>
        </is>
      </c>
      <c r="C113" t="n">
        <v>25.8107</v>
      </c>
    </row>
    <row r="114">
      <c r="A114" t="inlineStr">
        <is>
          <t>NIC_BW</t>
        </is>
      </c>
      <c r="B114" t="inlineStr">
        <is>
          <t>bytes/us</t>
        </is>
      </c>
      <c r="C114" t="n">
        <v>48750</v>
      </c>
    </row>
    <row r="115">
      <c r="A115" t="inlineStr">
        <is>
          <t>NIC_BW_REAL</t>
        </is>
      </c>
      <c r="B115" t="inlineStr">
        <is>
          <t>NIC_BW/2</t>
        </is>
      </c>
      <c r="C115">
        <f>C114/2</f>
        <v/>
      </c>
    </row>
    <row r="116">
      <c r="A116" t="inlineStr">
        <is>
          <t>G</t>
        </is>
      </c>
      <c r="B116" t="inlineStr">
        <is>
          <t>1/NIC_BW_REAL</t>
        </is>
      </c>
      <c r="C116">
        <f>1/C115</f>
        <v/>
      </c>
    </row>
    <row r="117">
      <c r="A117" t="inlineStr">
        <is>
          <t>busbw_factor</t>
        </is>
      </c>
      <c r="B117" t="inlineStr">
        <is>
          <t>2*(n-1)/n</t>
        </is>
      </c>
      <c r="C117">
        <f>2*(C111-1)/C111</f>
        <v/>
      </c>
    </row>
    <row r="118">
      <c r="A118" t="inlineStr">
        <is>
          <t>fixed_overhead</t>
        </is>
      </c>
      <c r="B118" t="inlineStr">
        <is>
          <t>(2*LOG2(n)+1)*a/2</t>
        </is>
      </c>
      <c r="C118">
        <f>(2*LOG(C111,2)+1)*C113/2</f>
        <v/>
      </c>
    </row>
    <row r="119"/>
    <row r="120">
      <c r="A120" t="inlineStr">
        <is>
          <t>size_KB</t>
        </is>
      </c>
      <c r="B120" t="inlineStr">
        <is>
          <t>Actual Time (us)</t>
        </is>
      </c>
      <c r="C120" t="inlineStr">
        <is>
          <t>Roofline Time (us)</t>
        </is>
      </c>
      <c r="D120" t="inlineStr">
        <is>
          <t>Actual/Roofline</t>
        </is>
      </c>
      <c r="E120" t="inlineStr">
        <is>
          <t>Actual busBW (GB/s)</t>
        </is>
      </c>
      <c r="F120" t="inlineStr">
        <is>
          <t>Roofline busBW (GB/s)</t>
        </is>
      </c>
      <c r="G120" t="inlineStr">
        <is>
          <t>Meas/Roof busBW</t>
        </is>
      </c>
    </row>
    <row r="121">
      <c r="A121" t="n">
        <v>1</v>
      </c>
      <c r="B121" t="n">
        <v>188.01</v>
      </c>
      <c r="C121">
        <f>C118+A121*1024*C116</f>
        <v/>
      </c>
      <c r="D121">
        <f>B121/C121</f>
        <v/>
      </c>
      <c r="E121" t="n">
        <v>0.01</v>
      </c>
      <c r="F121">
        <f>A121*1024/(C121*0.000001)/1000000000*C117</f>
        <v/>
      </c>
      <c r="G121">
        <f>E121/F121</f>
        <v/>
      </c>
    </row>
    <row r="122">
      <c r="A122" t="n">
        <v>2</v>
      </c>
      <c r="B122" t="n">
        <v>187.94</v>
      </c>
      <c r="C122">
        <f>C118+A122*1024*C116</f>
        <v/>
      </c>
      <c r="D122">
        <f>B122/C122</f>
        <v/>
      </c>
      <c r="E122" t="n">
        <v>0.02</v>
      </c>
      <c r="F122">
        <f>A122*1024/(C122*0.000001)/1000000000*C117</f>
        <v/>
      </c>
      <c r="G122">
        <f>E122/F122</f>
        <v/>
      </c>
    </row>
    <row r="123">
      <c r="A123" t="n">
        <v>4</v>
      </c>
      <c r="B123" t="n">
        <v>193.49</v>
      </c>
      <c r="C123">
        <f>C118+A123*1024*C116</f>
        <v/>
      </c>
      <c r="D123">
        <f>B123/C123</f>
        <v/>
      </c>
      <c r="E123" t="n">
        <v>0.04</v>
      </c>
      <c r="F123">
        <f>A123*1024/(C123*0.000001)/1000000000*C117</f>
        <v/>
      </c>
      <c r="G123">
        <f>E123/F123</f>
        <v/>
      </c>
    </row>
    <row r="124">
      <c r="A124" t="n">
        <v>8</v>
      </c>
      <c r="B124" t="n">
        <v>208.77</v>
      </c>
      <c r="C124">
        <f>C118+A124*1024*C116</f>
        <v/>
      </c>
      <c r="D124">
        <f>B124/C124</f>
        <v/>
      </c>
      <c r="E124" t="n">
        <v>0.07000000000000001</v>
      </c>
      <c r="F124">
        <f>A124*1024/(C124*0.000001)/1000000000*C117</f>
        <v/>
      </c>
      <c r="G124">
        <f>E124/F124</f>
        <v/>
      </c>
    </row>
    <row r="125">
      <c r="A125" t="n">
        <v>16</v>
      </c>
      <c r="B125" t="n">
        <v>249.02</v>
      </c>
      <c r="C125">
        <f>C118+A125*1024*C116</f>
        <v/>
      </c>
      <c r="D125">
        <f>B125/C125</f>
        <v/>
      </c>
      <c r="E125" t="n">
        <v>0.12</v>
      </c>
      <c r="F125">
        <f>A125*1024/(C125*0.000001)/1000000000*C117</f>
        <v/>
      </c>
      <c r="G125">
        <f>E125/F125</f>
        <v/>
      </c>
    </row>
    <row r="126">
      <c r="A126" t="n">
        <v>32</v>
      </c>
      <c r="B126" t="n">
        <v>278.44</v>
      </c>
      <c r="C126">
        <f>C118+A126*1024*C116</f>
        <v/>
      </c>
      <c r="D126">
        <f>B126/C126</f>
        <v/>
      </c>
      <c r="E126" t="n">
        <v>0.22</v>
      </c>
      <c r="F126">
        <f>A126*1024/(C126*0.000001)/1000000000*C117</f>
        <v/>
      </c>
      <c r="G126">
        <f>E126/F126</f>
        <v/>
      </c>
    </row>
    <row r="127">
      <c r="A127" t="n">
        <v>64</v>
      </c>
      <c r="B127" t="n">
        <v>284.85</v>
      </c>
      <c r="C127">
        <f>C118+A127*1024*C116</f>
        <v/>
      </c>
      <c r="D127">
        <f>B127/C127</f>
        <v/>
      </c>
      <c r="E127" t="n">
        <v>0.43</v>
      </c>
      <c r="F127">
        <f>A127*1024/(C127*0.000001)/1000000000*C117</f>
        <v/>
      </c>
      <c r="G127">
        <f>E127/F127</f>
        <v/>
      </c>
    </row>
    <row r="128">
      <c r="A128" t="n">
        <v>128</v>
      </c>
      <c r="B128" t="n">
        <v>291.15</v>
      </c>
      <c r="C128">
        <f>C118+A128*1024*C116</f>
        <v/>
      </c>
      <c r="D128">
        <f>B128/C128</f>
        <v/>
      </c>
      <c r="E128" t="n">
        <v>0.84</v>
      </c>
      <c r="F128">
        <f>A128*1024/(C128*0.000001)/1000000000*C117</f>
        <v/>
      </c>
      <c r="G128">
        <f>E128/F128</f>
        <v/>
      </c>
    </row>
    <row r="129">
      <c r="A129" t="n">
        <v>256</v>
      </c>
      <c r="B129" t="n">
        <v>319.21</v>
      </c>
      <c r="C129">
        <f>C118+A129*1024*C116</f>
        <v/>
      </c>
      <c r="D129">
        <f>B129/C129</f>
        <v/>
      </c>
      <c r="E129" t="n">
        <v>1.54</v>
      </c>
      <c r="F129">
        <f>A129*1024/(C129*0.000001)/1000000000*C117</f>
        <v/>
      </c>
      <c r="G129">
        <f>E129/F129</f>
        <v/>
      </c>
    </row>
    <row r="130">
      <c r="A130" t="n">
        <v>512</v>
      </c>
      <c r="B130" t="n">
        <v>362.54</v>
      </c>
      <c r="C130">
        <f>C118+A130*1024*C116</f>
        <v/>
      </c>
      <c r="D130">
        <f>B130/C130</f>
        <v/>
      </c>
      <c r="E130" t="n">
        <v>2.71</v>
      </c>
      <c r="F130">
        <f>A130*1024/(C130*0.000001)/1000000000*C117</f>
        <v/>
      </c>
      <c r="G130">
        <f>E130/F130</f>
        <v/>
      </c>
    </row>
    <row r="131">
      <c r="A131" t="n">
        <v>1024</v>
      </c>
      <c r="B131" t="n">
        <v>449.64</v>
      </c>
      <c r="C131">
        <f>C118+A131*1024*C116</f>
        <v/>
      </c>
      <c r="D131">
        <f>B131/C131</f>
        <v/>
      </c>
      <c r="E131" t="n">
        <v>4.37</v>
      </c>
      <c r="F131">
        <f>A131*1024/(C131*0.000001)/1000000000*C117</f>
        <v/>
      </c>
      <c r="G131">
        <f>E131/F131</f>
        <v/>
      </c>
    </row>
    <row r="132">
      <c r="A132" t="n">
        <v>2048</v>
      </c>
      <c r="B132" t="n">
        <v>575.75</v>
      </c>
      <c r="C132">
        <f>C118+A132*1024*C116</f>
        <v/>
      </c>
      <c r="D132">
        <f>B132/C132</f>
        <v/>
      </c>
      <c r="E132" t="n">
        <v>6.83</v>
      </c>
      <c r="F132">
        <f>A132*1024/(C132*0.000001)/1000000000*C117</f>
        <v/>
      </c>
      <c r="G132">
        <f>E132/F132</f>
        <v/>
      </c>
    </row>
    <row r="133">
      <c r="A133" t="n">
        <v>4096</v>
      </c>
      <c r="B133" t="n">
        <v>841.1799999999999</v>
      </c>
      <c r="C133">
        <f>C118+A133*1024*C116</f>
        <v/>
      </c>
      <c r="D133">
        <f>B133/C133</f>
        <v/>
      </c>
      <c r="E133" t="n">
        <v>9.35</v>
      </c>
      <c r="F133">
        <f>A133*1024/(C133*0.000001)/1000000000*C117</f>
        <v/>
      </c>
      <c r="G133">
        <f>E133/F133</f>
        <v/>
      </c>
    </row>
    <row r="134">
      <c r="A134" t="n">
        <v>8192</v>
      </c>
      <c r="B134" t="n">
        <v>1349.03</v>
      </c>
      <c r="C134">
        <f>C118+A134*1024*C116</f>
        <v/>
      </c>
      <c r="D134">
        <f>B134/C134</f>
        <v/>
      </c>
      <c r="E134" t="n">
        <v>11.66</v>
      </c>
      <c r="F134">
        <f>A134*1024/(C134*0.000001)/1000000000*C117</f>
        <v/>
      </c>
      <c r="G134">
        <f>E134/F134</f>
        <v/>
      </c>
    </row>
    <row r="135">
      <c r="A135" t="n">
        <v>16384</v>
      </c>
      <c r="B135" t="n">
        <v>1679.29</v>
      </c>
      <c r="C135">
        <f>C118+A135*1024*C116</f>
        <v/>
      </c>
      <c r="D135">
        <f>B135/C135</f>
        <v/>
      </c>
      <c r="E135" t="n">
        <v>18.73</v>
      </c>
      <c r="F135">
        <f>A135*1024/(C135*0.000001)/1000000000*C117</f>
        <v/>
      </c>
      <c r="G135">
        <f>E135/F135</f>
        <v/>
      </c>
    </row>
    <row r="136">
      <c r="A136" t="n">
        <v>32768</v>
      </c>
      <c r="B136" t="n">
        <v>2382.77</v>
      </c>
      <c r="C136">
        <f>C118+A136*1024*C116</f>
        <v/>
      </c>
      <c r="D136">
        <f>B136/C136</f>
        <v/>
      </c>
      <c r="E136" t="n">
        <v>26.4</v>
      </c>
      <c r="F136">
        <f>A136*1024/(C136*0.000001)/1000000000*C117</f>
        <v/>
      </c>
      <c r="G136">
        <f>E136/F136</f>
        <v/>
      </c>
    </row>
    <row r="137">
      <c r="A137" t="n">
        <v>65536</v>
      </c>
      <c r="B137" t="n">
        <v>4024.04</v>
      </c>
      <c r="C137">
        <f>C118+A137*1024*C116</f>
        <v/>
      </c>
      <c r="D137">
        <f>B137/C137</f>
        <v/>
      </c>
      <c r="E137" t="n">
        <v>31.27</v>
      </c>
      <c r="F137">
        <f>A137*1024/(C137*0.000001)/1000000000*C117</f>
        <v/>
      </c>
      <c r="G137">
        <f>E137/F137</f>
        <v/>
      </c>
    </row>
    <row r="138">
      <c r="A138" t="n">
        <v>131072</v>
      </c>
      <c r="B138" t="n">
        <v>7002.27</v>
      </c>
      <c r="C138">
        <f>C118+A138*1024*C116</f>
        <v/>
      </c>
      <c r="D138">
        <f>B138/C138</f>
        <v/>
      </c>
      <c r="E138" t="n">
        <v>35.94</v>
      </c>
      <c r="F138">
        <f>A138*1024/(C138*0.000001)/1000000000*C117</f>
        <v/>
      </c>
      <c r="G138">
        <f>E138/F138</f>
        <v/>
      </c>
    </row>
    <row r="139">
      <c r="A139" t="n">
        <v>262144</v>
      </c>
      <c r="B139" t="n">
        <v>13366.3</v>
      </c>
      <c r="C139">
        <f>C118+A139*1024*C116</f>
        <v/>
      </c>
      <c r="D139">
        <f>B139/C139</f>
        <v/>
      </c>
      <c r="E139" t="n">
        <v>37.66</v>
      </c>
      <c r="F139">
        <f>A139*1024/(C139*0.000001)/1000000000*C117</f>
        <v/>
      </c>
      <c r="G139">
        <f>E139/F139</f>
        <v/>
      </c>
    </row>
    <row r="140">
      <c r="A140" t="n">
        <v>524288</v>
      </c>
      <c r="B140" t="n">
        <v>25410.5</v>
      </c>
      <c r="C140">
        <f>C118+A140*1024*C116</f>
        <v/>
      </c>
      <c r="D140">
        <f>B140/C140</f>
        <v/>
      </c>
      <c r="E140" t="n">
        <v>39.61</v>
      </c>
      <c r="F140">
        <f>A140*1024/(C140*0.000001)/1000000000*C117</f>
        <v/>
      </c>
      <c r="G140">
        <f>E140/F140</f>
        <v/>
      </c>
    </row>
    <row r="141">
      <c r="A141" t="n">
        <v>1048576</v>
      </c>
      <c r="B141" t="n">
        <v>49371.2</v>
      </c>
      <c r="C141">
        <f>C118+A141*1024*C116</f>
        <v/>
      </c>
      <c r="D141">
        <f>B141/C141</f>
        <v/>
      </c>
      <c r="E141" t="n">
        <v>40.78</v>
      </c>
      <c r="F141">
        <f>A141*1024/(C141*0.000001)/1000000000*C117</f>
        <v/>
      </c>
      <c r="G141">
        <f>E141/F141</f>
        <v/>
      </c>
    </row>
    <row r="142">
      <c r="A142" t="n">
        <v>2097152</v>
      </c>
      <c r="B142" t="n">
        <v>98436</v>
      </c>
      <c r="C142">
        <f>C118+A142*1024*C116</f>
        <v/>
      </c>
      <c r="D142">
        <f>B142/C142</f>
        <v/>
      </c>
      <c r="E142" t="n">
        <v>40.91</v>
      </c>
      <c r="F142">
        <f>A142*1024/(C142*0.000001)/1000000000*C117</f>
        <v/>
      </c>
      <c r="G142">
        <f>E142/F142</f>
        <v/>
      </c>
    </row>
    <row r="143">
      <c r="A143" t="n">
        <v>4194304</v>
      </c>
      <c r="B143" t="n">
        <v>198448</v>
      </c>
      <c r="C143">
        <f>C118+A143*1024*C116</f>
        <v/>
      </c>
      <c r="D143">
        <f>B143/C143</f>
        <v/>
      </c>
      <c r="E143" t="n">
        <v>40.58</v>
      </c>
      <c r="F143">
        <f>A143*1024/(C143*0.000001)/1000000000*C117</f>
        <v/>
      </c>
      <c r="G143">
        <f>E143/F143</f>
        <v/>
      </c>
    </row>
    <row r="144"/>
    <row r="145">
      <c r="A145" t="inlineStr">
        <is>
          <t>Nodes: 16, Protocol: Simple, Channels: 16</t>
        </is>
      </c>
    </row>
    <row r="146">
      <c r="A146" t="inlineStr">
        <is>
          <t>Parameter</t>
        </is>
      </c>
      <c r="B146" t="inlineStr">
        <is>
          <t>Formula</t>
        </is>
      </c>
      <c r="C146" t="inlineStr">
        <is>
          <t>Value</t>
        </is>
      </c>
    </row>
    <row r="147">
      <c r="A147" t="inlineStr">
        <is>
          <t>n</t>
        </is>
      </c>
      <c r="B147" t="inlineStr">
        <is>
          <t>nodes on tree</t>
        </is>
      </c>
      <c r="C147" t="n">
        <v>16</v>
      </c>
    </row>
    <row r="148">
      <c r="A148" t="inlineStr">
        <is>
          <t>nch</t>
        </is>
      </c>
      <c r="B148" t="inlineStr">
        <is>
          <t>channels</t>
        </is>
      </c>
      <c r="C148" t="n">
        <v>16</v>
      </c>
    </row>
    <row r="149">
      <c r="A149" t="inlineStr">
        <is>
          <t>a</t>
        </is>
      </c>
      <c r="B149" t="inlineStr">
        <is>
          <t>RTT (us)</t>
        </is>
      </c>
      <c r="C149" t="n">
        <v>25.8107</v>
      </c>
    </row>
    <row r="150">
      <c r="A150" t="inlineStr">
        <is>
          <t>NIC_BW</t>
        </is>
      </c>
      <c r="B150" t="inlineStr">
        <is>
          <t>bytes/us</t>
        </is>
      </c>
      <c r="C150" t="n">
        <v>48750</v>
      </c>
    </row>
    <row r="151">
      <c r="A151" t="inlineStr">
        <is>
          <t>NIC_BW_REAL</t>
        </is>
      </c>
      <c r="B151" t="inlineStr">
        <is>
          <t>NIC_BW/2</t>
        </is>
      </c>
      <c r="C151">
        <f>C150/2</f>
        <v/>
      </c>
    </row>
    <row r="152">
      <c r="A152" t="inlineStr">
        <is>
          <t>G</t>
        </is>
      </c>
      <c r="B152" t="inlineStr">
        <is>
          <t>1/NIC_BW_REAL</t>
        </is>
      </c>
      <c r="C152">
        <f>1/C151</f>
        <v/>
      </c>
    </row>
    <row r="153">
      <c r="A153" t="inlineStr">
        <is>
          <t>busbw_factor</t>
        </is>
      </c>
      <c r="B153" t="inlineStr">
        <is>
          <t>2*(n-1)/n</t>
        </is>
      </c>
      <c r="C153">
        <f>2*(C147-1)/C147</f>
        <v/>
      </c>
    </row>
    <row r="154">
      <c r="A154" t="inlineStr">
        <is>
          <t>fixed_overhead</t>
        </is>
      </c>
      <c r="B154" t="inlineStr">
        <is>
          <t>(2*LOG2(n)+1)*a/2</t>
        </is>
      </c>
      <c r="C154">
        <f>(2*LOG(C147,2)+1)*C149/2</f>
        <v/>
      </c>
    </row>
    <row r="155"/>
    <row r="156">
      <c r="A156" t="inlineStr">
        <is>
          <t>size_KB</t>
        </is>
      </c>
      <c r="B156" t="inlineStr">
        <is>
          <t>Actual Time (us)</t>
        </is>
      </c>
      <c r="C156" t="inlineStr">
        <is>
          <t>Roofline Time (us)</t>
        </is>
      </c>
      <c r="D156" t="inlineStr">
        <is>
          <t>Actual/Roofline</t>
        </is>
      </c>
      <c r="E156" t="inlineStr">
        <is>
          <t>Actual busBW (GB/s)</t>
        </is>
      </c>
      <c r="F156" t="inlineStr">
        <is>
          <t>Roofline busBW (GB/s)</t>
        </is>
      </c>
      <c r="G156" t="inlineStr">
        <is>
          <t>Meas/Roof busBW</t>
        </is>
      </c>
    </row>
    <row r="157">
      <c r="A157" t="n">
        <v>1</v>
      </c>
      <c r="B157" t="n">
        <v>188.07</v>
      </c>
      <c r="C157">
        <f>C154+A157*1024*C152</f>
        <v/>
      </c>
      <c r="D157">
        <f>B157/C157</f>
        <v/>
      </c>
      <c r="E157" t="n">
        <v>0.01</v>
      </c>
      <c r="F157">
        <f>A157*1024/(C157*0.000001)/1000000000*C153</f>
        <v/>
      </c>
      <c r="G157">
        <f>E157/F157</f>
        <v/>
      </c>
    </row>
    <row r="158">
      <c r="A158" t="n">
        <v>2</v>
      </c>
      <c r="B158" t="n">
        <v>187.54</v>
      </c>
      <c r="C158">
        <f>C154+A158*1024*C152</f>
        <v/>
      </c>
      <c r="D158">
        <f>B158/C158</f>
        <v/>
      </c>
      <c r="E158" t="n">
        <v>0.02</v>
      </c>
      <c r="F158">
        <f>A158*1024/(C158*0.000001)/1000000000*C153</f>
        <v/>
      </c>
      <c r="G158">
        <f>E158/F158</f>
        <v/>
      </c>
    </row>
    <row r="159">
      <c r="A159" t="n">
        <v>4</v>
      </c>
      <c r="B159" t="n">
        <v>193.15</v>
      </c>
      <c r="C159">
        <f>C154+A159*1024*C152</f>
        <v/>
      </c>
      <c r="D159">
        <f>B159/C159</f>
        <v/>
      </c>
      <c r="E159" t="n">
        <v>0.04</v>
      </c>
      <c r="F159">
        <f>A159*1024/(C159*0.000001)/1000000000*C153</f>
        <v/>
      </c>
      <c r="G159">
        <f>E159/F159</f>
        <v/>
      </c>
    </row>
    <row r="160">
      <c r="A160" t="n">
        <v>8</v>
      </c>
      <c r="B160" t="n">
        <v>208.56</v>
      </c>
      <c r="C160">
        <f>C154+A160*1024*C152</f>
        <v/>
      </c>
      <c r="D160">
        <f>B160/C160</f>
        <v/>
      </c>
      <c r="E160" t="n">
        <v>0.07000000000000001</v>
      </c>
      <c r="F160">
        <f>A160*1024/(C160*0.000001)/1000000000*C153</f>
        <v/>
      </c>
      <c r="G160">
        <f>E160/F160</f>
        <v/>
      </c>
    </row>
    <row r="161">
      <c r="A161" t="n">
        <v>16</v>
      </c>
      <c r="B161" t="n">
        <v>247.43</v>
      </c>
      <c r="C161">
        <f>C154+A161*1024*C152</f>
        <v/>
      </c>
      <c r="D161">
        <f>B161/C161</f>
        <v/>
      </c>
      <c r="E161" t="n">
        <v>0.12</v>
      </c>
      <c r="F161">
        <f>A161*1024/(C161*0.000001)/1000000000*C153</f>
        <v/>
      </c>
      <c r="G161">
        <f>E161/F161</f>
        <v/>
      </c>
    </row>
    <row r="162">
      <c r="A162" t="n">
        <v>32</v>
      </c>
      <c r="B162" t="n">
        <v>274.59</v>
      </c>
      <c r="C162">
        <f>C154+A162*1024*C152</f>
        <v/>
      </c>
      <c r="D162">
        <f>B162/C162</f>
        <v/>
      </c>
      <c r="E162" t="n">
        <v>0.22</v>
      </c>
      <c r="F162">
        <f>A162*1024/(C162*0.000001)/1000000000*C153</f>
        <v/>
      </c>
      <c r="G162">
        <f>E162/F162</f>
        <v/>
      </c>
    </row>
    <row r="163">
      <c r="A163" t="n">
        <v>64</v>
      </c>
      <c r="B163" t="n">
        <v>285.79</v>
      </c>
      <c r="C163">
        <f>C154+A163*1024*C152</f>
        <v/>
      </c>
      <c r="D163">
        <f>B163/C163</f>
        <v/>
      </c>
      <c r="E163" t="n">
        <v>0.43</v>
      </c>
      <c r="F163">
        <f>A163*1024/(C163*0.000001)/1000000000*C153</f>
        <v/>
      </c>
      <c r="G163">
        <f>E163/F163</f>
        <v/>
      </c>
    </row>
    <row r="164">
      <c r="A164" t="n">
        <v>128</v>
      </c>
      <c r="B164" t="n">
        <v>291.94</v>
      </c>
      <c r="C164">
        <f>C154+A164*1024*C152</f>
        <v/>
      </c>
      <c r="D164">
        <f>B164/C164</f>
        <v/>
      </c>
      <c r="E164" t="n">
        <v>0.84</v>
      </c>
      <c r="F164">
        <f>A164*1024/(C164*0.000001)/1000000000*C153</f>
        <v/>
      </c>
      <c r="G164">
        <f>E164/F164</f>
        <v/>
      </c>
    </row>
    <row r="165">
      <c r="A165" t="n">
        <v>256</v>
      </c>
      <c r="B165" t="n">
        <v>320.05</v>
      </c>
      <c r="C165">
        <f>C154+A165*1024*C152</f>
        <v/>
      </c>
      <c r="D165">
        <f>B165/C165</f>
        <v/>
      </c>
      <c r="E165" t="n">
        <v>1.54</v>
      </c>
      <c r="F165">
        <f>A165*1024/(C165*0.000001)/1000000000*C153</f>
        <v/>
      </c>
      <c r="G165">
        <f>E165/F165</f>
        <v/>
      </c>
    </row>
    <row r="166">
      <c r="A166" t="n">
        <v>512</v>
      </c>
      <c r="B166" t="n">
        <v>379.05</v>
      </c>
      <c r="C166">
        <f>C154+A166*1024*C152</f>
        <v/>
      </c>
      <c r="D166">
        <f>B166/C166</f>
        <v/>
      </c>
      <c r="E166" t="n">
        <v>2.59</v>
      </c>
      <c r="F166">
        <f>A166*1024/(C166*0.000001)/1000000000*C153</f>
        <v/>
      </c>
      <c r="G166">
        <f>E166/F166</f>
        <v/>
      </c>
    </row>
    <row r="167">
      <c r="A167" t="n">
        <v>1024</v>
      </c>
      <c r="B167" t="n">
        <v>441.86</v>
      </c>
      <c r="C167">
        <f>C154+A167*1024*C152</f>
        <v/>
      </c>
      <c r="D167">
        <f>B167/C167</f>
        <v/>
      </c>
      <c r="E167" t="n">
        <v>4.45</v>
      </c>
      <c r="F167">
        <f>A167*1024/(C167*0.000001)/1000000000*C153</f>
        <v/>
      </c>
      <c r="G167">
        <f>E167/F167</f>
        <v/>
      </c>
    </row>
    <row r="168">
      <c r="A168" t="n">
        <v>2048</v>
      </c>
      <c r="B168" t="n">
        <v>545.77</v>
      </c>
      <c r="C168">
        <f>C154+A168*1024*C152</f>
        <v/>
      </c>
      <c r="D168">
        <f>B168/C168</f>
        <v/>
      </c>
      <c r="E168" t="n">
        <v>7.2</v>
      </c>
      <c r="F168">
        <f>A168*1024/(C168*0.000001)/1000000000*C153</f>
        <v/>
      </c>
      <c r="G168">
        <f>E168/F168</f>
        <v/>
      </c>
    </row>
    <row r="169">
      <c r="A169" t="n">
        <v>4096</v>
      </c>
      <c r="B169" t="n">
        <v>722.8</v>
      </c>
      <c r="C169">
        <f>C154+A169*1024*C152</f>
        <v/>
      </c>
      <c r="D169">
        <f>B169/C169</f>
        <v/>
      </c>
      <c r="E169" t="n">
        <v>10.88</v>
      </c>
      <c r="F169">
        <f>A169*1024/(C169*0.000001)/1000000000*C153</f>
        <v/>
      </c>
      <c r="G169">
        <f>E169/F169</f>
        <v/>
      </c>
    </row>
    <row r="170">
      <c r="A170" t="n">
        <v>8192</v>
      </c>
      <c r="B170" t="n">
        <v>1077.69</v>
      </c>
      <c r="C170">
        <f>C154+A170*1024*C152</f>
        <v/>
      </c>
      <c r="D170">
        <f>B170/C170</f>
        <v/>
      </c>
      <c r="E170" t="n">
        <v>14.59</v>
      </c>
      <c r="F170">
        <f>A170*1024/(C170*0.000001)/1000000000*C153</f>
        <v/>
      </c>
      <c r="G170">
        <f>E170/F170</f>
        <v/>
      </c>
    </row>
    <row r="171">
      <c r="A171" t="n">
        <v>16384</v>
      </c>
      <c r="B171" t="n">
        <v>1785.05</v>
      </c>
      <c r="C171">
        <f>C154+A171*1024*C152</f>
        <v/>
      </c>
      <c r="D171">
        <f>B171/C171</f>
        <v/>
      </c>
      <c r="E171" t="n">
        <v>17.62</v>
      </c>
      <c r="F171">
        <f>A171*1024/(C171*0.000001)/1000000000*C153</f>
        <v/>
      </c>
      <c r="G171">
        <f>E171/F171</f>
        <v/>
      </c>
    </row>
    <row r="172">
      <c r="A172" t="n">
        <v>32768</v>
      </c>
      <c r="B172" t="n">
        <v>2487.87</v>
      </c>
      <c r="C172">
        <f>C154+A172*1024*C152</f>
        <v/>
      </c>
      <c r="D172">
        <f>B172/C172</f>
        <v/>
      </c>
      <c r="E172" t="n">
        <v>25.29</v>
      </c>
      <c r="F172">
        <f>A172*1024/(C172*0.000001)/1000000000*C153</f>
        <v/>
      </c>
      <c r="G172">
        <f>E172/F172</f>
        <v/>
      </c>
    </row>
    <row r="173">
      <c r="A173" t="n">
        <v>65536</v>
      </c>
      <c r="B173" t="n">
        <v>4145.45</v>
      </c>
      <c r="C173">
        <f>C154+A173*1024*C152</f>
        <v/>
      </c>
      <c r="D173">
        <f>B173/C173</f>
        <v/>
      </c>
      <c r="E173" t="n">
        <v>30.35</v>
      </c>
      <c r="F173">
        <f>A173*1024/(C173*0.000001)/1000000000*C153</f>
        <v/>
      </c>
      <c r="G173">
        <f>E173/F173</f>
        <v/>
      </c>
    </row>
    <row r="174">
      <c r="A174" t="n">
        <v>131072</v>
      </c>
      <c r="B174" t="n">
        <v>7122.69</v>
      </c>
      <c r="C174">
        <f>C154+A174*1024*C152</f>
        <v/>
      </c>
      <c r="D174">
        <f>B174/C174</f>
        <v/>
      </c>
      <c r="E174" t="n">
        <v>35.33</v>
      </c>
      <c r="F174">
        <f>A174*1024/(C174*0.000001)/1000000000*C153</f>
        <v/>
      </c>
      <c r="G174">
        <f>E174/F174</f>
        <v/>
      </c>
    </row>
    <row r="175">
      <c r="A175" t="n">
        <v>262144</v>
      </c>
      <c r="B175" t="n">
        <v>13471</v>
      </c>
      <c r="C175">
        <f>C154+A175*1024*C152</f>
        <v/>
      </c>
      <c r="D175">
        <f>B175/C175</f>
        <v/>
      </c>
      <c r="E175" t="n">
        <v>37.36</v>
      </c>
      <c r="F175">
        <f>A175*1024/(C175*0.000001)/1000000000*C153</f>
        <v/>
      </c>
      <c r="G175">
        <f>E175/F175</f>
        <v/>
      </c>
    </row>
    <row r="176">
      <c r="A176" t="n">
        <v>524288</v>
      </c>
      <c r="B176" t="n">
        <v>25856.8</v>
      </c>
      <c r="C176">
        <f>C154+A176*1024*C152</f>
        <v/>
      </c>
      <c r="D176">
        <f>B176/C176</f>
        <v/>
      </c>
      <c r="E176" t="n">
        <v>38.93</v>
      </c>
      <c r="F176">
        <f>A176*1024/(C176*0.000001)/1000000000*C153</f>
        <v/>
      </c>
      <c r="G176">
        <f>E176/F176</f>
        <v/>
      </c>
    </row>
    <row r="177">
      <c r="A177" t="n">
        <v>1048576</v>
      </c>
      <c r="B177" t="n">
        <v>49742.8</v>
      </c>
      <c r="C177">
        <f>C154+A177*1024*C152</f>
        <v/>
      </c>
      <c r="D177">
        <f>B177/C177</f>
        <v/>
      </c>
      <c r="E177" t="n">
        <v>40.47</v>
      </c>
      <c r="F177">
        <f>A177*1024/(C177*0.000001)/1000000000*C153</f>
        <v/>
      </c>
      <c r="G177">
        <f>E177/F177</f>
        <v/>
      </c>
    </row>
    <row r="178">
      <c r="A178" t="n">
        <v>2097152</v>
      </c>
      <c r="B178" t="n">
        <v>97801.2</v>
      </c>
      <c r="C178">
        <f>C154+A178*1024*C152</f>
        <v/>
      </c>
      <c r="D178">
        <f>B178/C178</f>
        <v/>
      </c>
      <c r="E178" t="n">
        <v>41.17</v>
      </c>
      <c r="F178">
        <f>A178*1024/(C178*0.000001)/1000000000*C153</f>
        <v/>
      </c>
      <c r="G178">
        <f>E178/F178</f>
        <v/>
      </c>
    </row>
    <row r="179">
      <c r="A179" t="n">
        <v>4194304</v>
      </c>
      <c r="B179" t="n">
        <v>195800</v>
      </c>
      <c r="C179">
        <f>C154+A179*1024*C152</f>
        <v/>
      </c>
      <c r="D179">
        <f>B179/C179</f>
        <v/>
      </c>
      <c r="E179" t="n">
        <v>41.13</v>
      </c>
      <c r="F179">
        <f>A179*1024/(C179*0.000001)/1000000000*C153</f>
        <v/>
      </c>
      <c r="G179">
        <f>E179/F179</f>
        <v/>
      </c>
    </row>
    <row r="180"/>
    <row r="181">
      <c r="A181" t="inlineStr">
        <is>
          <t>Nodes: 16, Protocol: LL, Channels: 1</t>
        </is>
      </c>
    </row>
    <row r="182">
      <c r="A182" t="inlineStr">
        <is>
          <t>Parameter</t>
        </is>
      </c>
      <c r="B182" t="inlineStr">
        <is>
          <t>Formula</t>
        </is>
      </c>
      <c r="C182" t="inlineStr">
        <is>
          <t>Value</t>
        </is>
      </c>
    </row>
    <row r="183">
      <c r="A183" t="inlineStr">
        <is>
          <t>n</t>
        </is>
      </c>
      <c r="B183" t="inlineStr">
        <is>
          <t>nodes on tree</t>
        </is>
      </c>
      <c r="C183" t="n">
        <v>16</v>
      </c>
    </row>
    <row r="184">
      <c r="A184" t="inlineStr">
        <is>
          <t>nch</t>
        </is>
      </c>
      <c r="B184" t="inlineStr">
        <is>
          <t>channels</t>
        </is>
      </c>
      <c r="C184" t="n">
        <v>1</v>
      </c>
    </row>
    <row r="185">
      <c r="A185" t="inlineStr">
        <is>
          <t>a</t>
        </is>
      </c>
      <c r="B185" t="inlineStr">
        <is>
          <t>RTT (us)</t>
        </is>
      </c>
      <c r="C185" t="n">
        <v>25.8107</v>
      </c>
    </row>
    <row r="186">
      <c r="A186" t="inlineStr">
        <is>
          <t>NIC_BW</t>
        </is>
      </c>
      <c r="B186" t="inlineStr">
        <is>
          <t>bytes/us</t>
        </is>
      </c>
      <c r="C186" t="n">
        <v>48750</v>
      </c>
    </row>
    <row r="187">
      <c r="A187" t="inlineStr">
        <is>
          <t>NIC_BW_REAL</t>
        </is>
      </c>
      <c r="B187" t="inlineStr">
        <is>
          <t>(NIC_BW/2)/3</t>
        </is>
      </c>
      <c r="C187">
        <f>(C186/2)/3</f>
        <v/>
      </c>
    </row>
    <row r="188">
      <c r="A188" t="inlineStr">
        <is>
          <t>G</t>
        </is>
      </c>
      <c r="B188" t="inlineStr">
        <is>
          <t>1/NIC_BW_REAL</t>
        </is>
      </c>
      <c r="C188">
        <f>1/C187</f>
        <v/>
      </c>
    </row>
    <row r="189">
      <c r="A189" t="inlineStr">
        <is>
          <t>busbw_factor</t>
        </is>
      </c>
      <c r="B189" t="inlineStr">
        <is>
          <t>2*(n-1)/n</t>
        </is>
      </c>
      <c r="C189">
        <f>2*(C183-1)/C183</f>
        <v/>
      </c>
    </row>
    <row r="190">
      <c r="A190" t="inlineStr">
        <is>
          <t>fixed_overhead</t>
        </is>
      </c>
      <c r="B190" t="inlineStr">
        <is>
          <t>(2*LOG2(n)+1)*a/2</t>
        </is>
      </c>
      <c r="C190">
        <f>(2*LOG(C183,2)+1)*C185/2</f>
        <v/>
      </c>
    </row>
    <row r="191"/>
    <row r="192">
      <c r="A192" t="inlineStr">
        <is>
          <t>size_KB</t>
        </is>
      </c>
      <c r="B192" t="inlineStr">
        <is>
          <t>Actual Time (us)</t>
        </is>
      </c>
      <c r="C192" t="inlineStr">
        <is>
          <t>Roofline Time (us)</t>
        </is>
      </c>
      <c r="D192" t="inlineStr">
        <is>
          <t>Actual/Roofline</t>
        </is>
      </c>
      <c r="E192" t="inlineStr">
        <is>
          <t>Actual busBW (GB/s)</t>
        </is>
      </c>
      <c r="F192" t="inlineStr">
        <is>
          <t>Roofline busBW (GB/s)</t>
        </is>
      </c>
      <c r="G192" t="inlineStr">
        <is>
          <t>Meas/Roof busBW</t>
        </is>
      </c>
    </row>
    <row r="193">
      <c r="A193" t="n">
        <v>1</v>
      </c>
      <c r="B193" t="n">
        <v>125.48</v>
      </c>
      <c r="C193">
        <f>C190+A193*1024*C188</f>
        <v/>
      </c>
      <c r="D193">
        <f>B193/C193</f>
        <v/>
      </c>
      <c r="E193" t="n">
        <v>0.02</v>
      </c>
      <c r="F193">
        <f>A193*1024/(C193*0.000001)/1000000000*C189</f>
        <v/>
      </c>
      <c r="G193">
        <f>E193/F193</f>
        <v/>
      </c>
    </row>
    <row r="194">
      <c r="A194" t="n">
        <v>2</v>
      </c>
      <c r="B194" t="n">
        <v>130.62</v>
      </c>
      <c r="C194">
        <f>C190+A194*1024*C188</f>
        <v/>
      </c>
      <c r="D194">
        <f>B194/C194</f>
        <v/>
      </c>
      <c r="E194" t="n">
        <v>0.03</v>
      </c>
      <c r="F194">
        <f>A194*1024/(C194*0.000001)/1000000000*C189</f>
        <v/>
      </c>
      <c r="G194">
        <f>E194/F194</f>
        <v/>
      </c>
    </row>
    <row r="195">
      <c r="A195" t="n">
        <v>4</v>
      </c>
      <c r="B195" t="n">
        <v>148.13</v>
      </c>
      <c r="C195">
        <f>C190+A195*1024*C188</f>
        <v/>
      </c>
      <c r="D195">
        <f>B195/C195</f>
        <v/>
      </c>
      <c r="E195" t="n">
        <v>0.05</v>
      </c>
      <c r="F195">
        <f>A195*1024/(C195*0.000001)/1000000000*C189</f>
        <v/>
      </c>
      <c r="G195">
        <f>E195/F195</f>
        <v/>
      </c>
    </row>
    <row r="196">
      <c r="A196" t="n">
        <v>8</v>
      </c>
      <c r="B196" t="n">
        <v>161.14</v>
      </c>
      <c r="C196">
        <f>C190+A196*1024*C188</f>
        <v/>
      </c>
      <c r="D196">
        <f>B196/C196</f>
        <v/>
      </c>
      <c r="E196" t="n">
        <v>0.1</v>
      </c>
      <c r="F196">
        <f>A196*1024/(C196*0.000001)/1000000000*C189</f>
        <v/>
      </c>
      <c r="G196">
        <f>E196/F196</f>
        <v/>
      </c>
    </row>
    <row r="197">
      <c r="A197" t="n">
        <v>16</v>
      </c>
      <c r="B197" t="n">
        <v>181.9</v>
      </c>
      <c r="C197">
        <f>C190+A197*1024*C188</f>
        <v/>
      </c>
      <c r="D197">
        <f>B197/C197</f>
        <v/>
      </c>
      <c r="E197" t="n">
        <v>0.17</v>
      </c>
      <c r="F197">
        <f>A197*1024/(C197*0.000001)/1000000000*C189</f>
        <v/>
      </c>
      <c r="G197">
        <f>E197/F197</f>
        <v/>
      </c>
    </row>
    <row r="198">
      <c r="A198" t="n">
        <v>32</v>
      </c>
      <c r="B198" t="n">
        <v>224.54</v>
      </c>
      <c r="C198">
        <f>C190+A198*1024*C188</f>
        <v/>
      </c>
      <c r="D198">
        <f>B198/C198</f>
        <v/>
      </c>
      <c r="E198" t="n">
        <v>0.27</v>
      </c>
      <c r="F198">
        <f>A198*1024/(C198*0.000001)/1000000000*C189</f>
        <v/>
      </c>
      <c r="G198">
        <f>E198/F198</f>
        <v/>
      </c>
    </row>
    <row r="199">
      <c r="A199" t="n">
        <v>64</v>
      </c>
      <c r="B199" t="n">
        <v>242.37</v>
      </c>
      <c r="C199">
        <f>C190+A199*1024*C188</f>
        <v/>
      </c>
      <c r="D199">
        <f>B199/C199</f>
        <v/>
      </c>
      <c r="E199" t="n">
        <v>0.51</v>
      </c>
      <c r="F199">
        <f>A199*1024/(C199*0.000001)/1000000000*C189</f>
        <v/>
      </c>
      <c r="G199">
        <f>E199/F199</f>
        <v/>
      </c>
    </row>
    <row r="200">
      <c r="A200" t="n">
        <v>128</v>
      </c>
      <c r="B200" t="n">
        <v>272.97</v>
      </c>
      <c r="C200">
        <f>C190+A200*1024*C188</f>
        <v/>
      </c>
      <c r="D200">
        <f>B200/C200</f>
        <v/>
      </c>
      <c r="E200" t="n">
        <v>0.9</v>
      </c>
      <c r="F200">
        <f>A200*1024/(C200*0.000001)/1000000000*C189</f>
        <v/>
      </c>
      <c r="G200">
        <f>E200/F200</f>
        <v/>
      </c>
    </row>
    <row r="201">
      <c r="A201" t="n">
        <v>256</v>
      </c>
      <c r="B201" t="n">
        <v>334.81</v>
      </c>
      <c r="C201">
        <f>C190+A201*1024*C188</f>
        <v/>
      </c>
      <c r="D201">
        <f>B201/C201</f>
        <v/>
      </c>
      <c r="E201" t="n">
        <v>1.47</v>
      </c>
      <c r="F201">
        <f>A201*1024/(C201*0.000001)/1000000000*C189</f>
        <v/>
      </c>
      <c r="G201">
        <f>E201/F201</f>
        <v/>
      </c>
    </row>
    <row r="202">
      <c r="A202" t="n">
        <v>512</v>
      </c>
      <c r="B202" t="n">
        <v>515.55</v>
      </c>
      <c r="C202">
        <f>C190+A202*1024*C188</f>
        <v/>
      </c>
      <c r="D202">
        <f>B202/C202</f>
        <v/>
      </c>
      <c r="E202" t="n">
        <v>1.91</v>
      </c>
      <c r="F202">
        <f>A202*1024/(C202*0.000001)/1000000000*C189</f>
        <v/>
      </c>
      <c r="G202">
        <f>E202/F202</f>
        <v/>
      </c>
    </row>
    <row r="203">
      <c r="A203" t="n">
        <v>1024</v>
      </c>
      <c r="B203" t="n">
        <v>864.23</v>
      </c>
      <c r="C203">
        <f>C190+A203*1024*C188</f>
        <v/>
      </c>
      <c r="D203">
        <f>B203/C203</f>
        <v/>
      </c>
      <c r="E203" t="n">
        <v>2.27</v>
      </c>
      <c r="F203">
        <f>A203*1024/(C203*0.000001)/1000000000*C189</f>
        <v/>
      </c>
      <c r="G203">
        <f>E203/F203</f>
        <v/>
      </c>
    </row>
    <row r="204">
      <c r="A204" t="n">
        <v>2048</v>
      </c>
      <c r="B204" t="n">
        <v>1573.14</v>
      </c>
      <c r="C204">
        <f>C190+A204*1024*C188</f>
        <v/>
      </c>
      <c r="D204">
        <f>B204/C204</f>
        <v/>
      </c>
      <c r="E204" t="n">
        <v>2.5</v>
      </c>
      <c r="F204">
        <f>A204*1024/(C204*0.000001)/1000000000*C189</f>
        <v/>
      </c>
      <c r="G204">
        <f>E204/F204</f>
        <v/>
      </c>
    </row>
    <row r="205">
      <c r="A205" t="n">
        <v>4096</v>
      </c>
      <c r="B205" t="n">
        <v>3000.98</v>
      </c>
      <c r="C205">
        <f>C190+A205*1024*C188</f>
        <v/>
      </c>
      <c r="D205">
        <f>B205/C205</f>
        <v/>
      </c>
      <c r="E205" t="n">
        <v>2.62</v>
      </c>
      <c r="F205">
        <f>A205*1024/(C205*0.000001)/1000000000*C189</f>
        <v/>
      </c>
      <c r="G205">
        <f>E205/F205</f>
        <v/>
      </c>
    </row>
    <row r="206">
      <c r="A206" t="n">
        <v>8192</v>
      </c>
      <c r="B206" t="n">
        <v>5861.23</v>
      </c>
      <c r="C206">
        <f>C190+A206*1024*C188</f>
        <v/>
      </c>
      <c r="D206">
        <f>B206/C206</f>
        <v/>
      </c>
      <c r="E206" t="n">
        <v>2.68</v>
      </c>
      <c r="F206">
        <f>A206*1024/(C206*0.000001)/1000000000*C189</f>
        <v/>
      </c>
      <c r="G206">
        <f>E206/F206</f>
        <v/>
      </c>
    </row>
    <row r="207">
      <c r="A207" t="n">
        <v>16384</v>
      </c>
      <c r="B207" t="n">
        <v>11524.3</v>
      </c>
      <c r="C207">
        <f>C190+A207*1024*C188</f>
        <v/>
      </c>
      <c r="D207">
        <f>B207/C207</f>
        <v/>
      </c>
      <c r="E207" t="n">
        <v>2.73</v>
      </c>
      <c r="F207">
        <f>A207*1024/(C207*0.000001)/1000000000*C189</f>
        <v/>
      </c>
      <c r="G207">
        <f>E207/F207</f>
        <v/>
      </c>
    </row>
    <row r="208">
      <c r="A208" t="n">
        <v>32768</v>
      </c>
      <c r="B208" t="n">
        <v>22838.3</v>
      </c>
      <c r="C208">
        <f>C190+A208*1024*C188</f>
        <v/>
      </c>
      <c r="D208">
        <f>B208/C208</f>
        <v/>
      </c>
      <c r="E208" t="n">
        <v>2.75</v>
      </c>
      <c r="F208">
        <f>A208*1024/(C208*0.000001)/1000000000*C189</f>
        <v/>
      </c>
      <c r="G208">
        <f>E208/F208</f>
        <v/>
      </c>
    </row>
    <row r="209">
      <c r="A209" t="n">
        <v>65536</v>
      </c>
      <c r="B209" t="n">
        <v>45461</v>
      </c>
      <c r="C209">
        <f>C190+A209*1024*C188</f>
        <v/>
      </c>
      <c r="D209">
        <f>B209/C209</f>
        <v/>
      </c>
      <c r="E209" t="n">
        <v>2.77</v>
      </c>
      <c r="F209">
        <f>A209*1024/(C209*0.000001)/1000000000*C189</f>
        <v/>
      </c>
      <c r="G209">
        <f>E209/F209</f>
        <v/>
      </c>
    </row>
    <row r="210">
      <c r="A210" t="n">
        <v>131072</v>
      </c>
      <c r="B210" t="n">
        <v>90855</v>
      </c>
      <c r="C210">
        <f>C190+A210*1024*C188</f>
        <v/>
      </c>
      <c r="D210">
        <f>B210/C210</f>
        <v/>
      </c>
      <c r="E210" t="n">
        <v>2.77</v>
      </c>
      <c r="F210">
        <f>A210*1024/(C210*0.000001)/1000000000*C189</f>
        <v/>
      </c>
      <c r="G210">
        <f>E210/F210</f>
        <v/>
      </c>
    </row>
    <row r="211">
      <c r="A211" t="n">
        <v>262144</v>
      </c>
      <c r="B211" t="n">
        <v>181244</v>
      </c>
      <c r="C211">
        <f>C190+A211*1024*C188</f>
        <v/>
      </c>
      <c r="D211">
        <f>B211/C211</f>
        <v/>
      </c>
      <c r="E211" t="n">
        <v>2.78</v>
      </c>
      <c r="F211">
        <f>A211*1024/(C211*0.000001)/1000000000*C189</f>
        <v/>
      </c>
      <c r="G211">
        <f>E211/F211</f>
        <v/>
      </c>
    </row>
    <row r="212">
      <c r="A212" t="n">
        <v>524288</v>
      </c>
      <c r="B212" t="n">
        <v>362076</v>
      </c>
      <c r="C212">
        <f>C190+A212*1024*C188</f>
        <v/>
      </c>
      <c r="D212">
        <f>B212/C212</f>
        <v/>
      </c>
      <c r="E212" t="n">
        <v>2.78</v>
      </c>
      <c r="F212">
        <f>A212*1024/(C212*0.000001)/1000000000*C189</f>
        <v/>
      </c>
      <c r="G212">
        <f>E212/F212</f>
        <v/>
      </c>
    </row>
    <row r="213">
      <c r="A213" t="n">
        <v>1048576</v>
      </c>
      <c r="B213" t="n">
        <v>723358</v>
      </c>
      <c r="C213">
        <f>C190+A213*1024*C188</f>
        <v/>
      </c>
      <c r="D213">
        <f>B213/C213</f>
        <v/>
      </c>
      <c r="E213" t="n">
        <v>2.78</v>
      </c>
      <c r="F213">
        <f>A213*1024/(C213*0.000001)/1000000000*C189</f>
        <v/>
      </c>
      <c r="G213">
        <f>E213/F213</f>
        <v/>
      </c>
    </row>
    <row r="214"/>
    <row r="215">
      <c r="A215" t="inlineStr">
        <is>
          <t>Nodes: 16, Protocol: LL, Channels: 2</t>
        </is>
      </c>
    </row>
    <row r="216">
      <c r="A216" t="inlineStr">
        <is>
          <t>Parameter</t>
        </is>
      </c>
      <c r="B216" t="inlineStr">
        <is>
          <t>Formula</t>
        </is>
      </c>
      <c r="C216" t="inlineStr">
        <is>
          <t>Value</t>
        </is>
      </c>
    </row>
    <row r="217">
      <c r="A217" t="inlineStr">
        <is>
          <t>n</t>
        </is>
      </c>
      <c r="B217" t="inlineStr">
        <is>
          <t>nodes on tree</t>
        </is>
      </c>
      <c r="C217" t="n">
        <v>16</v>
      </c>
    </row>
    <row r="218">
      <c r="A218" t="inlineStr">
        <is>
          <t>nch</t>
        </is>
      </c>
      <c r="B218" t="inlineStr">
        <is>
          <t>channels</t>
        </is>
      </c>
      <c r="C218" t="n">
        <v>2</v>
      </c>
    </row>
    <row r="219">
      <c r="A219" t="inlineStr">
        <is>
          <t>a</t>
        </is>
      </c>
      <c r="B219" t="inlineStr">
        <is>
          <t>RTT (us)</t>
        </is>
      </c>
      <c r="C219" t="n">
        <v>25.8107</v>
      </c>
    </row>
    <row r="220">
      <c r="A220" t="inlineStr">
        <is>
          <t>NIC_BW</t>
        </is>
      </c>
      <c r="B220" t="inlineStr">
        <is>
          <t>bytes/us</t>
        </is>
      </c>
      <c r="C220" t="n">
        <v>48750</v>
      </c>
    </row>
    <row r="221">
      <c r="A221" t="inlineStr">
        <is>
          <t>NIC_BW_REAL</t>
        </is>
      </c>
      <c r="B221" t="inlineStr">
        <is>
          <t>(NIC_BW/2)/3</t>
        </is>
      </c>
      <c r="C221">
        <f>(C220/2)/3</f>
        <v/>
      </c>
    </row>
    <row r="222">
      <c r="A222" t="inlineStr">
        <is>
          <t>G</t>
        </is>
      </c>
      <c r="B222" t="inlineStr">
        <is>
          <t>1/NIC_BW_REAL</t>
        </is>
      </c>
      <c r="C222">
        <f>1/C221</f>
        <v/>
      </c>
    </row>
    <row r="223">
      <c r="A223" t="inlineStr">
        <is>
          <t>busbw_factor</t>
        </is>
      </c>
      <c r="B223" t="inlineStr">
        <is>
          <t>2*(n-1)/n</t>
        </is>
      </c>
      <c r="C223">
        <f>2*(C217-1)/C217</f>
        <v/>
      </c>
    </row>
    <row r="224">
      <c r="A224" t="inlineStr">
        <is>
          <t>fixed_overhead</t>
        </is>
      </c>
      <c r="B224" t="inlineStr">
        <is>
          <t>(2*LOG2(n)+1)*a/2</t>
        </is>
      </c>
      <c r="C224">
        <f>(2*LOG(C217,2)+1)*C219/2</f>
        <v/>
      </c>
    </row>
    <row r="225"/>
    <row r="226">
      <c r="A226" t="inlineStr">
        <is>
          <t>size_KB</t>
        </is>
      </c>
      <c r="B226" t="inlineStr">
        <is>
          <t>Actual Time (us)</t>
        </is>
      </c>
      <c r="C226" t="inlineStr">
        <is>
          <t>Roofline Time (us)</t>
        </is>
      </c>
      <c r="D226" t="inlineStr">
        <is>
          <t>Actual/Roofline</t>
        </is>
      </c>
      <c r="E226" t="inlineStr">
        <is>
          <t>Actual busBW (GB/s)</t>
        </is>
      </c>
      <c r="F226" t="inlineStr">
        <is>
          <t>Roofline busBW (GB/s)</t>
        </is>
      </c>
      <c r="G226" t="inlineStr">
        <is>
          <t>Meas/Roof busBW</t>
        </is>
      </c>
    </row>
    <row r="227">
      <c r="A227" t="n">
        <v>1</v>
      </c>
      <c r="B227" t="n">
        <v>128.38</v>
      </c>
      <c r="C227">
        <f>C224+A227*1024*C222</f>
        <v/>
      </c>
      <c r="D227">
        <f>B227/C227</f>
        <v/>
      </c>
      <c r="E227" t="n">
        <v>0.01</v>
      </c>
      <c r="F227">
        <f>A227*1024/(C227*0.000001)/1000000000*C223</f>
        <v/>
      </c>
      <c r="G227">
        <f>E227/F227</f>
        <v/>
      </c>
    </row>
    <row r="228">
      <c r="A228" t="n">
        <v>2</v>
      </c>
      <c r="B228" t="n">
        <v>130.55</v>
      </c>
      <c r="C228">
        <f>C224+A228*1024*C222</f>
        <v/>
      </c>
      <c r="D228">
        <f>B228/C228</f>
        <v/>
      </c>
      <c r="E228" t="n">
        <v>0.03</v>
      </c>
      <c r="F228">
        <f>A228*1024/(C228*0.000001)/1000000000*C223</f>
        <v/>
      </c>
      <c r="G228">
        <f>E228/F228</f>
        <v/>
      </c>
    </row>
    <row r="229">
      <c r="A229" t="n">
        <v>4</v>
      </c>
      <c r="B229" t="n">
        <v>148.36</v>
      </c>
      <c r="C229">
        <f>C224+A229*1024*C222</f>
        <v/>
      </c>
      <c r="D229">
        <f>B229/C229</f>
        <v/>
      </c>
      <c r="E229" t="n">
        <v>0.05</v>
      </c>
      <c r="F229">
        <f>A229*1024/(C229*0.000001)/1000000000*C223</f>
        <v/>
      </c>
      <c r="G229">
        <f>E229/F229</f>
        <v/>
      </c>
    </row>
    <row r="230">
      <c r="A230" t="n">
        <v>8</v>
      </c>
      <c r="B230" t="n">
        <v>153.11</v>
      </c>
      <c r="C230">
        <f>C224+A230*1024*C222</f>
        <v/>
      </c>
      <c r="D230">
        <f>B230/C230</f>
        <v/>
      </c>
      <c r="E230" t="n">
        <v>0.1</v>
      </c>
      <c r="F230">
        <f>A230*1024/(C230*0.000001)/1000000000*C223</f>
        <v/>
      </c>
      <c r="G230">
        <f>E230/F230</f>
        <v/>
      </c>
    </row>
    <row r="231">
      <c r="A231" t="n">
        <v>16</v>
      </c>
      <c r="B231" t="n">
        <v>167.91</v>
      </c>
      <c r="C231">
        <f>C224+A231*1024*C222</f>
        <v/>
      </c>
      <c r="D231">
        <f>B231/C231</f>
        <v/>
      </c>
      <c r="E231" t="n">
        <v>0.18</v>
      </c>
      <c r="F231">
        <f>A231*1024/(C231*0.000001)/1000000000*C223</f>
        <v/>
      </c>
      <c r="G231">
        <f>E231/F231</f>
        <v/>
      </c>
    </row>
    <row r="232">
      <c r="A232" t="n">
        <v>32</v>
      </c>
      <c r="B232" t="n">
        <v>194.49</v>
      </c>
      <c r="C232">
        <f>C224+A232*1024*C222</f>
        <v/>
      </c>
      <c r="D232">
        <f>B232/C232</f>
        <v/>
      </c>
      <c r="E232" t="n">
        <v>0.32</v>
      </c>
      <c r="F232">
        <f>A232*1024/(C232*0.000001)/1000000000*C223</f>
        <v/>
      </c>
      <c r="G232">
        <f>E232/F232</f>
        <v/>
      </c>
    </row>
    <row r="233">
      <c r="A233" t="n">
        <v>64</v>
      </c>
      <c r="B233" t="n">
        <v>248.01</v>
      </c>
      <c r="C233">
        <f>C224+A233*1024*C222</f>
        <v/>
      </c>
      <c r="D233">
        <f>B233/C233</f>
        <v/>
      </c>
      <c r="E233" t="n">
        <v>0.5</v>
      </c>
      <c r="F233">
        <f>A233*1024/(C233*0.000001)/1000000000*C223</f>
        <v/>
      </c>
      <c r="G233">
        <f>E233/F233</f>
        <v/>
      </c>
    </row>
    <row r="234">
      <c r="A234" t="n">
        <v>128</v>
      </c>
      <c r="B234" t="n">
        <v>281.13</v>
      </c>
      <c r="C234">
        <f>C224+A234*1024*C222</f>
        <v/>
      </c>
      <c r="D234">
        <f>B234/C234</f>
        <v/>
      </c>
      <c r="E234" t="n">
        <v>0.87</v>
      </c>
      <c r="F234">
        <f>A234*1024/(C234*0.000001)/1000000000*C223</f>
        <v/>
      </c>
      <c r="G234">
        <f>E234/F234</f>
        <v/>
      </c>
    </row>
    <row r="235">
      <c r="A235" t="n">
        <v>256</v>
      </c>
      <c r="B235" t="n">
        <v>353.61</v>
      </c>
      <c r="C235">
        <f>C224+A235*1024*C222</f>
        <v/>
      </c>
      <c r="D235">
        <f>B235/C235</f>
        <v/>
      </c>
      <c r="E235" t="n">
        <v>1.39</v>
      </c>
      <c r="F235">
        <f>A235*1024/(C235*0.000001)/1000000000*C223</f>
        <v/>
      </c>
      <c r="G235">
        <f>E235/F235</f>
        <v/>
      </c>
    </row>
    <row r="236">
      <c r="A236" t="n">
        <v>512</v>
      </c>
      <c r="B236" t="n">
        <v>503.23</v>
      </c>
      <c r="C236">
        <f>C224+A236*1024*C222</f>
        <v/>
      </c>
      <c r="D236">
        <f>B236/C236</f>
        <v/>
      </c>
      <c r="E236" t="n">
        <v>1.95</v>
      </c>
      <c r="F236">
        <f>A236*1024/(C236*0.000001)/1000000000*C223</f>
        <v/>
      </c>
      <c r="G236">
        <f>E236/F236</f>
        <v/>
      </c>
    </row>
    <row r="237">
      <c r="A237" t="n">
        <v>1024</v>
      </c>
      <c r="B237" t="n">
        <v>831.99</v>
      </c>
      <c r="C237">
        <f>C224+A237*1024*C222</f>
        <v/>
      </c>
      <c r="D237">
        <f>B237/C237</f>
        <v/>
      </c>
      <c r="E237" t="n">
        <v>2.36</v>
      </c>
      <c r="F237">
        <f>A237*1024/(C237*0.000001)/1000000000*C223</f>
        <v/>
      </c>
      <c r="G237">
        <f>E237/F237</f>
        <v/>
      </c>
    </row>
    <row r="238">
      <c r="A238" t="n">
        <v>2048</v>
      </c>
      <c r="B238" t="n">
        <v>1507.53</v>
      </c>
      <c r="C238">
        <f>C224+A238*1024*C222</f>
        <v/>
      </c>
      <c r="D238">
        <f>B238/C238</f>
        <v/>
      </c>
      <c r="E238" t="n">
        <v>2.61</v>
      </c>
      <c r="F238">
        <f>A238*1024/(C238*0.000001)/1000000000*C223</f>
        <v/>
      </c>
      <c r="G238">
        <f>E238/F238</f>
        <v/>
      </c>
    </row>
    <row r="239">
      <c r="A239" t="n">
        <v>4096</v>
      </c>
      <c r="B239" t="n">
        <v>2792.25</v>
      </c>
      <c r="C239">
        <f>C224+A239*1024*C222</f>
        <v/>
      </c>
      <c r="D239">
        <f>B239/C239</f>
        <v/>
      </c>
      <c r="E239" t="n">
        <v>2.82</v>
      </c>
      <c r="F239">
        <f>A239*1024/(C239*0.000001)/1000000000*C223</f>
        <v/>
      </c>
      <c r="G239">
        <f>E239/F239</f>
        <v/>
      </c>
    </row>
    <row r="240">
      <c r="A240" t="n">
        <v>8192</v>
      </c>
      <c r="B240" t="n">
        <v>5394</v>
      </c>
      <c r="C240">
        <f>C224+A240*1024*C222</f>
        <v/>
      </c>
      <c r="D240">
        <f>B240/C240</f>
        <v/>
      </c>
      <c r="E240" t="n">
        <v>2.92</v>
      </c>
      <c r="F240">
        <f>A240*1024/(C240*0.000001)/1000000000*C223</f>
        <v/>
      </c>
      <c r="G240">
        <f>E240/F240</f>
        <v/>
      </c>
    </row>
    <row r="241">
      <c r="A241" t="n">
        <v>16384</v>
      </c>
      <c r="B241" t="n">
        <v>10586.8</v>
      </c>
      <c r="C241">
        <f>C224+A241*1024*C222</f>
        <v/>
      </c>
      <c r="D241">
        <f>B241/C241</f>
        <v/>
      </c>
      <c r="E241" t="n">
        <v>2.97</v>
      </c>
      <c r="F241">
        <f>A241*1024/(C241*0.000001)/1000000000*C223</f>
        <v/>
      </c>
      <c r="G241">
        <f>E241/F241</f>
        <v/>
      </c>
    </row>
    <row r="242">
      <c r="A242" t="n">
        <v>32768</v>
      </c>
      <c r="B242" t="n">
        <v>20827.4</v>
      </c>
      <c r="C242">
        <f>C224+A242*1024*C222</f>
        <v/>
      </c>
      <c r="D242">
        <f>B242/C242</f>
        <v/>
      </c>
      <c r="E242" t="n">
        <v>3.02</v>
      </c>
      <c r="F242">
        <f>A242*1024/(C242*0.000001)/1000000000*C223</f>
        <v/>
      </c>
      <c r="G242">
        <f>E242/F242</f>
        <v/>
      </c>
    </row>
    <row r="243">
      <c r="A243" t="n">
        <v>65536</v>
      </c>
      <c r="B243" t="n">
        <v>41405.5</v>
      </c>
      <c r="C243">
        <f>C224+A243*1024*C222</f>
        <v/>
      </c>
      <c r="D243">
        <f>B243/C243</f>
        <v/>
      </c>
      <c r="E243" t="n">
        <v>3.04</v>
      </c>
      <c r="F243">
        <f>A243*1024/(C243*0.000001)/1000000000*C223</f>
        <v/>
      </c>
      <c r="G243">
        <f>E243/F243</f>
        <v/>
      </c>
    </row>
    <row r="244">
      <c r="A244" t="n">
        <v>131072</v>
      </c>
      <c r="B244" t="n">
        <v>82530.3</v>
      </c>
      <c r="C244">
        <f>C224+A244*1024*C222</f>
        <v/>
      </c>
      <c r="D244">
        <f>B244/C244</f>
        <v/>
      </c>
      <c r="E244" t="n">
        <v>3.05</v>
      </c>
      <c r="F244">
        <f>A244*1024/(C244*0.000001)/1000000000*C223</f>
        <v/>
      </c>
      <c r="G244">
        <f>E244/F244</f>
        <v/>
      </c>
    </row>
    <row r="245">
      <c r="A245" t="n">
        <v>262144</v>
      </c>
      <c r="B245" t="n">
        <v>164672</v>
      </c>
      <c r="C245">
        <f>C224+A245*1024*C222</f>
        <v/>
      </c>
      <c r="D245">
        <f>B245/C245</f>
        <v/>
      </c>
      <c r="E245" t="n">
        <v>3.06</v>
      </c>
      <c r="F245">
        <f>A245*1024/(C245*0.000001)/1000000000*C223</f>
        <v/>
      </c>
      <c r="G245">
        <f>E245/F245</f>
        <v/>
      </c>
    </row>
    <row r="246">
      <c r="A246" t="n">
        <v>524288</v>
      </c>
      <c r="B246" t="n">
        <v>329476</v>
      </c>
      <c r="C246">
        <f>C224+A246*1024*C222</f>
        <v/>
      </c>
      <c r="D246">
        <f>B246/C246</f>
        <v/>
      </c>
      <c r="E246" t="n">
        <v>3.06</v>
      </c>
      <c r="F246">
        <f>A246*1024/(C246*0.000001)/1000000000*C223</f>
        <v/>
      </c>
      <c r="G246">
        <f>E246/F246</f>
        <v/>
      </c>
    </row>
    <row r="247">
      <c r="A247" t="n">
        <v>1048576</v>
      </c>
      <c r="B247" t="n">
        <v>657834</v>
      </c>
      <c r="C247">
        <f>C224+A247*1024*C222</f>
        <v/>
      </c>
      <c r="D247">
        <f>B247/C247</f>
        <v/>
      </c>
      <c r="E247" t="n">
        <v>3.06</v>
      </c>
      <c r="F247">
        <f>A247*1024/(C247*0.000001)/1000000000*C223</f>
        <v/>
      </c>
      <c r="G247">
        <f>E247/F247</f>
        <v/>
      </c>
    </row>
    <row r="248"/>
    <row r="249">
      <c r="A249" t="inlineStr">
        <is>
          <t>Nodes: 16, Protocol: LL, Channels: 4</t>
        </is>
      </c>
    </row>
    <row r="250">
      <c r="A250" t="inlineStr">
        <is>
          <t>Parameter</t>
        </is>
      </c>
      <c r="B250" t="inlineStr">
        <is>
          <t>Formula</t>
        </is>
      </c>
      <c r="C250" t="inlineStr">
        <is>
          <t>Value</t>
        </is>
      </c>
    </row>
    <row r="251">
      <c r="A251" t="inlineStr">
        <is>
          <t>n</t>
        </is>
      </c>
      <c r="B251" t="inlineStr">
        <is>
          <t>nodes on tree</t>
        </is>
      </c>
      <c r="C251" t="n">
        <v>16</v>
      </c>
    </row>
    <row r="252">
      <c r="A252" t="inlineStr">
        <is>
          <t>nch</t>
        </is>
      </c>
      <c r="B252" t="inlineStr">
        <is>
          <t>channels</t>
        </is>
      </c>
      <c r="C252" t="n">
        <v>4</v>
      </c>
    </row>
    <row r="253">
      <c r="A253" t="inlineStr">
        <is>
          <t>a</t>
        </is>
      </c>
      <c r="B253" t="inlineStr">
        <is>
          <t>RTT (us)</t>
        </is>
      </c>
      <c r="C253" t="n">
        <v>25.8107</v>
      </c>
    </row>
    <row r="254">
      <c r="A254" t="inlineStr">
        <is>
          <t>NIC_BW</t>
        </is>
      </c>
      <c r="B254" t="inlineStr">
        <is>
          <t>bytes/us</t>
        </is>
      </c>
      <c r="C254" t="n">
        <v>48750</v>
      </c>
    </row>
    <row r="255">
      <c r="A255" t="inlineStr">
        <is>
          <t>NIC_BW_REAL</t>
        </is>
      </c>
      <c r="B255" t="inlineStr">
        <is>
          <t>(NIC_BW/2)/2</t>
        </is>
      </c>
      <c r="C255">
        <f>(C254/2)/2</f>
        <v/>
      </c>
    </row>
    <row r="256">
      <c r="A256" t="inlineStr">
        <is>
          <t>G</t>
        </is>
      </c>
      <c r="B256" t="inlineStr">
        <is>
          <t>1/NIC_BW_REAL</t>
        </is>
      </c>
      <c r="C256">
        <f>1/C255</f>
        <v/>
      </c>
    </row>
    <row r="257">
      <c r="A257" t="inlineStr">
        <is>
          <t>busbw_factor</t>
        </is>
      </c>
      <c r="B257" t="inlineStr">
        <is>
          <t>2*(n-1)/n</t>
        </is>
      </c>
      <c r="C257">
        <f>2*(C251-1)/C251</f>
        <v/>
      </c>
    </row>
    <row r="258">
      <c r="A258" t="inlineStr">
        <is>
          <t>fixed_overhead</t>
        </is>
      </c>
      <c r="B258" t="inlineStr">
        <is>
          <t>(2*LOG2(n)+1)*a/2</t>
        </is>
      </c>
      <c r="C258">
        <f>(2*LOG(C251,2)+1)*C253/2</f>
        <v/>
      </c>
    </row>
    <row r="259"/>
    <row r="260">
      <c r="A260" t="inlineStr">
        <is>
          <t>size_KB</t>
        </is>
      </c>
      <c r="B260" t="inlineStr">
        <is>
          <t>Actual Time (us)</t>
        </is>
      </c>
      <c r="C260" t="inlineStr">
        <is>
          <t>Roofline Time (us)</t>
        </is>
      </c>
      <c r="D260" t="inlineStr">
        <is>
          <t>Actual/Roofline</t>
        </is>
      </c>
      <c r="E260" t="inlineStr">
        <is>
          <t>Actual busBW (GB/s)</t>
        </is>
      </c>
      <c r="F260" t="inlineStr">
        <is>
          <t>Roofline busBW (GB/s)</t>
        </is>
      </c>
      <c r="G260" t="inlineStr">
        <is>
          <t>Meas/Roof busBW</t>
        </is>
      </c>
    </row>
    <row r="261">
      <c r="A261" t="n">
        <v>1</v>
      </c>
      <c r="B261" t="n">
        <v>126.99</v>
      </c>
      <c r="C261">
        <f>C258+A261*1024*C256</f>
        <v/>
      </c>
      <c r="D261">
        <f>B261/C261</f>
        <v/>
      </c>
      <c r="E261" t="n">
        <v>0.02</v>
      </c>
      <c r="F261">
        <f>A261*1024/(C261*0.000001)/1000000000*C257</f>
        <v/>
      </c>
      <c r="G261">
        <f>E261/F261</f>
        <v/>
      </c>
    </row>
    <row r="262">
      <c r="A262" t="n">
        <v>2</v>
      </c>
      <c r="B262" t="n">
        <v>130.36</v>
      </c>
      <c r="C262">
        <f>C258+A262*1024*C256</f>
        <v/>
      </c>
      <c r="D262">
        <f>B262/C262</f>
        <v/>
      </c>
      <c r="E262" t="n">
        <v>0.03</v>
      </c>
      <c r="F262">
        <f>A262*1024/(C262*0.000001)/1000000000*C257</f>
        <v/>
      </c>
      <c r="G262">
        <f>E262/F262</f>
        <v/>
      </c>
    </row>
    <row r="263">
      <c r="A263" t="n">
        <v>4</v>
      </c>
      <c r="B263" t="n">
        <v>148.09</v>
      </c>
      <c r="C263">
        <f>C258+A263*1024*C256</f>
        <v/>
      </c>
      <c r="D263">
        <f>B263/C263</f>
        <v/>
      </c>
      <c r="E263" t="n">
        <v>0.05</v>
      </c>
      <c r="F263">
        <f>A263*1024/(C263*0.000001)/1000000000*C257</f>
        <v/>
      </c>
      <c r="G263">
        <f>E263/F263</f>
        <v/>
      </c>
    </row>
    <row r="264">
      <c r="A264" t="n">
        <v>8</v>
      </c>
      <c r="B264" t="n">
        <v>153.04</v>
      </c>
      <c r="C264">
        <f>C258+A264*1024*C256</f>
        <v/>
      </c>
      <c r="D264">
        <f>B264/C264</f>
        <v/>
      </c>
      <c r="E264" t="n">
        <v>0.1</v>
      </c>
      <c r="F264">
        <f>A264*1024/(C264*0.000001)/1000000000*C257</f>
        <v/>
      </c>
      <c r="G264">
        <f>E264/F264</f>
        <v/>
      </c>
    </row>
    <row r="265">
      <c r="A265" t="n">
        <v>16</v>
      </c>
      <c r="B265" t="n">
        <v>155.01</v>
      </c>
      <c r="C265">
        <f>C258+A265*1024*C256</f>
        <v/>
      </c>
      <c r="D265">
        <f>B265/C265</f>
        <v/>
      </c>
      <c r="E265" t="n">
        <v>0.2</v>
      </c>
      <c r="F265">
        <f>A265*1024/(C265*0.000001)/1000000000*C257</f>
        <v/>
      </c>
      <c r="G265">
        <f>E265/F265</f>
        <v/>
      </c>
    </row>
    <row r="266">
      <c r="A266" t="n">
        <v>32</v>
      </c>
      <c r="B266" t="n">
        <v>171</v>
      </c>
      <c r="C266">
        <f>C258+A266*1024*C256</f>
        <v/>
      </c>
      <c r="D266">
        <f>B266/C266</f>
        <v/>
      </c>
      <c r="E266" t="n">
        <v>0.36</v>
      </c>
      <c r="F266">
        <f>A266*1024/(C266*0.000001)/1000000000*C257</f>
        <v/>
      </c>
      <c r="G266">
        <f>E266/F266</f>
        <v/>
      </c>
    </row>
    <row r="267">
      <c r="A267" t="n">
        <v>64</v>
      </c>
      <c r="B267" t="n">
        <v>197.97</v>
      </c>
      <c r="C267">
        <f>C258+A267*1024*C256</f>
        <v/>
      </c>
      <c r="D267">
        <f>B267/C267</f>
        <v/>
      </c>
      <c r="E267" t="n">
        <v>0.62</v>
      </c>
      <c r="F267">
        <f>A267*1024/(C267*0.000001)/1000000000*C257</f>
        <v/>
      </c>
      <c r="G267">
        <f>E267/F267</f>
        <v/>
      </c>
    </row>
    <row r="268">
      <c r="A268" t="n">
        <v>128</v>
      </c>
      <c r="B268" t="n">
        <v>250.96</v>
      </c>
      <c r="C268">
        <f>C258+A268*1024*C256</f>
        <v/>
      </c>
      <c r="D268">
        <f>B268/C268</f>
        <v/>
      </c>
      <c r="E268" t="n">
        <v>0.98</v>
      </c>
      <c r="F268">
        <f>A268*1024/(C268*0.000001)/1000000000*C257</f>
        <v/>
      </c>
      <c r="G268">
        <f>E268/F268</f>
        <v/>
      </c>
    </row>
    <row r="269">
      <c r="A269" t="n">
        <v>256</v>
      </c>
      <c r="B269" t="n">
        <v>293.55</v>
      </c>
      <c r="C269">
        <f>C258+A269*1024*C256</f>
        <v/>
      </c>
      <c r="D269">
        <f>B269/C269</f>
        <v/>
      </c>
      <c r="E269" t="n">
        <v>1.67</v>
      </c>
      <c r="F269">
        <f>A269*1024/(C269*0.000001)/1000000000*C257</f>
        <v/>
      </c>
      <c r="G269">
        <f>E269/F269</f>
        <v/>
      </c>
    </row>
    <row r="270">
      <c r="A270" t="n">
        <v>512</v>
      </c>
      <c r="B270" t="n">
        <v>383.43</v>
      </c>
      <c r="C270">
        <f>C258+A270*1024*C256</f>
        <v/>
      </c>
      <c r="D270">
        <f>B270/C270</f>
        <v/>
      </c>
      <c r="E270" t="n">
        <v>2.56</v>
      </c>
      <c r="F270">
        <f>A270*1024/(C270*0.000001)/1000000000*C257</f>
        <v/>
      </c>
      <c r="G270">
        <f>E270/F270</f>
        <v/>
      </c>
    </row>
    <row r="271">
      <c r="A271" t="n">
        <v>1024</v>
      </c>
      <c r="B271" t="n">
        <v>573.14</v>
      </c>
      <c r="C271">
        <f>C258+A271*1024*C256</f>
        <v/>
      </c>
      <c r="D271">
        <f>B271/C271</f>
        <v/>
      </c>
      <c r="E271" t="n">
        <v>3.43</v>
      </c>
      <c r="F271">
        <f>A271*1024/(C271*0.000001)/1000000000*C257</f>
        <v/>
      </c>
      <c r="G271">
        <f>E271/F271</f>
        <v/>
      </c>
    </row>
    <row r="272">
      <c r="A272" t="n">
        <v>2048</v>
      </c>
      <c r="B272" t="n">
        <v>990.24</v>
      </c>
      <c r="C272">
        <f>C258+A272*1024*C256</f>
        <v/>
      </c>
      <c r="D272">
        <f>B272/C272</f>
        <v/>
      </c>
      <c r="E272" t="n">
        <v>3.97</v>
      </c>
      <c r="F272">
        <f>A272*1024/(C272*0.000001)/1000000000*C257</f>
        <v/>
      </c>
      <c r="G272">
        <f>E272/F272</f>
        <v/>
      </c>
    </row>
    <row r="273">
      <c r="A273" t="n">
        <v>4096</v>
      </c>
      <c r="B273" t="n">
        <v>1816.17</v>
      </c>
      <c r="C273">
        <f>C258+A273*1024*C256</f>
        <v/>
      </c>
      <c r="D273">
        <f>B273/C273</f>
        <v/>
      </c>
      <c r="E273" t="n">
        <v>4.33</v>
      </c>
      <c r="F273">
        <f>A273*1024/(C273*0.000001)/1000000000*C257</f>
        <v/>
      </c>
      <c r="G273">
        <f>E273/F273</f>
        <v/>
      </c>
    </row>
    <row r="274">
      <c r="A274" t="n">
        <v>8192</v>
      </c>
      <c r="B274" t="n">
        <v>3501.83</v>
      </c>
      <c r="C274">
        <f>C258+A274*1024*C256</f>
        <v/>
      </c>
      <c r="D274">
        <f>B274/C274</f>
        <v/>
      </c>
      <c r="E274" t="n">
        <v>4.49</v>
      </c>
      <c r="F274">
        <f>A274*1024/(C274*0.000001)/1000000000*C257</f>
        <v/>
      </c>
      <c r="G274">
        <f>E274/F274</f>
        <v/>
      </c>
    </row>
    <row r="275">
      <c r="A275" t="n">
        <v>16384</v>
      </c>
      <c r="B275" t="n">
        <v>6859.27</v>
      </c>
      <c r="C275">
        <f>C258+A275*1024*C256</f>
        <v/>
      </c>
      <c r="D275">
        <f>B275/C275</f>
        <v/>
      </c>
      <c r="E275" t="n">
        <v>4.59</v>
      </c>
      <c r="F275">
        <f>A275*1024/(C275*0.000001)/1000000000*C257</f>
        <v/>
      </c>
      <c r="G275">
        <f>E275/F275</f>
        <v/>
      </c>
    </row>
    <row r="276">
      <c r="A276" t="n">
        <v>32768</v>
      </c>
      <c r="B276" t="n">
        <v>13545.4</v>
      </c>
      <c r="C276">
        <f>C258+A276*1024*C256</f>
        <v/>
      </c>
      <c r="D276">
        <f>B276/C276</f>
        <v/>
      </c>
      <c r="E276" t="n">
        <v>4.64</v>
      </c>
      <c r="F276">
        <f>A276*1024/(C276*0.000001)/1000000000*C257</f>
        <v/>
      </c>
      <c r="G276">
        <f>E276/F276</f>
        <v/>
      </c>
    </row>
    <row r="277">
      <c r="A277" t="n">
        <v>65536</v>
      </c>
      <c r="B277" t="n">
        <v>26930.8</v>
      </c>
      <c r="C277">
        <f>C258+A277*1024*C256</f>
        <v/>
      </c>
      <c r="D277">
        <f>B277/C277</f>
        <v/>
      </c>
      <c r="E277" t="n">
        <v>4.67</v>
      </c>
      <c r="F277">
        <f>A277*1024/(C277*0.000001)/1000000000*C257</f>
        <v/>
      </c>
      <c r="G277">
        <f>E277/F277</f>
        <v/>
      </c>
    </row>
    <row r="278">
      <c r="A278" t="n">
        <v>131072</v>
      </c>
      <c r="B278" t="n">
        <v>53668.3</v>
      </c>
      <c r="C278">
        <f>C258+A278*1024*C256</f>
        <v/>
      </c>
      <c r="D278">
        <f>B278/C278</f>
        <v/>
      </c>
      <c r="E278" t="n">
        <v>4.69</v>
      </c>
      <c r="F278">
        <f>A278*1024/(C278*0.000001)/1000000000*C257</f>
        <v/>
      </c>
      <c r="G278">
        <f>E278/F278</f>
        <v/>
      </c>
    </row>
    <row r="279">
      <c r="A279" t="n">
        <v>262144</v>
      </c>
      <c r="B279" t="n">
        <v>107317</v>
      </c>
      <c r="C279">
        <f>C258+A279*1024*C256</f>
        <v/>
      </c>
      <c r="D279">
        <f>B279/C279</f>
        <v/>
      </c>
      <c r="E279" t="n">
        <v>4.69</v>
      </c>
      <c r="F279">
        <f>A279*1024/(C279*0.000001)/1000000000*C257</f>
        <v/>
      </c>
      <c r="G279">
        <f>E279/F279</f>
        <v/>
      </c>
    </row>
    <row r="280">
      <c r="A280" t="n">
        <v>524288</v>
      </c>
      <c r="B280" t="n">
        <v>214041</v>
      </c>
      <c r="C280">
        <f>C258+A280*1024*C256</f>
        <v/>
      </c>
      <c r="D280">
        <f>B280/C280</f>
        <v/>
      </c>
      <c r="E280" t="n">
        <v>4.7</v>
      </c>
      <c r="F280">
        <f>A280*1024/(C280*0.000001)/1000000000*C257</f>
        <v/>
      </c>
      <c r="G280">
        <f>E280/F280</f>
        <v/>
      </c>
    </row>
    <row r="281">
      <c r="A281" t="n">
        <v>1048576</v>
      </c>
      <c r="B281" t="n">
        <v>428525</v>
      </c>
      <c r="C281">
        <f>C258+A281*1024*C256</f>
        <v/>
      </c>
      <c r="D281">
        <f>B281/C281</f>
        <v/>
      </c>
      <c r="E281" t="n">
        <v>4.7</v>
      </c>
      <c r="F281">
        <f>A281*1024/(C281*0.000001)/1000000000*C257</f>
        <v/>
      </c>
      <c r="G281">
        <f>E281/F281</f>
        <v/>
      </c>
    </row>
    <row r="282"/>
    <row r="283">
      <c r="A283" t="inlineStr">
        <is>
          <t>Nodes: 16, Protocol: LL, Channels: 8</t>
        </is>
      </c>
    </row>
    <row r="284">
      <c r="A284" t="inlineStr">
        <is>
          <t>Parameter</t>
        </is>
      </c>
      <c r="B284" t="inlineStr">
        <is>
          <t>Formula</t>
        </is>
      </c>
      <c r="C284" t="inlineStr">
        <is>
          <t>Value</t>
        </is>
      </c>
    </row>
    <row r="285">
      <c r="A285" t="inlineStr">
        <is>
          <t>n</t>
        </is>
      </c>
      <c r="B285" t="inlineStr">
        <is>
          <t>nodes on tree</t>
        </is>
      </c>
      <c r="C285" t="n">
        <v>16</v>
      </c>
    </row>
    <row r="286">
      <c r="A286" t="inlineStr">
        <is>
          <t>nch</t>
        </is>
      </c>
      <c r="B286" t="inlineStr">
        <is>
          <t>channels</t>
        </is>
      </c>
      <c r="C286" t="n">
        <v>8</v>
      </c>
    </row>
    <row r="287">
      <c r="A287" t="inlineStr">
        <is>
          <t>a</t>
        </is>
      </c>
      <c r="B287" t="inlineStr">
        <is>
          <t>RTT (us)</t>
        </is>
      </c>
      <c r="C287" t="n">
        <v>25.8107</v>
      </c>
    </row>
    <row r="288">
      <c r="A288" t="inlineStr">
        <is>
          <t>NIC_BW</t>
        </is>
      </c>
      <c r="B288" t="inlineStr">
        <is>
          <t>bytes/us</t>
        </is>
      </c>
      <c r="C288" t="n">
        <v>48750</v>
      </c>
    </row>
    <row r="289">
      <c r="A289" t="inlineStr">
        <is>
          <t>NIC_BW_REAL</t>
        </is>
      </c>
      <c r="B289" t="inlineStr">
        <is>
          <t>(NIC_BW/2)/2</t>
        </is>
      </c>
      <c r="C289">
        <f>(C288/2)/2</f>
        <v/>
      </c>
    </row>
    <row r="290">
      <c r="A290" t="inlineStr">
        <is>
          <t>G</t>
        </is>
      </c>
      <c r="B290" t="inlineStr">
        <is>
          <t>1/NIC_BW_REAL</t>
        </is>
      </c>
      <c r="C290">
        <f>1/C289</f>
        <v/>
      </c>
    </row>
    <row r="291">
      <c r="A291" t="inlineStr">
        <is>
          <t>busbw_factor</t>
        </is>
      </c>
      <c r="B291" t="inlineStr">
        <is>
          <t>2*(n-1)/n</t>
        </is>
      </c>
      <c r="C291">
        <f>2*(C285-1)/C285</f>
        <v/>
      </c>
    </row>
    <row r="292">
      <c r="A292" t="inlineStr">
        <is>
          <t>fixed_overhead</t>
        </is>
      </c>
      <c r="B292" t="inlineStr">
        <is>
          <t>(2*LOG2(n)+1)*a/2</t>
        </is>
      </c>
      <c r="C292">
        <f>(2*LOG(C285,2)+1)*C287/2</f>
        <v/>
      </c>
    </row>
    <row r="293"/>
    <row r="294">
      <c r="A294" t="inlineStr">
        <is>
          <t>size_KB</t>
        </is>
      </c>
      <c r="B294" t="inlineStr">
        <is>
          <t>Actual Time (us)</t>
        </is>
      </c>
      <c r="C294" t="inlineStr">
        <is>
          <t>Roofline Time (us)</t>
        </is>
      </c>
      <c r="D294" t="inlineStr">
        <is>
          <t>Actual/Roofline</t>
        </is>
      </c>
      <c r="E294" t="inlineStr">
        <is>
          <t>Actual busBW (GB/s)</t>
        </is>
      </c>
      <c r="F294" t="inlineStr">
        <is>
          <t>Roofline busBW (GB/s)</t>
        </is>
      </c>
      <c r="G294" t="inlineStr">
        <is>
          <t>Meas/Roof busBW</t>
        </is>
      </c>
    </row>
    <row r="295">
      <c r="A295" t="n">
        <v>1</v>
      </c>
      <c r="B295" t="n">
        <v>137.44</v>
      </c>
      <c r="C295">
        <f>C292+A295*1024*C290</f>
        <v/>
      </c>
      <c r="D295">
        <f>B295/C295</f>
        <v/>
      </c>
      <c r="E295" t="n">
        <v>0.01</v>
      </c>
      <c r="F295">
        <f>A295*1024/(C295*0.000001)/1000000000*C291</f>
        <v/>
      </c>
      <c r="G295">
        <f>E295/F295</f>
        <v/>
      </c>
    </row>
    <row r="296">
      <c r="A296" t="n">
        <v>2</v>
      </c>
      <c r="B296" t="n">
        <v>130.78</v>
      </c>
      <c r="C296">
        <f>C292+A296*1024*C290</f>
        <v/>
      </c>
      <c r="D296">
        <f>B296/C296</f>
        <v/>
      </c>
      <c r="E296" t="n">
        <v>0.03</v>
      </c>
      <c r="F296">
        <f>A296*1024/(C296*0.000001)/1000000000*C291</f>
        <v/>
      </c>
      <c r="G296">
        <f>E296/F296</f>
        <v/>
      </c>
    </row>
    <row r="297">
      <c r="A297" t="n">
        <v>4</v>
      </c>
      <c r="B297" t="n">
        <v>148.44</v>
      </c>
      <c r="C297">
        <f>C292+A297*1024*C290</f>
        <v/>
      </c>
      <c r="D297">
        <f>B297/C297</f>
        <v/>
      </c>
      <c r="E297" t="n">
        <v>0.05</v>
      </c>
      <c r="F297">
        <f>A297*1024/(C297*0.000001)/1000000000*C291</f>
        <v/>
      </c>
      <c r="G297">
        <f>E297/F297</f>
        <v/>
      </c>
    </row>
    <row r="298">
      <c r="A298" t="n">
        <v>8</v>
      </c>
      <c r="B298" t="n">
        <v>153.61</v>
      </c>
      <c r="C298">
        <f>C292+A298*1024*C290</f>
        <v/>
      </c>
      <c r="D298">
        <f>B298/C298</f>
        <v/>
      </c>
      <c r="E298" t="n">
        <v>0.1</v>
      </c>
      <c r="F298">
        <f>A298*1024/(C298*0.000001)/1000000000*C291</f>
        <v/>
      </c>
      <c r="G298">
        <f>E298/F298</f>
        <v/>
      </c>
    </row>
    <row r="299">
      <c r="A299" t="n">
        <v>16</v>
      </c>
      <c r="B299" t="n">
        <v>155.33</v>
      </c>
      <c r="C299">
        <f>C292+A299*1024*C290</f>
        <v/>
      </c>
      <c r="D299">
        <f>B299/C299</f>
        <v/>
      </c>
      <c r="E299" t="n">
        <v>0.2</v>
      </c>
      <c r="F299">
        <f>A299*1024/(C299*0.000001)/1000000000*C291</f>
        <v/>
      </c>
      <c r="G299">
        <f>E299/F299</f>
        <v/>
      </c>
    </row>
    <row r="300">
      <c r="A300" t="n">
        <v>32</v>
      </c>
      <c r="B300" t="n">
        <v>168.81</v>
      </c>
      <c r="C300">
        <f>C292+A300*1024*C290</f>
        <v/>
      </c>
      <c r="D300">
        <f>B300/C300</f>
        <v/>
      </c>
      <c r="E300" t="n">
        <v>0.36</v>
      </c>
      <c r="F300">
        <f>A300*1024/(C300*0.000001)/1000000000*C291</f>
        <v/>
      </c>
      <c r="G300">
        <f>E300/F300</f>
        <v/>
      </c>
    </row>
    <row r="301">
      <c r="A301" t="n">
        <v>64</v>
      </c>
      <c r="B301" t="n">
        <v>186.9</v>
      </c>
      <c r="C301">
        <f>C292+A301*1024*C290</f>
        <v/>
      </c>
      <c r="D301">
        <f>B301/C301</f>
        <v/>
      </c>
      <c r="E301" t="n">
        <v>0.66</v>
      </c>
      <c r="F301">
        <f>A301*1024/(C301*0.000001)/1000000000*C291</f>
        <v/>
      </c>
      <c r="G301">
        <f>E301/F301</f>
        <v/>
      </c>
    </row>
    <row r="302">
      <c r="A302" t="n">
        <v>128</v>
      </c>
      <c r="B302" t="n">
        <v>225.18</v>
      </c>
      <c r="C302">
        <f>C292+A302*1024*C290</f>
        <v/>
      </c>
      <c r="D302">
        <f>B302/C302</f>
        <v/>
      </c>
      <c r="E302" t="n">
        <v>1.09</v>
      </c>
      <c r="F302">
        <f>A302*1024/(C302*0.000001)/1000000000*C291</f>
        <v/>
      </c>
      <c r="G302">
        <f>E302/F302</f>
        <v/>
      </c>
    </row>
    <row r="303">
      <c r="A303" t="n">
        <v>256</v>
      </c>
      <c r="B303" t="n">
        <v>307.72</v>
      </c>
      <c r="C303">
        <f>C292+A303*1024*C290</f>
        <v/>
      </c>
      <c r="D303">
        <f>B303/C303</f>
        <v/>
      </c>
      <c r="E303" t="n">
        <v>1.6</v>
      </c>
      <c r="F303">
        <f>A303*1024/(C303*0.000001)/1000000000*C291</f>
        <v/>
      </c>
      <c r="G303">
        <f>E303/F303</f>
        <v/>
      </c>
    </row>
    <row r="304">
      <c r="A304" t="n">
        <v>512</v>
      </c>
      <c r="B304" t="n">
        <v>391</v>
      </c>
      <c r="C304">
        <f>C292+A304*1024*C290</f>
        <v/>
      </c>
      <c r="D304">
        <f>B304/C304</f>
        <v/>
      </c>
      <c r="E304" t="n">
        <v>2.51</v>
      </c>
      <c r="F304">
        <f>A304*1024/(C304*0.000001)/1000000000*C291</f>
        <v/>
      </c>
      <c r="G304">
        <f>E304/F304</f>
        <v/>
      </c>
    </row>
    <row r="305">
      <c r="A305" t="n">
        <v>1024</v>
      </c>
      <c r="B305" t="n">
        <v>588.6799999999999</v>
      </c>
      <c r="C305">
        <f>C292+A305*1024*C290</f>
        <v/>
      </c>
      <c r="D305">
        <f>B305/C305</f>
        <v/>
      </c>
      <c r="E305" t="n">
        <v>3.34</v>
      </c>
      <c r="F305">
        <f>A305*1024/(C305*0.000001)/1000000000*C291</f>
        <v/>
      </c>
      <c r="G305">
        <f>E305/F305</f>
        <v/>
      </c>
    </row>
    <row r="306">
      <c r="A306" t="n">
        <v>2048</v>
      </c>
      <c r="B306" t="n">
        <v>1009.53</v>
      </c>
      <c r="C306">
        <f>C292+A306*1024*C290</f>
        <v/>
      </c>
      <c r="D306">
        <f>B306/C306</f>
        <v/>
      </c>
      <c r="E306" t="n">
        <v>3.9</v>
      </c>
      <c r="F306">
        <f>A306*1024/(C306*0.000001)/1000000000*C291</f>
        <v/>
      </c>
      <c r="G306">
        <f>E306/F306</f>
        <v/>
      </c>
    </row>
    <row r="307">
      <c r="A307" t="n">
        <v>4096</v>
      </c>
      <c r="B307" t="n">
        <v>1828.19</v>
      </c>
      <c r="C307">
        <f>C292+A307*1024*C290</f>
        <v/>
      </c>
      <c r="D307">
        <f>B307/C307</f>
        <v/>
      </c>
      <c r="E307" t="n">
        <v>4.3</v>
      </c>
      <c r="F307">
        <f>A307*1024/(C307*0.000001)/1000000000*C291</f>
        <v/>
      </c>
      <c r="G307">
        <f>E307/F307</f>
        <v/>
      </c>
    </row>
    <row r="308">
      <c r="A308" t="n">
        <v>8192</v>
      </c>
      <c r="B308" t="n">
        <v>3461.95</v>
      </c>
      <c r="C308">
        <f>C292+A308*1024*C290</f>
        <v/>
      </c>
      <c r="D308">
        <f>B308/C308</f>
        <v/>
      </c>
      <c r="E308" t="n">
        <v>4.54</v>
      </c>
      <c r="F308">
        <f>A308*1024/(C308*0.000001)/1000000000*C291</f>
        <v/>
      </c>
      <c r="G308">
        <f>E308/F308</f>
        <v/>
      </c>
    </row>
    <row r="309">
      <c r="A309" t="n">
        <v>16384</v>
      </c>
      <c r="B309" t="n">
        <v>6720.66</v>
      </c>
      <c r="C309">
        <f>C292+A309*1024*C290</f>
        <v/>
      </c>
      <c r="D309">
        <f>B309/C309</f>
        <v/>
      </c>
      <c r="E309" t="n">
        <v>4.68</v>
      </c>
      <c r="F309">
        <f>A309*1024/(C309*0.000001)/1000000000*C291</f>
        <v/>
      </c>
      <c r="G309">
        <f>E309/F309</f>
        <v/>
      </c>
    </row>
    <row r="310">
      <c r="A310" t="n">
        <v>32768</v>
      </c>
      <c r="B310" t="n">
        <v>13240.2</v>
      </c>
      <c r="C310">
        <f>C292+A310*1024*C290</f>
        <v/>
      </c>
      <c r="D310">
        <f>B310/C310</f>
        <v/>
      </c>
      <c r="E310" t="n">
        <v>4.75</v>
      </c>
      <c r="F310">
        <f>A310*1024/(C310*0.000001)/1000000000*C291</f>
        <v/>
      </c>
      <c r="G310">
        <f>E310/F310</f>
        <v/>
      </c>
    </row>
    <row r="311">
      <c r="A311" t="n">
        <v>65536</v>
      </c>
      <c r="B311" t="n">
        <v>26286.1</v>
      </c>
      <c r="C311">
        <f>C292+A311*1024*C290</f>
        <v/>
      </c>
      <c r="D311">
        <f>B311/C311</f>
        <v/>
      </c>
      <c r="E311" t="n">
        <v>4.79</v>
      </c>
      <c r="F311">
        <f>A311*1024/(C311*0.000001)/1000000000*C291</f>
        <v/>
      </c>
      <c r="G311">
        <f>E311/F311</f>
        <v/>
      </c>
    </row>
    <row r="312">
      <c r="A312" t="n">
        <v>131072</v>
      </c>
      <c r="B312" t="n">
        <v>52351.2</v>
      </c>
      <c r="C312">
        <f>C292+A312*1024*C290</f>
        <v/>
      </c>
      <c r="D312">
        <f>B312/C312</f>
        <v/>
      </c>
      <c r="E312" t="n">
        <v>4.81</v>
      </c>
      <c r="F312">
        <f>A312*1024/(C312*0.000001)/1000000000*C291</f>
        <v/>
      </c>
      <c r="G312">
        <f>E312/F312</f>
        <v/>
      </c>
    </row>
    <row r="313">
      <c r="A313" t="n">
        <v>262144</v>
      </c>
      <c r="B313" t="n">
        <v>104437</v>
      </c>
      <c r="C313">
        <f>C292+A313*1024*C290</f>
        <v/>
      </c>
      <c r="D313">
        <f>B313/C313</f>
        <v/>
      </c>
      <c r="E313" t="n">
        <v>4.82</v>
      </c>
      <c r="F313">
        <f>A313*1024/(C313*0.000001)/1000000000*C291</f>
        <v/>
      </c>
      <c r="G313">
        <f>E313/F313</f>
        <v/>
      </c>
    </row>
    <row r="314">
      <c r="A314" t="n">
        <v>524288</v>
      </c>
      <c r="B314" t="n">
        <v>208986</v>
      </c>
      <c r="C314">
        <f>C292+A314*1024*C290</f>
        <v/>
      </c>
      <c r="D314">
        <f>B314/C314</f>
        <v/>
      </c>
      <c r="E314" t="n">
        <v>4.82</v>
      </c>
      <c r="F314">
        <f>A314*1024/(C314*0.000001)/1000000000*C291</f>
        <v/>
      </c>
      <c r="G314">
        <f>E314/F314</f>
        <v/>
      </c>
    </row>
    <row r="315">
      <c r="A315" t="n">
        <v>1048576</v>
      </c>
      <c r="B315" t="n">
        <v>418599</v>
      </c>
      <c r="C315">
        <f>C292+A315*1024*C290</f>
        <v/>
      </c>
      <c r="D315">
        <f>B315/C315</f>
        <v/>
      </c>
      <c r="E315" t="n">
        <v>4.81</v>
      </c>
      <c r="F315">
        <f>A315*1024/(C315*0.000001)/1000000000*C291</f>
        <v/>
      </c>
      <c r="G315">
        <f>E315/F315</f>
        <v/>
      </c>
    </row>
    <row r="316"/>
    <row r="317">
      <c r="A317" t="inlineStr">
        <is>
          <t>Nodes: 16, Protocol: LL, Channels: 16</t>
        </is>
      </c>
    </row>
    <row r="318">
      <c r="A318" t="inlineStr">
        <is>
          <t>Parameter</t>
        </is>
      </c>
      <c r="B318" t="inlineStr">
        <is>
          <t>Formula</t>
        </is>
      </c>
      <c r="C318" t="inlineStr">
        <is>
          <t>Value</t>
        </is>
      </c>
    </row>
    <row r="319">
      <c r="A319" t="inlineStr">
        <is>
          <t>n</t>
        </is>
      </c>
      <c r="B319" t="inlineStr">
        <is>
          <t>nodes on tree</t>
        </is>
      </c>
      <c r="C319" t="n">
        <v>16</v>
      </c>
    </row>
    <row r="320">
      <c r="A320" t="inlineStr">
        <is>
          <t>nch</t>
        </is>
      </c>
      <c r="B320" t="inlineStr">
        <is>
          <t>channels</t>
        </is>
      </c>
      <c r="C320" t="n">
        <v>16</v>
      </c>
    </row>
    <row r="321">
      <c r="A321" t="inlineStr">
        <is>
          <t>a</t>
        </is>
      </c>
      <c r="B321" t="inlineStr">
        <is>
          <t>RTT (us)</t>
        </is>
      </c>
      <c r="C321" t="n">
        <v>25.8107</v>
      </c>
    </row>
    <row r="322">
      <c r="A322" t="inlineStr">
        <is>
          <t>NIC_BW</t>
        </is>
      </c>
      <c r="B322" t="inlineStr">
        <is>
          <t>bytes/us</t>
        </is>
      </c>
      <c r="C322" t="n">
        <v>48750</v>
      </c>
    </row>
    <row r="323">
      <c r="A323" t="inlineStr">
        <is>
          <t>NIC_BW_REAL</t>
        </is>
      </c>
      <c r="B323" t="inlineStr">
        <is>
          <t>(NIC_BW/2)/2</t>
        </is>
      </c>
      <c r="C323">
        <f>(C322/2)/2</f>
        <v/>
      </c>
    </row>
    <row r="324">
      <c r="A324" t="inlineStr">
        <is>
          <t>G</t>
        </is>
      </c>
      <c r="B324" t="inlineStr">
        <is>
          <t>1/NIC_BW_REAL</t>
        </is>
      </c>
      <c r="C324">
        <f>1/C323</f>
        <v/>
      </c>
    </row>
    <row r="325">
      <c r="A325" t="inlineStr">
        <is>
          <t>busbw_factor</t>
        </is>
      </c>
      <c r="B325" t="inlineStr">
        <is>
          <t>2*(n-1)/n</t>
        </is>
      </c>
      <c r="C325">
        <f>2*(C319-1)/C319</f>
        <v/>
      </c>
    </row>
    <row r="326">
      <c r="A326" t="inlineStr">
        <is>
          <t>fixed_overhead</t>
        </is>
      </c>
      <c r="B326" t="inlineStr">
        <is>
          <t>(2*LOG2(n)+1)*a/2</t>
        </is>
      </c>
      <c r="C326">
        <f>(2*LOG(C319,2)+1)*C321/2</f>
        <v/>
      </c>
    </row>
    <row r="327"/>
    <row r="328">
      <c r="A328" t="inlineStr">
        <is>
          <t>size_KB</t>
        </is>
      </c>
      <c r="B328" t="inlineStr">
        <is>
          <t>Actual Time (us)</t>
        </is>
      </c>
      <c r="C328" t="inlineStr">
        <is>
          <t>Roofline Time (us)</t>
        </is>
      </c>
      <c r="D328" t="inlineStr">
        <is>
          <t>Actual/Roofline</t>
        </is>
      </c>
      <c r="E328" t="inlineStr">
        <is>
          <t>Actual busBW (GB/s)</t>
        </is>
      </c>
      <c r="F328" t="inlineStr">
        <is>
          <t>Roofline busBW (GB/s)</t>
        </is>
      </c>
      <c r="G328" t="inlineStr">
        <is>
          <t>Meas/Roof busBW</t>
        </is>
      </c>
    </row>
    <row r="329">
      <c r="A329" t="n">
        <v>1</v>
      </c>
      <c r="B329" t="n">
        <v>128.03</v>
      </c>
      <c r="C329">
        <f>C326+A329*1024*C324</f>
        <v/>
      </c>
      <c r="D329">
        <f>B329/C329</f>
        <v/>
      </c>
      <c r="E329" t="n">
        <v>0.01</v>
      </c>
      <c r="F329">
        <f>A329*1024/(C329*0.000001)/1000000000*C325</f>
        <v/>
      </c>
      <c r="G329">
        <f>E329/F329</f>
        <v/>
      </c>
    </row>
    <row r="330">
      <c r="A330" t="n">
        <v>2</v>
      </c>
      <c r="B330" t="n">
        <v>130.55</v>
      </c>
      <c r="C330">
        <f>C326+A330*1024*C324</f>
        <v/>
      </c>
      <c r="D330">
        <f>B330/C330</f>
        <v/>
      </c>
      <c r="E330" t="n">
        <v>0.03</v>
      </c>
      <c r="F330">
        <f>A330*1024/(C330*0.000001)/1000000000*C325</f>
        <v/>
      </c>
      <c r="G330">
        <f>E330/F330</f>
        <v/>
      </c>
    </row>
    <row r="331">
      <c r="A331" t="n">
        <v>4</v>
      </c>
      <c r="B331" t="n">
        <v>148.51</v>
      </c>
      <c r="C331">
        <f>C326+A331*1024*C324</f>
        <v/>
      </c>
      <c r="D331">
        <f>B331/C331</f>
        <v/>
      </c>
      <c r="E331" t="n">
        <v>0.05</v>
      </c>
      <c r="F331">
        <f>A331*1024/(C331*0.000001)/1000000000*C325</f>
        <v/>
      </c>
      <c r="G331">
        <f>E331/F331</f>
        <v/>
      </c>
    </row>
    <row r="332">
      <c r="A332" t="n">
        <v>8</v>
      </c>
      <c r="B332" t="n">
        <v>153.37</v>
      </c>
      <c r="C332">
        <f>C326+A332*1024*C324</f>
        <v/>
      </c>
      <c r="D332">
        <f>B332/C332</f>
        <v/>
      </c>
      <c r="E332" t="n">
        <v>0.1</v>
      </c>
      <c r="F332">
        <f>A332*1024/(C332*0.000001)/1000000000*C325</f>
        <v/>
      </c>
      <c r="G332">
        <f>E332/F332</f>
        <v/>
      </c>
    </row>
    <row r="333">
      <c r="A333" t="n">
        <v>16</v>
      </c>
      <c r="B333" t="n">
        <v>155.64</v>
      </c>
      <c r="C333">
        <f>C326+A333*1024*C324</f>
        <v/>
      </c>
      <c r="D333">
        <f>B333/C333</f>
        <v/>
      </c>
      <c r="E333" t="n">
        <v>0.2</v>
      </c>
      <c r="F333">
        <f>A333*1024/(C333*0.000001)/1000000000*C325</f>
        <v/>
      </c>
      <c r="G333">
        <f>E333/F333</f>
        <v/>
      </c>
    </row>
    <row r="334">
      <c r="A334" t="n">
        <v>32</v>
      </c>
      <c r="B334" t="n">
        <v>169.72</v>
      </c>
      <c r="C334">
        <f>C326+A334*1024*C324</f>
        <v/>
      </c>
      <c r="D334">
        <f>B334/C334</f>
        <v/>
      </c>
      <c r="E334" t="n">
        <v>0.36</v>
      </c>
      <c r="F334">
        <f>A334*1024/(C334*0.000001)/1000000000*C325</f>
        <v/>
      </c>
      <c r="G334">
        <f>E334/F334</f>
        <v/>
      </c>
    </row>
    <row r="335">
      <c r="A335" t="n">
        <v>64</v>
      </c>
      <c r="B335" t="n">
        <v>206.45</v>
      </c>
      <c r="C335">
        <f>C326+A335*1024*C324</f>
        <v/>
      </c>
      <c r="D335">
        <f>B335/C335</f>
        <v/>
      </c>
      <c r="E335" t="n">
        <v>0.6</v>
      </c>
      <c r="F335">
        <f>A335*1024/(C335*0.000001)/1000000000*C325</f>
        <v/>
      </c>
      <c r="G335">
        <f>E335/F335</f>
        <v/>
      </c>
    </row>
    <row r="336">
      <c r="A336" t="n">
        <v>128</v>
      </c>
      <c r="B336" t="n">
        <v>227.45</v>
      </c>
      <c r="C336">
        <f>C326+A336*1024*C324</f>
        <v/>
      </c>
      <c r="D336">
        <f>B336/C336</f>
        <v/>
      </c>
      <c r="E336" t="n">
        <v>1.08</v>
      </c>
      <c r="F336">
        <f>A336*1024/(C336*0.000001)/1000000000*C325</f>
        <v/>
      </c>
      <c r="G336">
        <f>E336/F336</f>
        <v/>
      </c>
    </row>
    <row r="337">
      <c r="A337" t="n">
        <v>256</v>
      </c>
      <c r="B337" t="n">
        <v>284.48</v>
      </c>
      <c r="C337">
        <f>C326+A337*1024*C324</f>
        <v/>
      </c>
      <c r="D337">
        <f>B337/C337</f>
        <v/>
      </c>
      <c r="E337" t="n">
        <v>1.73</v>
      </c>
      <c r="F337">
        <f>A337*1024/(C337*0.000001)/1000000000*C325</f>
        <v/>
      </c>
      <c r="G337">
        <f>E337/F337</f>
        <v/>
      </c>
    </row>
    <row r="338">
      <c r="A338" t="n">
        <v>512</v>
      </c>
      <c r="B338" t="n">
        <v>421.46</v>
      </c>
      <c r="C338">
        <f>C326+A338*1024*C324</f>
        <v/>
      </c>
      <c r="D338">
        <f>B338/C338</f>
        <v/>
      </c>
      <c r="E338" t="n">
        <v>2.33</v>
      </c>
      <c r="F338">
        <f>A338*1024/(C338*0.000001)/1000000000*C325</f>
        <v/>
      </c>
      <c r="G338">
        <f>E338/F338</f>
        <v/>
      </c>
    </row>
    <row r="339">
      <c r="A339" t="n">
        <v>1024</v>
      </c>
      <c r="B339" t="n">
        <v>628.36</v>
      </c>
      <c r="C339">
        <f>C326+A339*1024*C324</f>
        <v/>
      </c>
      <c r="D339">
        <f>B339/C339</f>
        <v/>
      </c>
      <c r="E339" t="n">
        <v>3.13</v>
      </c>
      <c r="F339">
        <f>A339*1024/(C339*0.000001)/1000000000*C325</f>
        <v/>
      </c>
      <c r="G339">
        <f>E339/F339</f>
        <v/>
      </c>
    </row>
    <row r="340">
      <c r="A340" t="n">
        <v>2048</v>
      </c>
      <c r="B340" t="n">
        <v>1042.92</v>
      </c>
      <c r="C340">
        <f>C326+A340*1024*C324</f>
        <v/>
      </c>
      <c r="D340">
        <f>B340/C340</f>
        <v/>
      </c>
      <c r="E340" t="n">
        <v>3.77</v>
      </c>
      <c r="F340">
        <f>A340*1024/(C340*0.000001)/1000000000*C325</f>
        <v/>
      </c>
      <c r="G340">
        <f>E340/F340</f>
        <v/>
      </c>
    </row>
    <row r="341">
      <c r="A341" t="n">
        <v>4096</v>
      </c>
      <c r="B341" t="n">
        <v>1878.83</v>
      </c>
      <c r="C341">
        <f>C326+A341*1024*C324</f>
        <v/>
      </c>
      <c r="D341">
        <f>B341/C341</f>
        <v/>
      </c>
      <c r="E341" t="n">
        <v>4.19</v>
      </c>
      <c r="F341">
        <f>A341*1024/(C341*0.000001)/1000000000*C325</f>
        <v/>
      </c>
      <c r="G341">
        <f>E341/F341</f>
        <v/>
      </c>
    </row>
    <row r="342">
      <c r="A342" t="n">
        <v>8192</v>
      </c>
      <c r="B342" t="n">
        <v>3598.27</v>
      </c>
      <c r="C342">
        <f>C326+A342*1024*C324</f>
        <v/>
      </c>
      <c r="D342">
        <f>B342/C342</f>
        <v/>
      </c>
      <c r="E342" t="n">
        <v>4.37</v>
      </c>
      <c r="F342">
        <f>A342*1024/(C342*0.000001)/1000000000*C325</f>
        <v/>
      </c>
      <c r="G342">
        <f>E342/F342</f>
        <v/>
      </c>
    </row>
    <row r="343">
      <c r="A343" t="n">
        <v>16384</v>
      </c>
      <c r="B343" t="n">
        <v>6994.12</v>
      </c>
      <c r="C343">
        <f>C326+A343*1024*C324</f>
        <v/>
      </c>
      <c r="D343">
        <f>B343/C343</f>
        <v/>
      </c>
      <c r="E343" t="n">
        <v>4.5</v>
      </c>
      <c r="F343">
        <f>A343*1024/(C343*0.000001)/1000000000*C325</f>
        <v/>
      </c>
      <c r="G343">
        <f>E343/F343</f>
        <v/>
      </c>
    </row>
    <row r="344">
      <c r="A344" t="n">
        <v>32768</v>
      </c>
      <c r="B344" t="n">
        <v>13900.4</v>
      </c>
      <c r="C344">
        <f>C326+A344*1024*C324</f>
        <v/>
      </c>
      <c r="D344">
        <f>B344/C344</f>
        <v/>
      </c>
      <c r="E344" t="n">
        <v>4.53</v>
      </c>
      <c r="F344">
        <f>A344*1024/(C344*0.000001)/1000000000*C325</f>
        <v/>
      </c>
      <c r="G344">
        <f>E344/F344</f>
        <v/>
      </c>
    </row>
    <row r="345">
      <c r="A345" t="n">
        <v>65536</v>
      </c>
      <c r="B345" t="n">
        <v>27744.7</v>
      </c>
      <c r="C345">
        <f>C326+A345*1024*C324</f>
        <v/>
      </c>
      <c r="D345">
        <f>B345/C345</f>
        <v/>
      </c>
      <c r="E345" t="n">
        <v>4.54</v>
      </c>
      <c r="F345">
        <f>A345*1024/(C345*0.000001)/1000000000*C325</f>
        <v/>
      </c>
      <c r="G345">
        <f>E345/F345</f>
        <v/>
      </c>
    </row>
    <row r="346">
      <c r="A346" t="n">
        <v>131072</v>
      </c>
      <c r="B346" t="n">
        <v>55521.4</v>
      </c>
      <c r="C346">
        <f>C326+A346*1024*C324</f>
        <v/>
      </c>
      <c r="D346">
        <f>B346/C346</f>
        <v/>
      </c>
      <c r="E346" t="n">
        <v>4.53</v>
      </c>
      <c r="F346">
        <f>A346*1024/(C346*0.000001)/1000000000*C325</f>
        <v/>
      </c>
      <c r="G346">
        <f>E346/F346</f>
        <v/>
      </c>
    </row>
    <row r="347">
      <c r="A347" t="n">
        <v>262144</v>
      </c>
      <c r="B347" t="n">
        <v>110904</v>
      </c>
      <c r="C347">
        <f>C326+A347*1024*C324</f>
        <v/>
      </c>
      <c r="D347">
        <f>B347/C347</f>
        <v/>
      </c>
      <c r="E347" t="n">
        <v>4.54</v>
      </c>
      <c r="F347">
        <f>A347*1024/(C347*0.000001)/1000000000*C325</f>
        <v/>
      </c>
      <c r="G347">
        <f>E347/F347</f>
        <v/>
      </c>
    </row>
    <row r="348">
      <c r="A348" t="n">
        <v>524288</v>
      </c>
      <c r="B348" t="n">
        <v>222167</v>
      </c>
      <c r="C348">
        <f>C326+A348*1024*C324</f>
        <v/>
      </c>
      <c r="D348">
        <f>B348/C348</f>
        <v/>
      </c>
      <c r="E348" t="n">
        <v>4.53</v>
      </c>
      <c r="F348">
        <f>A348*1024/(C348*0.000001)/1000000000*C325</f>
        <v/>
      </c>
      <c r="G348">
        <f>E348/F348</f>
        <v/>
      </c>
    </row>
    <row r="349">
      <c r="A349" t="n">
        <v>1048576</v>
      </c>
      <c r="B349" t="n">
        <v>447246</v>
      </c>
      <c r="C349">
        <f>C326+A349*1024*C324</f>
        <v/>
      </c>
      <c r="D349">
        <f>B349/C349</f>
        <v/>
      </c>
      <c r="E349" t="n">
        <v>4.5</v>
      </c>
      <c r="F349">
        <f>A349*1024/(C349*0.000001)/1000000000*C325</f>
        <v/>
      </c>
      <c r="G349">
        <f>E349/F349</f>
        <v/>
      </c>
    </row>
    <row r="350"/>
    <row r="351">
      <c r="A351" t="inlineStr">
        <is>
          <t>Nodes: 16, Protocol: LL128, Channels: 1</t>
        </is>
      </c>
    </row>
    <row r="352">
      <c r="A352" t="inlineStr">
        <is>
          <t>Parameter</t>
        </is>
      </c>
      <c r="B352" t="inlineStr">
        <is>
          <t>Formula</t>
        </is>
      </c>
      <c r="C352" t="inlineStr">
        <is>
          <t>Value</t>
        </is>
      </c>
    </row>
    <row r="353">
      <c r="A353" t="inlineStr">
        <is>
          <t>n</t>
        </is>
      </c>
      <c r="B353" t="inlineStr">
        <is>
          <t>nodes on tree</t>
        </is>
      </c>
      <c r="C353" t="n">
        <v>16</v>
      </c>
    </row>
    <row r="354">
      <c r="A354" t="inlineStr">
        <is>
          <t>nch</t>
        </is>
      </c>
      <c r="B354" t="inlineStr">
        <is>
          <t>channels</t>
        </is>
      </c>
      <c r="C354" t="n">
        <v>1</v>
      </c>
    </row>
    <row r="355">
      <c r="A355" t="inlineStr">
        <is>
          <t>a</t>
        </is>
      </c>
      <c r="B355" t="inlineStr">
        <is>
          <t>RTT (us)</t>
        </is>
      </c>
      <c r="C355" t="n">
        <v>25.8107</v>
      </c>
    </row>
    <row r="356">
      <c r="A356" t="inlineStr">
        <is>
          <t>NIC_BW</t>
        </is>
      </c>
      <c r="B356" t="inlineStr">
        <is>
          <t>bytes/us</t>
        </is>
      </c>
      <c r="C356" t="n">
        <v>48750</v>
      </c>
    </row>
    <row r="357">
      <c r="A357" t="inlineStr">
        <is>
          <t>NIC_BW_REAL</t>
        </is>
      </c>
      <c r="B357" t="inlineStr">
        <is>
          <t>(NIC_BW*15/16)/3</t>
        </is>
      </c>
      <c r="C357">
        <f>(C356*15/16)/3</f>
        <v/>
      </c>
    </row>
    <row r="358">
      <c r="A358" t="inlineStr">
        <is>
          <t>G</t>
        </is>
      </c>
      <c r="B358" t="inlineStr">
        <is>
          <t>1/NIC_BW_REAL</t>
        </is>
      </c>
      <c r="C358">
        <f>1/C357</f>
        <v/>
      </c>
    </row>
    <row r="359">
      <c r="A359" t="inlineStr">
        <is>
          <t>busbw_factor</t>
        </is>
      </c>
      <c r="B359" t="inlineStr">
        <is>
          <t>2*(n-1)/n</t>
        </is>
      </c>
      <c r="C359">
        <f>2*(C353-1)/C353</f>
        <v/>
      </c>
    </row>
    <row r="360">
      <c r="A360" t="inlineStr">
        <is>
          <t>fixed_overhead</t>
        </is>
      </c>
      <c r="B360" t="inlineStr">
        <is>
          <t>(2*LOG2(n)+1)*a/2</t>
        </is>
      </c>
      <c r="C360">
        <f>(2*LOG(C353,2)+1)*C355/2</f>
        <v/>
      </c>
    </row>
    <row r="361"/>
    <row r="362">
      <c r="A362" t="inlineStr">
        <is>
          <t>size_KB</t>
        </is>
      </c>
      <c r="B362" t="inlineStr">
        <is>
          <t>Actual Time (us)</t>
        </is>
      </c>
      <c r="C362" t="inlineStr">
        <is>
          <t>Roofline Time (us)</t>
        </is>
      </c>
      <c r="D362" t="inlineStr">
        <is>
          <t>Actual/Roofline</t>
        </is>
      </c>
      <c r="E362" t="inlineStr">
        <is>
          <t>Actual busBW (GB/s)</t>
        </is>
      </c>
      <c r="F362" t="inlineStr">
        <is>
          <t>Roofline busBW (GB/s)</t>
        </is>
      </c>
      <c r="G362" t="inlineStr">
        <is>
          <t>Meas/Roof busBW</t>
        </is>
      </c>
    </row>
    <row r="363">
      <c r="A363" t="n">
        <v>1</v>
      </c>
      <c r="B363" t="n">
        <v>150.63</v>
      </c>
      <c r="C363">
        <f>C360+A363*1024*C358</f>
        <v/>
      </c>
      <c r="D363">
        <f>B363/C363</f>
        <v/>
      </c>
      <c r="E363" t="n">
        <v>0.01</v>
      </c>
      <c r="F363">
        <f>A363*1024/(C363*0.000001)/1000000000*C359</f>
        <v/>
      </c>
      <c r="G363">
        <f>E363/F363</f>
        <v/>
      </c>
    </row>
    <row r="364">
      <c r="A364" t="n">
        <v>2</v>
      </c>
      <c r="B364" t="n">
        <v>152.05</v>
      </c>
      <c r="C364">
        <f>C360+A364*1024*C358</f>
        <v/>
      </c>
      <c r="D364">
        <f>B364/C364</f>
        <v/>
      </c>
      <c r="E364" t="n">
        <v>0.03</v>
      </c>
      <c r="F364">
        <f>A364*1024/(C364*0.000001)/1000000000*C359</f>
        <v/>
      </c>
      <c r="G364">
        <f>E364/F364</f>
        <v/>
      </c>
    </row>
    <row r="365">
      <c r="A365" t="n">
        <v>4</v>
      </c>
      <c r="B365" t="n">
        <v>159.32</v>
      </c>
      <c r="C365">
        <f>C360+A365*1024*C358</f>
        <v/>
      </c>
      <c r="D365">
        <f>B365/C365</f>
        <v/>
      </c>
      <c r="E365" t="n">
        <v>0.05</v>
      </c>
      <c r="F365">
        <f>A365*1024/(C365*0.000001)/1000000000*C359</f>
        <v/>
      </c>
      <c r="G365">
        <f>E365/F365</f>
        <v/>
      </c>
    </row>
    <row r="366">
      <c r="A366" t="n">
        <v>8</v>
      </c>
      <c r="B366" t="n">
        <v>170.45</v>
      </c>
      <c r="C366">
        <f>C360+A366*1024*C358</f>
        <v/>
      </c>
      <c r="D366">
        <f>B366/C366</f>
        <v/>
      </c>
      <c r="E366" t="n">
        <v>0.09</v>
      </c>
      <c r="F366">
        <f>A366*1024/(C366*0.000001)/1000000000*C359</f>
        <v/>
      </c>
      <c r="G366">
        <f>E366/F366</f>
        <v/>
      </c>
    </row>
    <row r="367">
      <c r="A367" t="n">
        <v>16</v>
      </c>
      <c r="B367" t="n">
        <v>178.83</v>
      </c>
      <c r="C367">
        <f>C360+A367*1024*C358</f>
        <v/>
      </c>
      <c r="D367">
        <f>B367/C367</f>
        <v/>
      </c>
      <c r="E367" t="n">
        <v>0.17</v>
      </c>
      <c r="F367">
        <f>A367*1024/(C367*0.000001)/1000000000*C359</f>
        <v/>
      </c>
      <c r="G367">
        <f>E367/F367</f>
        <v/>
      </c>
    </row>
    <row r="368">
      <c r="A368" t="n">
        <v>32</v>
      </c>
      <c r="B368" t="n">
        <v>188.87</v>
      </c>
      <c r="C368">
        <f>C360+A368*1024*C358</f>
        <v/>
      </c>
      <c r="D368">
        <f>B368/C368</f>
        <v/>
      </c>
      <c r="E368" t="n">
        <v>0.33</v>
      </c>
      <c r="F368">
        <f>A368*1024/(C368*0.000001)/1000000000*C359</f>
        <v/>
      </c>
      <c r="G368">
        <f>E368/F368</f>
        <v/>
      </c>
    </row>
    <row r="369">
      <c r="A369" t="n">
        <v>64</v>
      </c>
      <c r="B369" t="n">
        <v>193.77</v>
      </c>
      <c r="C369">
        <f>C360+A369*1024*C358</f>
        <v/>
      </c>
      <c r="D369">
        <f>B369/C369</f>
        <v/>
      </c>
      <c r="E369" t="n">
        <v>0.63</v>
      </c>
      <c r="F369">
        <f>A369*1024/(C369*0.000001)/1000000000*C359</f>
        <v/>
      </c>
      <c r="G369">
        <f>E369/F369</f>
        <v/>
      </c>
    </row>
    <row r="370">
      <c r="A370" t="n">
        <v>128</v>
      </c>
      <c r="B370" t="n">
        <v>216.18</v>
      </c>
      <c r="C370">
        <f>C360+A370*1024*C358</f>
        <v/>
      </c>
      <c r="D370">
        <f>B370/C370</f>
        <v/>
      </c>
      <c r="E370" t="n">
        <v>1.14</v>
      </c>
      <c r="F370">
        <f>A370*1024/(C370*0.000001)/1000000000*C359</f>
        <v/>
      </c>
      <c r="G370">
        <f>E370/F370</f>
        <v/>
      </c>
    </row>
    <row r="371">
      <c r="A371" t="n">
        <v>256</v>
      </c>
      <c r="B371" t="n">
        <v>261.26</v>
      </c>
      <c r="C371">
        <f>C360+A371*1024*C358</f>
        <v/>
      </c>
      <c r="D371">
        <f>B371/C371</f>
        <v/>
      </c>
      <c r="E371" t="n">
        <v>1.88</v>
      </c>
      <c r="F371">
        <f>A371*1024/(C371*0.000001)/1000000000*C359</f>
        <v/>
      </c>
      <c r="G371">
        <f>E371/F371</f>
        <v/>
      </c>
    </row>
    <row r="372">
      <c r="A372" t="n">
        <v>512</v>
      </c>
      <c r="B372" t="n">
        <v>361.6</v>
      </c>
      <c r="C372">
        <f>C360+A372*1024*C358</f>
        <v/>
      </c>
      <c r="D372">
        <f>B372/C372</f>
        <v/>
      </c>
      <c r="E372" t="n">
        <v>2.72</v>
      </c>
      <c r="F372">
        <f>A372*1024/(C372*0.000001)/1000000000*C359</f>
        <v/>
      </c>
      <c r="G372">
        <f>E372/F372</f>
        <v/>
      </c>
    </row>
    <row r="373">
      <c r="A373" t="n">
        <v>1024</v>
      </c>
      <c r="B373" t="n">
        <v>560.8</v>
      </c>
      <c r="C373">
        <f>C360+A373*1024*C358</f>
        <v/>
      </c>
      <c r="D373">
        <f>B373/C373</f>
        <v/>
      </c>
      <c r="E373" t="n">
        <v>3.51</v>
      </c>
      <c r="F373">
        <f>A373*1024/(C373*0.000001)/1000000000*C359</f>
        <v/>
      </c>
      <c r="G373">
        <f>E373/F373</f>
        <v/>
      </c>
    </row>
    <row r="374">
      <c r="A374" t="n">
        <v>2048</v>
      </c>
      <c r="B374" t="n">
        <v>966.12</v>
      </c>
      <c r="C374">
        <f>C360+A374*1024*C358</f>
        <v/>
      </c>
      <c r="D374">
        <f>B374/C374</f>
        <v/>
      </c>
      <c r="E374" t="n">
        <v>4.07</v>
      </c>
      <c r="F374">
        <f>A374*1024/(C374*0.000001)/1000000000*C359</f>
        <v/>
      </c>
      <c r="G374">
        <f>E374/F374</f>
        <v/>
      </c>
    </row>
    <row r="375">
      <c r="A375" t="n">
        <v>4096</v>
      </c>
      <c r="B375" t="n">
        <v>1089.07</v>
      </c>
      <c r="C375">
        <f>C360+A375*1024*C358</f>
        <v/>
      </c>
      <c r="D375">
        <f>B375/C375</f>
        <v/>
      </c>
      <c r="E375" t="n">
        <v>7.22</v>
      </c>
      <c r="F375">
        <f>A375*1024/(C375*0.000001)/1000000000*C359</f>
        <v/>
      </c>
      <c r="G375">
        <f>E375/F375</f>
        <v/>
      </c>
    </row>
    <row r="376">
      <c r="A376" t="n">
        <v>8192</v>
      </c>
      <c r="B376" t="n">
        <v>1610.2</v>
      </c>
      <c r="C376">
        <f>C360+A376*1024*C358</f>
        <v/>
      </c>
      <c r="D376">
        <f>B376/C376</f>
        <v/>
      </c>
      <c r="E376" t="n">
        <v>9.77</v>
      </c>
      <c r="F376">
        <f>A376*1024/(C376*0.000001)/1000000000*C359</f>
        <v/>
      </c>
      <c r="G376">
        <f>E376/F376</f>
        <v/>
      </c>
    </row>
    <row r="377">
      <c r="A377" t="n">
        <v>16384</v>
      </c>
      <c r="B377" t="n">
        <v>2996.19</v>
      </c>
      <c r="C377">
        <f>C360+A377*1024*C358</f>
        <v/>
      </c>
      <c r="D377">
        <f>B377/C377</f>
        <v/>
      </c>
      <c r="E377" t="n">
        <v>10.5</v>
      </c>
      <c r="F377">
        <f>A377*1024/(C377*0.000001)/1000000000*C359</f>
        <v/>
      </c>
      <c r="G377">
        <f>E377/F377</f>
        <v/>
      </c>
    </row>
    <row r="378">
      <c r="A378" t="n">
        <v>32768</v>
      </c>
      <c r="B378" t="n">
        <v>5762.02</v>
      </c>
      <c r="C378">
        <f>C360+A378*1024*C358</f>
        <v/>
      </c>
      <c r="D378">
        <f>B378/C378</f>
        <v/>
      </c>
      <c r="E378" t="n">
        <v>10.92</v>
      </c>
      <c r="F378">
        <f>A378*1024/(C378*0.000001)/1000000000*C359</f>
        <v/>
      </c>
      <c r="G378">
        <f>E378/F378</f>
        <v/>
      </c>
    </row>
    <row r="379">
      <c r="A379" t="n">
        <v>65536</v>
      </c>
      <c r="B379" t="n">
        <v>9690.219999999999</v>
      </c>
      <c r="C379">
        <f>C360+A379*1024*C358</f>
        <v/>
      </c>
      <c r="D379">
        <f>B379/C379</f>
        <v/>
      </c>
      <c r="E379" t="n">
        <v>12.99</v>
      </c>
      <c r="F379">
        <f>A379*1024/(C379*0.000001)/1000000000*C359</f>
        <v/>
      </c>
      <c r="G379">
        <f>E379/F379</f>
        <v/>
      </c>
    </row>
    <row r="380">
      <c r="A380" t="n">
        <v>131072</v>
      </c>
      <c r="B380" t="n">
        <v>17876.1</v>
      </c>
      <c r="C380">
        <f>C360+A380*1024*C358</f>
        <v/>
      </c>
      <c r="D380">
        <f>B380/C380</f>
        <v/>
      </c>
      <c r="E380" t="n">
        <v>14.08</v>
      </c>
      <c r="F380">
        <f>A380*1024/(C380*0.000001)/1000000000*C359</f>
        <v/>
      </c>
      <c r="G380">
        <f>E380/F380</f>
        <v/>
      </c>
    </row>
    <row r="381">
      <c r="A381" t="n">
        <v>262144</v>
      </c>
      <c r="B381" t="n">
        <v>35074.7</v>
      </c>
      <c r="C381">
        <f>C360+A381*1024*C358</f>
        <v/>
      </c>
      <c r="D381">
        <f>B381/C381</f>
        <v/>
      </c>
      <c r="E381" t="n">
        <v>14.35</v>
      </c>
      <c r="F381">
        <f>A381*1024/(C381*0.000001)/1000000000*C359</f>
        <v/>
      </c>
      <c r="G381">
        <f>E381/F381</f>
        <v/>
      </c>
    </row>
    <row r="382">
      <c r="A382" t="n">
        <v>524288</v>
      </c>
      <c r="B382" t="n">
        <v>69606.89999999999</v>
      </c>
      <c r="C382">
        <f>C360+A382*1024*C358</f>
        <v/>
      </c>
      <c r="D382">
        <f>B382/C382</f>
        <v/>
      </c>
      <c r="E382" t="n">
        <v>14.46</v>
      </c>
      <c r="F382">
        <f>A382*1024/(C382*0.000001)/1000000000*C359</f>
        <v/>
      </c>
      <c r="G382">
        <f>E382/F382</f>
        <v/>
      </c>
    </row>
    <row r="383">
      <c r="A383" t="n">
        <v>1048576</v>
      </c>
      <c r="B383" t="n">
        <v>138811</v>
      </c>
      <c r="C383">
        <f>C360+A383*1024*C358</f>
        <v/>
      </c>
      <c r="D383">
        <f>B383/C383</f>
        <v/>
      </c>
      <c r="E383" t="n">
        <v>14.5</v>
      </c>
      <c r="F383">
        <f>A383*1024/(C383*0.000001)/1000000000*C359</f>
        <v/>
      </c>
      <c r="G383">
        <f>E383/F383</f>
        <v/>
      </c>
    </row>
    <row r="384"/>
    <row r="385">
      <c r="A385" t="inlineStr">
        <is>
          <t>Nodes: 16, Protocol: LL128, Channels: 2</t>
        </is>
      </c>
    </row>
    <row r="386">
      <c r="A386" t="inlineStr">
        <is>
          <t>Parameter</t>
        </is>
      </c>
      <c r="B386" t="inlineStr">
        <is>
          <t>Formula</t>
        </is>
      </c>
      <c r="C386" t="inlineStr">
        <is>
          <t>Value</t>
        </is>
      </c>
    </row>
    <row r="387">
      <c r="A387" t="inlineStr">
        <is>
          <t>n</t>
        </is>
      </c>
      <c r="B387" t="inlineStr">
        <is>
          <t>nodes on tree</t>
        </is>
      </c>
      <c r="C387" t="n">
        <v>16</v>
      </c>
    </row>
    <row r="388">
      <c r="A388" t="inlineStr">
        <is>
          <t>nch</t>
        </is>
      </c>
      <c r="B388" t="inlineStr">
        <is>
          <t>channels</t>
        </is>
      </c>
      <c r="C388" t="n">
        <v>2</v>
      </c>
    </row>
    <row r="389">
      <c r="A389" t="inlineStr">
        <is>
          <t>a</t>
        </is>
      </c>
      <c r="B389" t="inlineStr">
        <is>
          <t>RTT (us)</t>
        </is>
      </c>
      <c r="C389" t="n">
        <v>25.8107</v>
      </c>
    </row>
    <row r="390">
      <c r="A390" t="inlineStr">
        <is>
          <t>NIC_BW</t>
        </is>
      </c>
      <c r="B390" t="inlineStr">
        <is>
          <t>bytes/us</t>
        </is>
      </c>
      <c r="C390" t="n">
        <v>48750</v>
      </c>
    </row>
    <row r="391">
      <c r="A391" t="inlineStr">
        <is>
          <t>NIC_BW_REAL</t>
        </is>
      </c>
      <c r="B391" t="inlineStr">
        <is>
          <t>(NIC_BW*15/16)/3</t>
        </is>
      </c>
      <c r="C391">
        <f>(C390*15/16)/3</f>
        <v/>
      </c>
    </row>
    <row r="392">
      <c r="A392" t="inlineStr">
        <is>
          <t>G</t>
        </is>
      </c>
      <c r="B392" t="inlineStr">
        <is>
          <t>1/NIC_BW_REAL</t>
        </is>
      </c>
      <c r="C392">
        <f>1/C391</f>
        <v/>
      </c>
    </row>
    <row r="393">
      <c r="A393" t="inlineStr">
        <is>
          <t>busbw_factor</t>
        </is>
      </c>
      <c r="B393" t="inlineStr">
        <is>
          <t>2*(n-1)/n</t>
        </is>
      </c>
      <c r="C393">
        <f>2*(C387-1)/C387</f>
        <v/>
      </c>
    </row>
    <row r="394">
      <c r="A394" t="inlineStr">
        <is>
          <t>fixed_overhead</t>
        </is>
      </c>
      <c r="B394" t="inlineStr">
        <is>
          <t>(2*LOG2(n)+1)*a/2</t>
        </is>
      </c>
      <c r="C394">
        <f>(2*LOG(C387,2)+1)*C389/2</f>
        <v/>
      </c>
    </row>
    <row r="395"/>
    <row r="396">
      <c r="A396" t="inlineStr">
        <is>
          <t>size_KB</t>
        </is>
      </c>
      <c r="B396" t="inlineStr">
        <is>
          <t>Actual Time (us)</t>
        </is>
      </c>
      <c r="C396" t="inlineStr">
        <is>
          <t>Roofline Time (us)</t>
        </is>
      </c>
      <c r="D396" t="inlineStr">
        <is>
          <t>Actual/Roofline</t>
        </is>
      </c>
      <c r="E396" t="inlineStr">
        <is>
          <t>Actual busBW (GB/s)</t>
        </is>
      </c>
      <c r="F396" t="inlineStr">
        <is>
          <t>Roofline busBW (GB/s)</t>
        </is>
      </c>
      <c r="G396" t="inlineStr">
        <is>
          <t>Meas/Roof busBW</t>
        </is>
      </c>
    </row>
    <row r="397">
      <c r="A397" t="n">
        <v>1</v>
      </c>
      <c r="B397" t="n">
        <v>150.26</v>
      </c>
      <c r="C397">
        <f>C394+A397*1024*C392</f>
        <v/>
      </c>
      <c r="D397">
        <f>B397/C397</f>
        <v/>
      </c>
      <c r="E397" t="n">
        <v>0.01</v>
      </c>
      <c r="F397">
        <f>A397*1024/(C397*0.000001)/1000000000*C393</f>
        <v/>
      </c>
      <c r="G397">
        <f>E397/F397</f>
        <v/>
      </c>
    </row>
    <row r="398">
      <c r="A398" t="n">
        <v>2</v>
      </c>
      <c r="B398" t="n">
        <v>151.41</v>
      </c>
      <c r="C398">
        <f>C394+A398*1024*C392</f>
        <v/>
      </c>
      <c r="D398">
        <f>B398/C398</f>
        <v/>
      </c>
      <c r="E398" t="n">
        <v>0.03</v>
      </c>
      <c r="F398">
        <f>A398*1024/(C398*0.000001)/1000000000*C393</f>
        <v/>
      </c>
      <c r="G398">
        <f>E398/F398</f>
        <v/>
      </c>
    </row>
    <row r="399">
      <c r="A399" t="n">
        <v>4</v>
      </c>
      <c r="B399" t="n">
        <v>158.76</v>
      </c>
      <c r="C399">
        <f>C394+A399*1024*C392</f>
        <v/>
      </c>
      <c r="D399">
        <f>B399/C399</f>
        <v/>
      </c>
      <c r="E399" t="n">
        <v>0.05</v>
      </c>
      <c r="F399">
        <f>A399*1024/(C399*0.000001)/1000000000*C393</f>
        <v/>
      </c>
      <c r="G399">
        <f>E399/F399</f>
        <v/>
      </c>
    </row>
    <row r="400">
      <c r="A400" t="n">
        <v>8</v>
      </c>
      <c r="B400" t="n">
        <v>171.5</v>
      </c>
      <c r="C400">
        <f>C394+A400*1024*C392</f>
        <v/>
      </c>
      <c r="D400">
        <f>B400/C400</f>
        <v/>
      </c>
      <c r="E400" t="n">
        <v>0.09</v>
      </c>
      <c r="F400">
        <f>A400*1024/(C400*0.000001)/1000000000*C393</f>
        <v/>
      </c>
      <c r="G400">
        <f>E400/F400</f>
        <v/>
      </c>
    </row>
    <row r="401">
      <c r="A401" t="n">
        <v>16</v>
      </c>
      <c r="B401" t="n">
        <v>179.18</v>
      </c>
      <c r="C401">
        <f>C394+A401*1024*C392</f>
        <v/>
      </c>
      <c r="D401">
        <f>B401/C401</f>
        <v/>
      </c>
      <c r="E401" t="n">
        <v>0.17</v>
      </c>
      <c r="F401">
        <f>A401*1024/(C401*0.000001)/1000000000*C393</f>
        <v/>
      </c>
      <c r="G401">
        <f>E401/F401</f>
        <v/>
      </c>
    </row>
    <row r="402">
      <c r="A402" t="n">
        <v>32</v>
      </c>
      <c r="B402" t="n">
        <v>182.19</v>
      </c>
      <c r="C402">
        <f>C394+A402*1024*C392</f>
        <v/>
      </c>
      <c r="D402">
        <f>B402/C402</f>
        <v/>
      </c>
      <c r="E402" t="n">
        <v>0.34</v>
      </c>
      <c r="F402">
        <f>A402*1024/(C402*0.000001)/1000000000*C393</f>
        <v/>
      </c>
      <c r="G402">
        <f>E402/F402</f>
        <v/>
      </c>
    </row>
    <row r="403">
      <c r="A403" t="n">
        <v>64</v>
      </c>
      <c r="B403" t="n">
        <v>190.06</v>
      </c>
      <c r="C403">
        <f>C394+A403*1024*C392</f>
        <v/>
      </c>
      <c r="D403">
        <f>B403/C403</f>
        <v/>
      </c>
      <c r="E403" t="n">
        <v>0.65</v>
      </c>
      <c r="F403">
        <f>A403*1024/(C403*0.000001)/1000000000*C393</f>
        <v/>
      </c>
      <c r="G403">
        <f>E403/F403</f>
        <v/>
      </c>
    </row>
    <row r="404">
      <c r="A404" t="n">
        <v>128</v>
      </c>
      <c r="B404" t="n">
        <v>200.43</v>
      </c>
      <c r="C404">
        <f>C394+A404*1024*C392</f>
        <v/>
      </c>
      <c r="D404">
        <f>B404/C404</f>
        <v/>
      </c>
      <c r="E404" t="n">
        <v>1.23</v>
      </c>
      <c r="F404">
        <f>A404*1024/(C404*0.000001)/1000000000*C393</f>
        <v/>
      </c>
      <c r="G404">
        <f>E404/F404</f>
        <v/>
      </c>
    </row>
    <row r="405">
      <c r="A405" t="n">
        <v>256</v>
      </c>
      <c r="B405" t="n">
        <v>222.88</v>
      </c>
      <c r="C405">
        <f>C394+A405*1024*C392</f>
        <v/>
      </c>
      <c r="D405">
        <f>B405/C405</f>
        <v/>
      </c>
      <c r="E405" t="n">
        <v>2.21</v>
      </c>
      <c r="F405">
        <f>A405*1024/(C405*0.000001)/1000000000*C393</f>
        <v/>
      </c>
      <c r="G405">
        <f>E405/F405</f>
        <v/>
      </c>
    </row>
    <row r="406">
      <c r="A406" t="n">
        <v>512</v>
      </c>
      <c r="B406" t="n">
        <v>303.86</v>
      </c>
      <c r="C406">
        <f>C394+A406*1024*C392</f>
        <v/>
      </c>
      <c r="D406">
        <f>B406/C406</f>
        <v/>
      </c>
      <c r="E406" t="n">
        <v>3.24</v>
      </c>
      <c r="F406">
        <f>A406*1024/(C406*0.000001)/1000000000*C393</f>
        <v/>
      </c>
      <c r="G406">
        <f>E406/F406</f>
        <v/>
      </c>
    </row>
    <row r="407">
      <c r="A407" t="n">
        <v>1024</v>
      </c>
      <c r="B407" t="n">
        <v>468.2</v>
      </c>
      <c r="C407">
        <f>C394+A407*1024*C392</f>
        <v/>
      </c>
      <c r="D407">
        <f>B407/C407</f>
        <v/>
      </c>
      <c r="E407" t="n">
        <v>4.2</v>
      </c>
      <c r="F407">
        <f>A407*1024/(C407*0.000001)/1000000000*C393</f>
        <v/>
      </c>
      <c r="G407">
        <f>E407/F407</f>
        <v/>
      </c>
    </row>
    <row r="408">
      <c r="A408" t="n">
        <v>2048</v>
      </c>
      <c r="B408" t="n">
        <v>796.04</v>
      </c>
      <c r="C408">
        <f>C394+A408*1024*C392</f>
        <v/>
      </c>
      <c r="D408">
        <f>B408/C408</f>
        <v/>
      </c>
      <c r="E408" t="n">
        <v>4.94</v>
      </c>
      <c r="F408">
        <f>A408*1024/(C408*0.000001)/1000000000*C393</f>
        <v/>
      </c>
      <c r="G408">
        <f>E408/F408</f>
        <v/>
      </c>
    </row>
    <row r="409">
      <c r="A409" t="n">
        <v>4096</v>
      </c>
      <c r="B409" t="n">
        <v>1441.44</v>
      </c>
      <c r="C409">
        <f>C394+A409*1024*C392</f>
        <v/>
      </c>
      <c r="D409">
        <f>B409/C409</f>
        <v/>
      </c>
      <c r="E409" t="n">
        <v>5.46</v>
      </c>
      <c r="F409">
        <f>A409*1024/(C409*0.000001)/1000000000*C393</f>
        <v/>
      </c>
      <c r="G409">
        <f>E409/F409</f>
        <v/>
      </c>
    </row>
    <row r="410">
      <c r="A410" t="n">
        <v>8192</v>
      </c>
      <c r="B410" t="n">
        <v>1516.94</v>
      </c>
      <c r="C410">
        <f>C394+A410*1024*C392</f>
        <v/>
      </c>
      <c r="D410">
        <f>B410/C410</f>
        <v/>
      </c>
      <c r="E410" t="n">
        <v>10.37</v>
      </c>
      <c r="F410">
        <f>A410*1024/(C410*0.000001)/1000000000*C393</f>
        <v/>
      </c>
      <c r="G410">
        <f>E410/F410</f>
        <v/>
      </c>
    </row>
    <row r="411">
      <c r="A411" t="n">
        <v>16384</v>
      </c>
      <c r="B411" t="n">
        <v>1761.27</v>
      </c>
      <c r="C411">
        <f>C394+A411*1024*C392</f>
        <v/>
      </c>
      <c r="D411">
        <f>B411/C411</f>
        <v/>
      </c>
      <c r="E411" t="n">
        <v>17.86</v>
      </c>
      <c r="F411">
        <f>A411*1024/(C411*0.000001)/1000000000*C393</f>
        <v/>
      </c>
      <c r="G411">
        <f>E411/F411</f>
        <v/>
      </c>
    </row>
    <row r="412">
      <c r="A412" t="n">
        <v>32768</v>
      </c>
      <c r="B412" t="n">
        <v>3262.73</v>
      </c>
      <c r="C412">
        <f>C394+A412*1024*C392</f>
        <v/>
      </c>
      <c r="D412">
        <f>B412/C412</f>
        <v/>
      </c>
      <c r="E412" t="n">
        <v>19.28</v>
      </c>
      <c r="F412">
        <f>A412*1024/(C412*0.000001)/1000000000*C393</f>
        <v/>
      </c>
      <c r="G412">
        <f>E412/F412</f>
        <v/>
      </c>
    </row>
    <row r="413">
      <c r="A413" t="n">
        <v>65536</v>
      </c>
      <c r="B413" t="n">
        <v>6248.46</v>
      </c>
      <c r="C413">
        <f>C394+A413*1024*C392</f>
        <v/>
      </c>
      <c r="D413">
        <f>B413/C413</f>
        <v/>
      </c>
      <c r="E413" t="n">
        <v>20.14</v>
      </c>
      <c r="F413">
        <f>A413*1024/(C413*0.000001)/1000000000*C393</f>
        <v/>
      </c>
      <c r="G413">
        <f>E413/F413</f>
        <v/>
      </c>
    </row>
    <row r="414">
      <c r="A414" t="n">
        <v>131072</v>
      </c>
      <c r="B414" t="n">
        <v>10421.3</v>
      </c>
      <c r="C414">
        <f>C394+A414*1024*C392</f>
        <v/>
      </c>
      <c r="D414">
        <f>B414/C414</f>
        <v/>
      </c>
      <c r="E414" t="n">
        <v>24.15</v>
      </c>
      <c r="F414">
        <f>A414*1024/(C414*0.000001)/1000000000*C393</f>
        <v/>
      </c>
      <c r="G414">
        <f>E414/F414</f>
        <v/>
      </c>
    </row>
    <row r="415">
      <c r="A415" t="n">
        <v>262144</v>
      </c>
      <c r="B415" t="n">
        <v>20919.2</v>
      </c>
      <c r="C415">
        <f>C394+A415*1024*C392</f>
        <v/>
      </c>
      <c r="D415">
        <f>B415/C415</f>
        <v/>
      </c>
      <c r="E415" t="n">
        <v>24.06</v>
      </c>
      <c r="F415">
        <f>A415*1024/(C415*0.000001)/1000000000*C393</f>
        <v/>
      </c>
      <c r="G415">
        <f>E415/F415</f>
        <v/>
      </c>
    </row>
    <row r="416">
      <c r="A416" t="n">
        <v>524288</v>
      </c>
      <c r="B416" t="n">
        <v>40794.6</v>
      </c>
      <c r="C416">
        <f>C394+A416*1024*C392</f>
        <v/>
      </c>
      <c r="D416">
        <f>B416/C416</f>
        <v/>
      </c>
      <c r="E416" t="n">
        <v>24.68</v>
      </c>
      <c r="F416">
        <f>A416*1024/(C416*0.000001)/1000000000*C393</f>
        <v/>
      </c>
      <c r="G416">
        <f>E416/F416</f>
        <v/>
      </c>
    </row>
    <row r="417">
      <c r="A417" t="n">
        <v>1048576</v>
      </c>
      <c r="B417" t="n">
        <v>79266.5</v>
      </c>
      <c r="C417">
        <f>C394+A417*1024*C392</f>
        <v/>
      </c>
      <c r="D417">
        <f>B417/C417</f>
        <v/>
      </c>
      <c r="E417" t="n">
        <v>25.4</v>
      </c>
      <c r="F417">
        <f>A417*1024/(C417*0.000001)/1000000000*C393</f>
        <v/>
      </c>
      <c r="G417">
        <f>E417/F417</f>
        <v/>
      </c>
    </row>
    <row r="418"/>
    <row r="419">
      <c r="A419" t="inlineStr">
        <is>
          <t>Nodes: 16, Protocol: LL128, Channels: 4</t>
        </is>
      </c>
    </row>
    <row r="420">
      <c r="A420" t="inlineStr">
        <is>
          <t>Parameter</t>
        </is>
      </c>
      <c r="B420" t="inlineStr">
        <is>
          <t>Formula</t>
        </is>
      </c>
      <c r="C420" t="inlineStr">
        <is>
          <t>Value</t>
        </is>
      </c>
    </row>
    <row r="421">
      <c r="A421" t="inlineStr">
        <is>
          <t>n</t>
        </is>
      </c>
      <c r="B421" t="inlineStr">
        <is>
          <t>nodes on tree</t>
        </is>
      </c>
      <c r="C421" t="n">
        <v>16</v>
      </c>
    </row>
    <row r="422">
      <c r="A422" t="inlineStr">
        <is>
          <t>nch</t>
        </is>
      </c>
      <c r="B422" t="inlineStr">
        <is>
          <t>channels</t>
        </is>
      </c>
      <c r="C422" t="n">
        <v>4</v>
      </c>
    </row>
    <row r="423">
      <c r="A423" t="inlineStr">
        <is>
          <t>a</t>
        </is>
      </c>
      <c r="B423" t="inlineStr">
        <is>
          <t>RTT (us)</t>
        </is>
      </c>
      <c r="C423" t="n">
        <v>25.8107</v>
      </c>
    </row>
    <row r="424">
      <c r="A424" t="inlineStr">
        <is>
          <t>NIC_BW</t>
        </is>
      </c>
      <c r="B424" t="inlineStr">
        <is>
          <t>bytes/us</t>
        </is>
      </c>
      <c r="C424" t="n">
        <v>48750</v>
      </c>
    </row>
    <row r="425">
      <c r="A425" t="inlineStr">
        <is>
          <t>NIC_BW_REAL</t>
        </is>
      </c>
      <c r="B425" t="inlineStr">
        <is>
          <t>(NIC_BW*15/16)/2</t>
        </is>
      </c>
      <c r="C425">
        <f>(C424*15/16)/2</f>
        <v/>
      </c>
    </row>
    <row r="426">
      <c r="A426" t="inlineStr">
        <is>
          <t>G</t>
        </is>
      </c>
      <c r="B426" t="inlineStr">
        <is>
          <t>1/NIC_BW_REAL</t>
        </is>
      </c>
      <c r="C426">
        <f>1/C425</f>
        <v/>
      </c>
    </row>
    <row r="427">
      <c r="A427" t="inlineStr">
        <is>
          <t>busbw_factor</t>
        </is>
      </c>
      <c r="B427" t="inlineStr">
        <is>
          <t>2*(n-1)/n</t>
        </is>
      </c>
      <c r="C427">
        <f>2*(C421-1)/C421</f>
        <v/>
      </c>
    </row>
    <row r="428">
      <c r="A428" t="inlineStr">
        <is>
          <t>fixed_overhead</t>
        </is>
      </c>
      <c r="B428" t="inlineStr">
        <is>
          <t>(2*LOG2(n)+1)*a/2</t>
        </is>
      </c>
      <c r="C428">
        <f>(2*LOG(C421,2)+1)*C423/2</f>
        <v/>
      </c>
    </row>
    <row r="429"/>
    <row r="430">
      <c r="A430" t="inlineStr">
        <is>
          <t>size_KB</t>
        </is>
      </c>
      <c r="B430" t="inlineStr">
        <is>
          <t>Actual Time (us)</t>
        </is>
      </c>
      <c r="C430" t="inlineStr">
        <is>
          <t>Roofline Time (us)</t>
        </is>
      </c>
      <c r="D430" t="inlineStr">
        <is>
          <t>Actual/Roofline</t>
        </is>
      </c>
      <c r="E430" t="inlineStr">
        <is>
          <t>Actual busBW (GB/s)</t>
        </is>
      </c>
      <c r="F430" t="inlineStr">
        <is>
          <t>Roofline busBW (GB/s)</t>
        </is>
      </c>
      <c r="G430" t="inlineStr">
        <is>
          <t>Meas/Roof busBW</t>
        </is>
      </c>
    </row>
    <row r="431">
      <c r="A431" t="n">
        <v>1</v>
      </c>
      <c r="B431" t="n">
        <v>145.46</v>
      </c>
      <c r="C431">
        <f>C428+A431*1024*C426</f>
        <v/>
      </c>
      <c r="D431">
        <f>B431/C431</f>
        <v/>
      </c>
      <c r="E431" t="n">
        <v>0.01</v>
      </c>
      <c r="F431">
        <f>A431*1024/(C431*0.000001)/1000000000*C427</f>
        <v/>
      </c>
      <c r="G431">
        <f>E431/F431</f>
        <v/>
      </c>
    </row>
    <row r="432">
      <c r="A432" t="n">
        <v>2</v>
      </c>
      <c r="B432" t="n">
        <v>150.96</v>
      </c>
      <c r="C432">
        <f>C428+A432*1024*C426</f>
        <v/>
      </c>
      <c r="D432">
        <f>B432/C432</f>
        <v/>
      </c>
      <c r="E432" t="n">
        <v>0.03</v>
      </c>
      <c r="F432">
        <f>A432*1024/(C432*0.000001)/1000000000*C427</f>
        <v/>
      </c>
      <c r="G432">
        <f>E432/F432</f>
        <v/>
      </c>
    </row>
    <row r="433">
      <c r="A433" t="n">
        <v>4</v>
      </c>
      <c r="B433" t="n">
        <v>159.81</v>
      </c>
      <c r="C433">
        <f>C428+A433*1024*C426</f>
        <v/>
      </c>
      <c r="D433">
        <f>B433/C433</f>
        <v/>
      </c>
      <c r="E433" t="n">
        <v>0.05</v>
      </c>
      <c r="F433">
        <f>A433*1024/(C433*0.000001)/1000000000*C427</f>
        <v/>
      </c>
      <c r="G433">
        <f>E433/F433</f>
        <v/>
      </c>
    </row>
    <row r="434">
      <c r="A434" t="n">
        <v>8</v>
      </c>
      <c r="B434" t="n">
        <v>170.41</v>
      </c>
      <c r="C434">
        <f>C428+A434*1024*C426</f>
        <v/>
      </c>
      <c r="D434">
        <f>B434/C434</f>
        <v/>
      </c>
      <c r="E434" t="n">
        <v>0.09</v>
      </c>
      <c r="F434">
        <f>A434*1024/(C434*0.000001)/1000000000*C427</f>
        <v/>
      </c>
      <c r="G434">
        <f>E434/F434</f>
        <v/>
      </c>
    </row>
    <row r="435">
      <c r="A435" t="n">
        <v>16</v>
      </c>
      <c r="B435" t="n">
        <v>179.35</v>
      </c>
      <c r="C435">
        <f>C428+A435*1024*C426</f>
        <v/>
      </c>
      <c r="D435">
        <f>B435/C435</f>
        <v/>
      </c>
      <c r="E435" t="n">
        <v>0.17</v>
      </c>
      <c r="F435">
        <f>A435*1024/(C435*0.000001)/1000000000*C427</f>
        <v/>
      </c>
      <c r="G435">
        <f>E435/F435</f>
        <v/>
      </c>
    </row>
    <row r="436">
      <c r="A436" t="n">
        <v>32</v>
      </c>
      <c r="B436" t="n">
        <v>182.27</v>
      </c>
      <c r="C436">
        <f>C428+A436*1024*C426</f>
        <v/>
      </c>
      <c r="D436">
        <f>B436/C436</f>
        <v/>
      </c>
      <c r="E436" t="n">
        <v>0.34</v>
      </c>
      <c r="F436">
        <f>A436*1024/(C436*0.000001)/1000000000*C427</f>
        <v/>
      </c>
      <c r="G436">
        <f>E436/F436</f>
        <v/>
      </c>
    </row>
    <row r="437">
      <c r="A437" t="n">
        <v>64</v>
      </c>
      <c r="B437" t="n">
        <v>188.53</v>
      </c>
      <c r="C437">
        <f>C428+A437*1024*C426</f>
        <v/>
      </c>
      <c r="D437">
        <f>B437/C437</f>
        <v/>
      </c>
      <c r="E437" t="n">
        <v>0.65</v>
      </c>
      <c r="F437">
        <f>A437*1024/(C437*0.000001)/1000000000*C427</f>
        <v/>
      </c>
      <c r="G437">
        <f>E437/F437</f>
        <v/>
      </c>
    </row>
    <row r="438">
      <c r="A438" t="n">
        <v>128</v>
      </c>
      <c r="B438" t="n">
        <v>191.66</v>
      </c>
      <c r="C438">
        <f>C428+A438*1024*C426</f>
        <v/>
      </c>
      <c r="D438">
        <f>B438/C438</f>
        <v/>
      </c>
      <c r="E438" t="n">
        <v>1.28</v>
      </c>
      <c r="F438">
        <f>A438*1024/(C438*0.000001)/1000000000*C427</f>
        <v/>
      </c>
      <c r="G438">
        <f>E438/F438</f>
        <v/>
      </c>
    </row>
    <row r="439">
      <c r="A439" t="n">
        <v>256</v>
      </c>
      <c r="B439" t="n">
        <v>203.44</v>
      </c>
      <c r="C439">
        <f>C428+A439*1024*C426</f>
        <v/>
      </c>
      <c r="D439">
        <f>B439/C439</f>
        <v/>
      </c>
      <c r="E439" t="n">
        <v>2.42</v>
      </c>
      <c r="F439">
        <f>A439*1024/(C439*0.000001)/1000000000*C427</f>
        <v/>
      </c>
      <c r="G439">
        <f>E439/F439</f>
        <v/>
      </c>
    </row>
    <row r="440">
      <c r="A440" t="n">
        <v>512</v>
      </c>
      <c r="B440" t="n">
        <v>230.48</v>
      </c>
      <c r="C440">
        <f>C428+A440*1024*C426</f>
        <v/>
      </c>
      <c r="D440">
        <f>B440/C440</f>
        <v/>
      </c>
      <c r="E440" t="n">
        <v>4.27</v>
      </c>
      <c r="F440">
        <f>A440*1024/(C440*0.000001)/1000000000*C427</f>
        <v/>
      </c>
      <c r="G440">
        <f>E440/F440</f>
        <v/>
      </c>
    </row>
    <row r="441">
      <c r="A441" t="n">
        <v>1024</v>
      </c>
      <c r="B441" t="n">
        <v>323.51</v>
      </c>
      <c r="C441">
        <f>C428+A441*1024*C426</f>
        <v/>
      </c>
      <c r="D441">
        <f>B441/C441</f>
        <v/>
      </c>
      <c r="E441" t="n">
        <v>6.08</v>
      </c>
      <c r="F441">
        <f>A441*1024/(C441*0.000001)/1000000000*C427</f>
        <v/>
      </c>
      <c r="G441">
        <f>E441/F441</f>
        <v/>
      </c>
    </row>
    <row r="442">
      <c r="A442" t="n">
        <v>2048</v>
      </c>
      <c r="B442" t="n">
        <v>525.9299999999999</v>
      </c>
      <c r="C442">
        <f>C428+A442*1024*C426</f>
        <v/>
      </c>
      <c r="D442">
        <f>B442/C442</f>
        <v/>
      </c>
      <c r="E442" t="n">
        <v>7.48</v>
      </c>
      <c r="F442">
        <f>A442*1024/(C442*0.000001)/1000000000*C427</f>
        <v/>
      </c>
      <c r="G442">
        <f>E442/F442</f>
        <v/>
      </c>
    </row>
    <row r="443">
      <c r="A443" t="n">
        <v>4096</v>
      </c>
      <c r="B443" t="n">
        <v>937.2</v>
      </c>
      <c r="C443">
        <f>C428+A443*1024*C426</f>
        <v/>
      </c>
      <c r="D443">
        <f>B443/C443</f>
        <v/>
      </c>
      <c r="E443" t="n">
        <v>8.390000000000001</v>
      </c>
      <c r="F443">
        <f>A443*1024/(C443*0.000001)/1000000000*C427</f>
        <v/>
      </c>
      <c r="G443">
        <f>E443/F443</f>
        <v/>
      </c>
    </row>
    <row r="444">
      <c r="A444" t="n">
        <v>8192</v>
      </c>
      <c r="B444" t="n">
        <v>1732.82</v>
      </c>
      <c r="C444">
        <f>C428+A444*1024*C426</f>
        <v/>
      </c>
      <c r="D444">
        <f>B444/C444</f>
        <v/>
      </c>
      <c r="E444" t="n">
        <v>9.08</v>
      </c>
      <c r="F444">
        <f>A444*1024/(C444*0.000001)/1000000000*C427</f>
        <v/>
      </c>
      <c r="G444">
        <f>E444/F444</f>
        <v/>
      </c>
    </row>
    <row r="445">
      <c r="A445" t="n">
        <v>16384</v>
      </c>
      <c r="B445" t="n">
        <v>1845.29</v>
      </c>
      <c r="C445">
        <f>C428+A445*1024*C426</f>
        <v/>
      </c>
      <c r="D445">
        <f>B445/C445</f>
        <v/>
      </c>
      <c r="E445" t="n">
        <v>17.05</v>
      </c>
      <c r="F445">
        <f>A445*1024/(C445*0.000001)/1000000000*C427</f>
        <v/>
      </c>
      <c r="G445">
        <f>E445/F445</f>
        <v/>
      </c>
    </row>
    <row r="446">
      <c r="A446" t="n">
        <v>32768</v>
      </c>
      <c r="B446" t="n">
        <v>2119.78</v>
      </c>
      <c r="C446">
        <f>C428+A446*1024*C426</f>
        <v/>
      </c>
      <c r="D446">
        <f>B446/C446</f>
        <v/>
      </c>
      <c r="E446" t="n">
        <v>29.68</v>
      </c>
      <c r="F446">
        <f>A446*1024/(C446*0.000001)/1000000000*C427</f>
        <v/>
      </c>
      <c r="G446">
        <f>E446/F446</f>
        <v/>
      </c>
    </row>
    <row r="447">
      <c r="A447" t="n">
        <v>65536</v>
      </c>
      <c r="B447" t="n">
        <v>3997.8</v>
      </c>
      <c r="C447">
        <f>C428+A447*1024*C426</f>
        <v/>
      </c>
      <c r="D447">
        <f>B447/C447</f>
        <v/>
      </c>
      <c r="E447" t="n">
        <v>31.47</v>
      </c>
      <c r="F447">
        <f>A447*1024/(C447*0.000001)/1000000000*C427</f>
        <v/>
      </c>
      <c r="G447">
        <f>E447/F447</f>
        <v/>
      </c>
    </row>
    <row r="448">
      <c r="A448" t="n">
        <v>131072</v>
      </c>
      <c r="B448" t="n">
        <v>7759.3</v>
      </c>
      <c r="C448">
        <f>C428+A448*1024*C426</f>
        <v/>
      </c>
      <c r="D448">
        <f>B448/C448</f>
        <v/>
      </c>
      <c r="E448" t="n">
        <v>32.43</v>
      </c>
      <c r="F448">
        <f>A448*1024/(C448*0.000001)/1000000000*C427</f>
        <v/>
      </c>
      <c r="G448">
        <f>E448/F448</f>
        <v/>
      </c>
    </row>
    <row r="449">
      <c r="A449" t="n">
        <v>262144</v>
      </c>
      <c r="B449" t="n">
        <v>13839.6</v>
      </c>
      <c r="C449">
        <f>C428+A449*1024*C426</f>
        <v/>
      </c>
      <c r="D449">
        <f>B449/C449</f>
        <v/>
      </c>
      <c r="E449" t="n">
        <v>36.37</v>
      </c>
      <c r="F449">
        <f>A449*1024/(C449*0.000001)/1000000000*C427</f>
        <v/>
      </c>
      <c r="G449">
        <f>E449/F449</f>
        <v/>
      </c>
    </row>
    <row r="450">
      <c r="A450" t="n">
        <v>524288</v>
      </c>
      <c r="B450" t="n">
        <v>26473.1</v>
      </c>
      <c r="C450">
        <f>C428+A450*1024*C426</f>
        <v/>
      </c>
      <c r="D450">
        <f>B450/C450</f>
        <v/>
      </c>
      <c r="E450" t="n">
        <v>38.02</v>
      </c>
      <c r="F450">
        <f>A450*1024/(C450*0.000001)/1000000000*C427</f>
        <v/>
      </c>
      <c r="G450">
        <f>E450/F450</f>
        <v/>
      </c>
    </row>
    <row r="451">
      <c r="A451" t="n">
        <v>1048576</v>
      </c>
      <c r="B451" t="n">
        <v>52911.6</v>
      </c>
      <c r="C451">
        <f>C428+A451*1024*C426</f>
        <v/>
      </c>
      <c r="D451">
        <f>B451/C451</f>
        <v/>
      </c>
      <c r="E451" t="n">
        <v>38.05</v>
      </c>
      <c r="F451">
        <f>A451*1024/(C451*0.000001)/1000000000*C427</f>
        <v/>
      </c>
      <c r="G451">
        <f>E451/F451</f>
        <v/>
      </c>
    </row>
    <row r="452"/>
    <row r="453">
      <c r="A453" t="inlineStr">
        <is>
          <t>Nodes: 16, Protocol: LL128, Channels: 8</t>
        </is>
      </c>
    </row>
    <row r="454">
      <c r="A454" t="inlineStr">
        <is>
          <t>Parameter</t>
        </is>
      </c>
      <c r="B454" t="inlineStr">
        <is>
          <t>Formula</t>
        </is>
      </c>
      <c r="C454" t="inlineStr">
        <is>
          <t>Value</t>
        </is>
      </c>
    </row>
    <row r="455">
      <c r="A455" t="inlineStr">
        <is>
          <t>n</t>
        </is>
      </c>
      <c r="B455" t="inlineStr">
        <is>
          <t>nodes on tree</t>
        </is>
      </c>
      <c r="C455" t="n">
        <v>16</v>
      </c>
    </row>
    <row r="456">
      <c r="A456" t="inlineStr">
        <is>
          <t>nch</t>
        </is>
      </c>
      <c r="B456" t="inlineStr">
        <is>
          <t>channels</t>
        </is>
      </c>
      <c r="C456" t="n">
        <v>8</v>
      </c>
    </row>
    <row r="457">
      <c r="A457" t="inlineStr">
        <is>
          <t>a</t>
        </is>
      </c>
      <c r="B457" t="inlineStr">
        <is>
          <t>RTT (us)</t>
        </is>
      </c>
      <c r="C457" t="n">
        <v>25.8107</v>
      </c>
    </row>
    <row r="458">
      <c r="A458" t="inlineStr">
        <is>
          <t>NIC_BW</t>
        </is>
      </c>
      <c r="B458" t="inlineStr">
        <is>
          <t>bytes/us</t>
        </is>
      </c>
      <c r="C458" t="n">
        <v>48750</v>
      </c>
    </row>
    <row r="459">
      <c r="A459" t="inlineStr">
        <is>
          <t>NIC_BW_REAL</t>
        </is>
      </c>
      <c r="B459" t="inlineStr">
        <is>
          <t>(NIC_BW*15/16)/2</t>
        </is>
      </c>
      <c r="C459">
        <f>(C458*15/16)/2</f>
        <v/>
      </c>
    </row>
    <row r="460">
      <c r="A460" t="inlineStr">
        <is>
          <t>G</t>
        </is>
      </c>
      <c r="B460" t="inlineStr">
        <is>
          <t>1/NIC_BW_REAL</t>
        </is>
      </c>
      <c r="C460">
        <f>1/C459</f>
        <v/>
      </c>
    </row>
    <row r="461">
      <c r="A461" t="inlineStr">
        <is>
          <t>busbw_factor</t>
        </is>
      </c>
      <c r="B461" t="inlineStr">
        <is>
          <t>2*(n-1)/n</t>
        </is>
      </c>
      <c r="C461">
        <f>2*(C455-1)/C455</f>
        <v/>
      </c>
    </row>
    <row r="462">
      <c r="A462" t="inlineStr">
        <is>
          <t>fixed_overhead</t>
        </is>
      </c>
      <c r="B462" t="inlineStr">
        <is>
          <t>(2*LOG2(n)+1)*a/2</t>
        </is>
      </c>
      <c r="C462">
        <f>(2*LOG(C455,2)+1)*C457/2</f>
        <v/>
      </c>
    </row>
    <row r="463"/>
    <row r="464">
      <c r="A464" t="inlineStr">
        <is>
          <t>size_KB</t>
        </is>
      </c>
      <c r="B464" t="inlineStr">
        <is>
          <t>Actual Time (us)</t>
        </is>
      </c>
      <c r="C464" t="inlineStr">
        <is>
          <t>Roofline Time (us)</t>
        </is>
      </c>
      <c r="D464" t="inlineStr">
        <is>
          <t>Actual/Roofline</t>
        </is>
      </c>
      <c r="E464" t="inlineStr">
        <is>
          <t>Actual busBW (GB/s)</t>
        </is>
      </c>
      <c r="F464" t="inlineStr">
        <is>
          <t>Roofline busBW (GB/s)</t>
        </is>
      </c>
      <c r="G464" t="inlineStr">
        <is>
          <t>Meas/Roof busBW</t>
        </is>
      </c>
    </row>
    <row r="465">
      <c r="A465" t="n">
        <v>1</v>
      </c>
      <c r="B465" t="n">
        <v>150.93</v>
      </c>
      <c r="C465">
        <f>C462+A465*1024*C460</f>
        <v/>
      </c>
      <c r="D465">
        <f>B465/C465</f>
        <v/>
      </c>
      <c r="E465" t="n">
        <v>0.01</v>
      </c>
      <c r="F465">
        <f>A465*1024/(C465*0.000001)/1000000000*C461</f>
        <v/>
      </c>
      <c r="G465">
        <f>E465/F465</f>
        <v/>
      </c>
    </row>
    <row r="466">
      <c r="A466" t="n">
        <v>2</v>
      </c>
      <c r="B466" t="n">
        <v>151.71</v>
      </c>
      <c r="C466">
        <f>C462+A466*1024*C460</f>
        <v/>
      </c>
      <c r="D466">
        <f>B466/C466</f>
        <v/>
      </c>
      <c r="E466" t="n">
        <v>0.03</v>
      </c>
      <c r="F466">
        <f>A466*1024/(C466*0.000001)/1000000000*C461</f>
        <v/>
      </c>
      <c r="G466">
        <f>E466/F466</f>
        <v/>
      </c>
    </row>
    <row r="467">
      <c r="A467" t="n">
        <v>4</v>
      </c>
      <c r="B467" t="n">
        <v>159.36</v>
      </c>
      <c r="C467">
        <f>C462+A467*1024*C460</f>
        <v/>
      </c>
      <c r="D467">
        <f>B467/C467</f>
        <v/>
      </c>
      <c r="E467" t="n">
        <v>0.05</v>
      </c>
      <c r="F467">
        <f>A467*1024/(C467*0.000001)/1000000000*C461</f>
        <v/>
      </c>
      <c r="G467">
        <f>E467/F467</f>
        <v/>
      </c>
    </row>
    <row r="468">
      <c r="A468" t="n">
        <v>8</v>
      </c>
      <c r="B468" t="n">
        <v>170.48</v>
      </c>
      <c r="C468">
        <f>C462+A468*1024*C460</f>
        <v/>
      </c>
      <c r="D468">
        <f>B468/C468</f>
        <v/>
      </c>
      <c r="E468" t="n">
        <v>0.09</v>
      </c>
      <c r="F468">
        <f>A468*1024/(C468*0.000001)/1000000000*C461</f>
        <v/>
      </c>
      <c r="G468">
        <f>E468/F468</f>
        <v/>
      </c>
    </row>
    <row r="469">
      <c r="A469" t="n">
        <v>16</v>
      </c>
      <c r="B469" t="n">
        <v>179.03</v>
      </c>
      <c r="C469">
        <f>C462+A469*1024*C460</f>
        <v/>
      </c>
      <c r="D469">
        <f>B469/C469</f>
        <v/>
      </c>
      <c r="E469" t="n">
        <v>0.17</v>
      </c>
      <c r="F469">
        <f>A469*1024/(C469*0.000001)/1000000000*C461</f>
        <v/>
      </c>
      <c r="G469">
        <f>E469/F469</f>
        <v/>
      </c>
    </row>
    <row r="470">
      <c r="A470" t="n">
        <v>32</v>
      </c>
      <c r="B470" t="n">
        <v>183.4</v>
      </c>
      <c r="C470">
        <f>C462+A470*1024*C460</f>
        <v/>
      </c>
      <c r="D470">
        <f>B470/C470</f>
        <v/>
      </c>
      <c r="E470" t="n">
        <v>0.34</v>
      </c>
      <c r="F470">
        <f>A470*1024/(C470*0.000001)/1000000000*C461</f>
        <v/>
      </c>
      <c r="G470">
        <f>E470/F470</f>
        <v/>
      </c>
    </row>
    <row r="471">
      <c r="A471" t="n">
        <v>64</v>
      </c>
      <c r="B471" t="n">
        <v>185.12</v>
      </c>
      <c r="C471">
        <f>C462+A471*1024*C460</f>
        <v/>
      </c>
      <c r="D471">
        <f>B471/C471</f>
        <v/>
      </c>
      <c r="E471" t="n">
        <v>0.66</v>
      </c>
      <c r="F471">
        <f>A471*1024/(C471*0.000001)/1000000000*C461</f>
        <v/>
      </c>
      <c r="G471">
        <f>E471/F471</f>
        <v/>
      </c>
    </row>
    <row r="472">
      <c r="A472" t="n">
        <v>128</v>
      </c>
      <c r="B472" t="n">
        <v>195.92</v>
      </c>
      <c r="C472">
        <f>C462+A472*1024*C460</f>
        <v/>
      </c>
      <c r="D472">
        <f>B472/C472</f>
        <v/>
      </c>
      <c r="E472" t="n">
        <v>1.25</v>
      </c>
      <c r="F472">
        <f>A472*1024/(C472*0.000001)/1000000000*C461</f>
        <v/>
      </c>
      <c r="G472">
        <f>E472/F472</f>
        <v/>
      </c>
    </row>
    <row r="473">
      <c r="A473" t="n">
        <v>256</v>
      </c>
      <c r="B473" t="n">
        <v>209.35</v>
      </c>
      <c r="C473">
        <f>C462+A473*1024*C460</f>
        <v/>
      </c>
      <c r="D473">
        <f>B473/C473</f>
        <v/>
      </c>
      <c r="E473" t="n">
        <v>2.35</v>
      </c>
      <c r="F473">
        <f>A473*1024/(C473*0.000001)/1000000000*C461</f>
        <v/>
      </c>
      <c r="G473">
        <f>E473/F473</f>
        <v/>
      </c>
    </row>
    <row r="474">
      <c r="A474" t="n">
        <v>512</v>
      </c>
      <c r="B474" t="n">
        <v>233.71</v>
      </c>
      <c r="C474">
        <f>C462+A474*1024*C460</f>
        <v/>
      </c>
      <c r="D474">
        <f>B474/C474</f>
        <v/>
      </c>
      <c r="E474" t="n">
        <v>4.21</v>
      </c>
      <c r="F474">
        <f>A474*1024/(C474*0.000001)/1000000000*C461</f>
        <v/>
      </c>
      <c r="G474">
        <f>E474/F474</f>
        <v/>
      </c>
    </row>
    <row r="475">
      <c r="A475" t="n">
        <v>1024</v>
      </c>
      <c r="B475" t="n">
        <v>279.6</v>
      </c>
      <c r="C475">
        <f>C462+A475*1024*C460</f>
        <v/>
      </c>
      <c r="D475">
        <f>B475/C475</f>
        <v/>
      </c>
      <c r="E475" t="n">
        <v>7.03</v>
      </c>
      <c r="F475">
        <f>A475*1024/(C475*0.000001)/1000000000*C461</f>
        <v/>
      </c>
      <c r="G475">
        <f>E475/F475</f>
        <v/>
      </c>
    </row>
    <row r="476">
      <c r="A476" t="n">
        <v>2048</v>
      </c>
      <c r="B476" t="n">
        <v>456.77</v>
      </c>
      <c r="C476">
        <f>C462+A476*1024*C460</f>
        <v/>
      </c>
      <c r="D476">
        <f>B476/C476</f>
        <v/>
      </c>
      <c r="E476" t="n">
        <v>8.609999999999999</v>
      </c>
      <c r="F476">
        <f>A476*1024/(C476*0.000001)/1000000000*C461</f>
        <v/>
      </c>
      <c r="G476">
        <f>E476/F476</f>
        <v/>
      </c>
    </row>
    <row r="477">
      <c r="A477" t="n">
        <v>4096</v>
      </c>
      <c r="B477" t="n">
        <v>810.98</v>
      </c>
      <c r="C477">
        <f>C462+A477*1024*C460</f>
        <v/>
      </c>
      <c r="D477">
        <f>B477/C477</f>
        <v/>
      </c>
      <c r="E477" t="n">
        <v>9.699999999999999</v>
      </c>
      <c r="F477">
        <f>A477*1024/(C477*0.000001)/1000000000*C461</f>
        <v/>
      </c>
      <c r="G477">
        <f>E477/F477</f>
        <v/>
      </c>
    </row>
    <row r="478">
      <c r="A478" t="n">
        <v>8192</v>
      </c>
      <c r="B478" t="n">
        <v>1491.92</v>
      </c>
      <c r="C478">
        <f>C462+A478*1024*C460</f>
        <v/>
      </c>
      <c r="D478">
        <f>B478/C478</f>
        <v/>
      </c>
      <c r="E478" t="n">
        <v>10.54</v>
      </c>
      <c r="F478">
        <f>A478*1024/(C478*0.000001)/1000000000*C461</f>
        <v/>
      </c>
      <c r="G478">
        <f>E478/F478</f>
        <v/>
      </c>
    </row>
    <row r="479">
      <c r="A479" t="n">
        <v>16384</v>
      </c>
      <c r="B479" t="n">
        <v>2876.44</v>
      </c>
      <c r="C479">
        <f>C462+A479*1024*C460</f>
        <v/>
      </c>
      <c r="D479">
        <f>B479/C479</f>
        <v/>
      </c>
      <c r="E479" t="n">
        <v>10.94</v>
      </c>
      <c r="F479">
        <f>A479*1024/(C479*0.000001)/1000000000*C461</f>
        <v/>
      </c>
      <c r="G479">
        <f>E479/F479</f>
        <v/>
      </c>
    </row>
    <row r="480">
      <c r="A480" t="n">
        <v>32768</v>
      </c>
      <c r="B480" t="n">
        <v>3063.11</v>
      </c>
      <c r="C480">
        <f>C462+A480*1024*C460</f>
        <v/>
      </c>
      <c r="D480">
        <f>B480/C480</f>
        <v/>
      </c>
      <c r="E480" t="n">
        <v>20.54</v>
      </c>
      <c r="F480">
        <f>A480*1024/(C480*0.000001)/1000000000*C461</f>
        <v/>
      </c>
      <c r="G480">
        <f>E480/F480</f>
        <v/>
      </c>
    </row>
    <row r="481">
      <c r="A481" t="n">
        <v>65536</v>
      </c>
      <c r="B481" t="n">
        <v>3830.98</v>
      </c>
      <c r="C481">
        <f>C462+A481*1024*C460</f>
        <v/>
      </c>
      <c r="D481">
        <f>B481/C481</f>
        <v/>
      </c>
      <c r="E481" t="n">
        <v>32.85</v>
      </c>
      <c r="F481">
        <f>A481*1024/(C481*0.000001)/1000000000*C461</f>
        <v/>
      </c>
      <c r="G481">
        <f>E481/F481</f>
        <v/>
      </c>
    </row>
    <row r="482">
      <c r="A482" t="n">
        <v>131072</v>
      </c>
      <c r="B482" t="n">
        <v>7406.27</v>
      </c>
      <c r="C482">
        <f>C462+A482*1024*C460</f>
        <v/>
      </c>
      <c r="D482">
        <f>B482/C482</f>
        <v/>
      </c>
      <c r="E482" t="n">
        <v>33.98</v>
      </c>
      <c r="F482">
        <f>A482*1024/(C482*0.000001)/1000000000*C461</f>
        <v/>
      </c>
      <c r="G482">
        <f>E482/F482</f>
        <v/>
      </c>
    </row>
    <row r="483">
      <c r="A483" t="n">
        <v>262144</v>
      </c>
      <c r="B483" t="n">
        <v>14575.7</v>
      </c>
      <c r="C483">
        <f>C462+A483*1024*C460</f>
        <v/>
      </c>
      <c r="D483">
        <f>B483/C483</f>
        <v/>
      </c>
      <c r="E483" t="n">
        <v>34.53</v>
      </c>
      <c r="F483">
        <f>A483*1024/(C483*0.000001)/1000000000*C461</f>
        <v/>
      </c>
      <c r="G483">
        <f>E483/F483</f>
        <v/>
      </c>
    </row>
    <row r="484">
      <c r="A484" t="n">
        <v>524288</v>
      </c>
      <c r="B484" t="n">
        <v>28383.4</v>
      </c>
      <c r="C484">
        <f>C462+A484*1024*C460</f>
        <v/>
      </c>
      <c r="D484">
        <f>B484/C484</f>
        <v/>
      </c>
      <c r="E484" t="n">
        <v>35.47</v>
      </c>
      <c r="F484">
        <f>A484*1024/(C484*0.000001)/1000000000*C461</f>
        <v/>
      </c>
      <c r="G484">
        <f>E484/F484</f>
        <v/>
      </c>
    </row>
    <row r="485">
      <c r="A485" t="n">
        <v>1048576</v>
      </c>
      <c r="B485" t="n">
        <v>53188.1</v>
      </c>
      <c r="C485">
        <f>C462+A485*1024*C460</f>
        <v/>
      </c>
      <c r="D485">
        <f>B485/C485</f>
        <v/>
      </c>
      <c r="E485" t="n">
        <v>37.85</v>
      </c>
      <c r="F485">
        <f>A485*1024/(C485*0.000001)/1000000000*C461</f>
        <v/>
      </c>
      <c r="G485">
        <f>E485/F485</f>
        <v/>
      </c>
    </row>
    <row r="486"/>
    <row r="487">
      <c r="A487" t="inlineStr">
        <is>
          <t>Nodes: 16, Protocol: LL128, Channels: 16</t>
        </is>
      </c>
    </row>
    <row r="488">
      <c r="A488" t="inlineStr">
        <is>
          <t>Parameter</t>
        </is>
      </c>
      <c r="B488" t="inlineStr">
        <is>
          <t>Formula</t>
        </is>
      </c>
      <c r="C488" t="inlineStr">
        <is>
          <t>Value</t>
        </is>
      </c>
    </row>
    <row r="489">
      <c r="A489" t="inlineStr">
        <is>
          <t>n</t>
        </is>
      </c>
      <c r="B489" t="inlineStr">
        <is>
          <t>nodes on tree</t>
        </is>
      </c>
      <c r="C489" t="n">
        <v>16</v>
      </c>
    </row>
    <row r="490">
      <c r="A490" t="inlineStr">
        <is>
          <t>nch</t>
        </is>
      </c>
      <c r="B490" t="inlineStr">
        <is>
          <t>channels</t>
        </is>
      </c>
      <c r="C490" t="n">
        <v>16</v>
      </c>
    </row>
    <row r="491">
      <c r="A491" t="inlineStr">
        <is>
          <t>a</t>
        </is>
      </c>
      <c r="B491" t="inlineStr">
        <is>
          <t>RTT (us)</t>
        </is>
      </c>
      <c r="C491" t="n">
        <v>25.8107</v>
      </c>
    </row>
    <row r="492">
      <c r="A492" t="inlineStr">
        <is>
          <t>NIC_BW</t>
        </is>
      </c>
      <c r="B492" t="inlineStr">
        <is>
          <t>bytes/us</t>
        </is>
      </c>
      <c r="C492" t="n">
        <v>48750</v>
      </c>
    </row>
    <row r="493">
      <c r="A493" t="inlineStr">
        <is>
          <t>NIC_BW_REAL</t>
        </is>
      </c>
      <c r="B493" t="inlineStr">
        <is>
          <t>(NIC_BW*15/16)/2</t>
        </is>
      </c>
      <c r="C493">
        <f>(C492*15/16)/2</f>
        <v/>
      </c>
    </row>
    <row r="494">
      <c r="A494" t="inlineStr">
        <is>
          <t>G</t>
        </is>
      </c>
      <c r="B494" t="inlineStr">
        <is>
          <t>1/NIC_BW_REAL</t>
        </is>
      </c>
      <c r="C494">
        <f>1/C493</f>
        <v/>
      </c>
    </row>
    <row r="495">
      <c r="A495" t="inlineStr">
        <is>
          <t>busbw_factor</t>
        </is>
      </c>
      <c r="B495" t="inlineStr">
        <is>
          <t>2*(n-1)/n</t>
        </is>
      </c>
      <c r="C495">
        <f>2*(C489-1)/C489</f>
        <v/>
      </c>
    </row>
    <row r="496">
      <c r="A496" t="inlineStr">
        <is>
          <t>fixed_overhead</t>
        </is>
      </c>
      <c r="B496" t="inlineStr">
        <is>
          <t>(2*LOG2(n)+1)*a/2</t>
        </is>
      </c>
      <c r="C496">
        <f>(2*LOG(C489,2)+1)*C491/2</f>
        <v/>
      </c>
    </row>
    <row r="497"/>
    <row r="498">
      <c r="A498" t="inlineStr">
        <is>
          <t>size_KB</t>
        </is>
      </c>
      <c r="B498" t="inlineStr">
        <is>
          <t>Actual Time (us)</t>
        </is>
      </c>
      <c r="C498" t="inlineStr">
        <is>
          <t>Roofline Time (us)</t>
        </is>
      </c>
      <c r="D498" t="inlineStr">
        <is>
          <t>Actual/Roofline</t>
        </is>
      </c>
      <c r="E498" t="inlineStr">
        <is>
          <t>Actual busBW (GB/s)</t>
        </is>
      </c>
      <c r="F498" t="inlineStr">
        <is>
          <t>Roofline busBW (GB/s)</t>
        </is>
      </c>
      <c r="G498" t="inlineStr">
        <is>
          <t>Meas/Roof busBW</t>
        </is>
      </c>
    </row>
    <row r="499">
      <c r="A499" t="n">
        <v>1</v>
      </c>
      <c r="B499" t="n">
        <v>186.61</v>
      </c>
      <c r="C499">
        <f>C496+A499*1024*C494</f>
        <v/>
      </c>
      <c r="D499">
        <f>B499/C499</f>
        <v/>
      </c>
      <c r="E499" t="n">
        <v>0.01</v>
      </c>
      <c r="F499">
        <f>A499*1024/(C499*0.000001)/1000000000*C495</f>
        <v/>
      </c>
      <c r="G499">
        <f>E499/F499</f>
        <v/>
      </c>
    </row>
    <row r="500">
      <c r="A500" t="n">
        <v>2</v>
      </c>
      <c r="B500" t="n">
        <v>151.03</v>
      </c>
      <c r="C500">
        <f>C496+A500*1024*C494</f>
        <v/>
      </c>
      <c r="D500">
        <f>B500/C500</f>
        <v/>
      </c>
      <c r="E500" t="n">
        <v>0.03</v>
      </c>
      <c r="F500">
        <f>A500*1024/(C500*0.000001)/1000000000*C495</f>
        <v/>
      </c>
      <c r="G500">
        <f>E500/F500</f>
        <v/>
      </c>
    </row>
    <row r="501">
      <c r="A501" t="n">
        <v>4</v>
      </c>
      <c r="B501" t="n">
        <v>159.41</v>
      </c>
      <c r="C501">
        <f>C496+A501*1024*C494</f>
        <v/>
      </c>
      <c r="D501">
        <f>B501/C501</f>
        <v/>
      </c>
      <c r="E501" t="n">
        <v>0.05</v>
      </c>
      <c r="F501">
        <f>A501*1024/(C501*0.000001)/1000000000*C495</f>
        <v/>
      </c>
      <c r="G501">
        <f>E501/F501</f>
        <v/>
      </c>
    </row>
    <row r="502">
      <c r="A502" t="n">
        <v>8</v>
      </c>
      <c r="B502" t="n">
        <v>170.55</v>
      </c>
      <c r="C502">
        <f>C496+A502*1024*C494</f>
        <v/>
      </c>
      <c r="D502">
        <f>B502/C502</f>
        <v/>
      </c>
      <c r="E502" t="n">
        <v>0.09</v>
      </c>
      <c r="F502">
        <f>A502*1024/(C502*0.000001)/1000000000*C495</f>
        <v/>
      </c>
      <c r="G502">
        <f>E502/F502</f>
        <v/>
      </c>
    </row>
    <row r="503">
      <c r="A503" t="n">
        <v>16</v>
      </c>
      <c r="B503" t="n">
        <v>178.7</v>
      </c>
      <c r="C503">
        <f>C496+A503*1024*C494</f>
        <v/>
      </c>
      <c r="D503">
        <f>B503/C503</f>
        <v/>
      </c>
      <c r="E503" t="n">
        <v>0.17</v>
      </c>
      <c r="F503">
        <f>A503*1024/(C503*0.000001)/1000000000*C495</f>
        <v/>
      </c>
      <c r="G503">
        <f>E503/F503</f>
        <v/>
      </c>
    </row>
    <row r="504">
      <c r="A504" t="n">
        <v>32</v>
      </c>
      <c r="B504" t="n">
        <v>182.52</v>
      </c>
      <c r="C504">
        <f>C496+A504*1024*C494</f>
        <v/>
      </c>
      <c r="D504">
        <f>B504/C504</f>
        <v/>
      </c>
      <c r="E504" t="n">
        <v>0.34</v>
      </c>
      <c r="F504">
        <f>A504*1024/(C504*0.000001)/1000000000*C495</f>
        <v/>
      </c>
      <c r="G504">
        <f>E504/F504</f>
        <v/>
      </c>
    </row>
    <row r="505">
      <c r="A505" t="n">
        <v>64</v>
      </c>
      <c r="B505" t="n">
        <v>184.5</v>
      </c>
      <c r="C505">
        <f>C496+A505*1024*C494</f>
        <v/>
      </c>
      <c r="D505">
        <f>B505/C505</f>
        <v/>
      </c>
      <c r="E505" t="n">
        <v>0.67</v>
      </c>
      <c r="F505">
        <f>A505*1024/(C505*0.000001)/1000000000*C495</f>
        <v/>
      </c>
      <c r="G505">
        <f>E505/F505</f>
        <v/>
      </c>
    </row>
    <row r="506">
      <c r="A506" t="n">
        <v>128</v>
      </c>
      <c r="B506" t="n">
        <v>196.42</v>
      </c>
      <c r="C506">
        <f>C496+A506*1024*C494</f>
        <v/>
      </c>
      <c r="D506">
        <f>B506/C506</f>
        <v/>
      </c>
      <c r="E506" t="n">
        <v>1.25</v>
      </c>
      <c r="F506">
        <f>A506*1024/(C506*0.000001)/1000000000*C495</f>
        <v/>
      </c>
      <c r="G506">
        <f>E506/F506</f>
        <v/>
      </c>
    </row>
    <row r="507">
      <c r="A507" t="n">
        <v>256</v>
      </c>
      <c r="B507" t="n">
        <v>222.41</v>
      </c>
      <c r="C507">
        <f>C496+A507*1024*C494</f>
        <v/>
      </c>
      <c r="D507">
        <f>B507/C507</f>
        <v/>
      </c>
      <c r="E507" t="n">
        <v>2.21</v>
      </c>
      <c r="F507">
        <f>A507*1024/(C507*0.000001)/1000000000*C495</f>
        <v/>
      </c>
      <c r="G507">
        <f>E507/F507</f>
        <v/>
      </c>
    </row>
    <row r="508">
      <c r="A508" t="n">
        <v>512</v>
      </c>
      <c r="B508" t="n">
        <v>314.1</v>
      </c>
      <c r="C508">
        <f>C496+A508*1024*C494</f>
        <v/>
      </c>
      <c r="D508">
        <f>B508/C508</f>
        <v/>
      </c>
      <c r="E508" t="n">
        <v>3.13</v>
      </c>
      <c r="F508">
        <f>A508*1024/(C508*0.000001)/1000000000*C495</f>
        <v/>
      </c>
      <c r="G508">
        <f>E508/F508</f>
        <v/>
      </c>
    </row>
    <row r="509">
      <c r="A509" t="n">
        <v>1024</v>
      </c>
      <c r="B509" t="n">
        <v>307.7</v>
      </c>
      <c r="C509">
        <f>C496+A509*1024*C494</f>
        <v/>
      </c>
      <c r="D509">
        <f>B509/C509</f>
        <v/>
      </c>
      <c r="E509" t="n">
        <v>6.39</v>
      </c>
      <c r="F509">
        <f>A509*1024/(C509*0.000001)/1000000000*C495</f>
        <v/>
      </c>
      <c r="G509">
        <f>E509/F509</f>
        <v/>
      </c>
    </row>
    <row r="510">
      <c r="A510" t="n">
        <v>2048</v>
      </c>
      <c r="B510" t="n">
        <v>410.9</v>
      </c>
      <c r="C510">
        <f>C496+A510*1024*C494</f>
        <v/>
      </c>
      <c r="D510">
        <f>B510/C510</f>
        <v/>
      </c>
      <c r="E510" t="n">
        <v>9.57</v>
      </c>
      <c r="F510">
        <f>A510*1024/(C510*0.000001)/1000000000*C495</f>
        <v/>
      </c>
      <c r="G510">
        <f>E510/F510</f>
        <v/>
      </c>
    </row>
    <row r="511">
      <c r="A511" t="n">
        <v>4096</v>
      </c>
      <c r="B511" t="n">
        <v>771.73</v>
      </c>
      <c r="C511">
        <f>C496+A511*1024*C494</f>
        <v/>
      </c>
      <c r="D511">
        <f>B511/C511</f>
        <v/>
      </c>
      <c r="E511" t="n">
        <v>10.19</v>
      </c>
      <c r="F511">
        <f>A511*1024/(C511*0.000001)/1000000000*C495</f>
        <v/>
      </c>
      <c r="G511">
        <f>E511/F511</f>
        <v/>
      </c>
    </row>
    <row r="512">
      <c r="A512" t="n">
        <v>8192</v>
      </c>
      <c r="B512" t="n">
        <v>1432.3</v>
      </c>
      <c r="C512">
        <f>C496+A512*1024*C494</f>
        <v/>
      </c>
      <c r="D512">
        <f>B512/C512</f>
        <v/>
      </c>
      <c r="E512" t="n">
        <v>10.98</v>
      </c>
      <c r="F512">
        <f>A512*1024/(C512*0.000001)/1000000000*C495</f>
        <v/>
      </c>
      <c r="G512">
        <f>E512/F512</f>
        <v/>
      </c>
    </row>
    <row r="513">
      <c r="A513" t="n">
        <v>16384</v>
      </c>
      <c r="B513" t="n">
        <v>2783.66</v>
      </c>
      <c r="C513">
        <f>C496+A513*1024*C494</f>
        <v/>
      </c>
      <c r="D513">
        <f>B513/C513</f>
        <v/>
      </c>
      <c r="E513" t="n">
        <v>11.3</v>
      </c>
      <c r="F513">
        <f>A513*1024/(C513*0.000001)/1000000000*C495</f>
        <v/>
      </c>
      <c r="G513">
        <f>E513/F513</f>
        <v/>
      </c>
    </row>
    <row r="514">
      <c r="A514" t="n">
        <v>32768</v>
      </c>
      <c r="B514" t="n">
        <v>5440.14</v>
      </c>
      <c r="C514">
        <f>C496+A514*1024*C494</f>
        <v/>
      </c>
      <c r="D514">
        <f>B514/C514</f>
        <v/>
      </c>
      <c r="E514" t="n">
        <v>11.56</v>
      </c>
      <c r="F514">
        <f>A514*1024/(C514*0.000001)/1000000000*C495</f>
        <v/>
      </c>
      <c r="G514">
        <f>E514/F514</f>
        <v/>
      </c>
    </row>
    <row r="515">
      <c r="A515" t="n">
        <v>65536</v>
      </c>
      <c r="B515" t="n">
        <v>5640.29</v>
      </c>
      <c r="C515">
        <f>C496+A515*1024*C494</f>
        <v/>
      </c>
      <c r="D515">
        <f>B515/C515</f>
        <v/>
      </c>
      <c r="E515" t="n">
        <v>22.31</v>
      </c>
      <c r="F515">
        <f>A515*1024/(C515*0.000001)/1000000000*C495</f>
        <v/>
      </c>
      <c r="G515">
        <f>E515/F515</f>
        <v/>
      </c>
    </row>
    <row r="516">
      <c r="A516" t="n">
        <v>131072</v>
      </c>
      <c r="B516" t="n">
        <v>7447.53</v>
      </c>
      <c r="C516">
        <f>C496+A516*1024*C494</f>
        <v/>
      </c>
      <c r="D516">
        <f>B516/C516</f>
        <v/>
      </c>
      <c r="E516" t="n">
        <v>33.79</v>
      </c>
      <c r="F516">
        <f>A516*1024/(C516*0.000001)/1000000000*C495</f>
        <v/>
      </c>
      <c r="G516">
        <f>E516/F516</f>
        <v/>
      </c>
    </row>
    <row r="517">
      <c r="A517" t="n">
        <v>262144</v>
      </c>
      <c r="B517" t="n">
        <v>14632.5</v>
      </c>
      <c r="C517">
        <f>C496+A517*1024*C494</f>
        <v/>
      </c>
      <c r="D517">
        <f>B517/C517</f>
        <v/>
      </c>
      <c r="E517" t="n">
        <v>34.4</v>
      </c>
      <c r="F517">
        <f>A517*1024/(C517*0.000001)/1000000000*C495</f>
        <v/>
      </c>
      <c r="G517">
        <f>E517/F517</f>
        <v/>
      </c>
    </row>
    <row r="518">
      <c r="A518" t="n">
        <v>524288</v>
      </c>
      <c r="B518" t="n">
        <v>29131.5</v>
      </c>
      <c r="C518">
        <f>C496+A518*1024*C494</f>
        <v/>
      </c>
      <c r="D518">
        <f>B518/C518</f>
        <v/>
      </c>
      <c r="E518" t="n">
        <v>34.55</v>
      </c>
      <c r="F518">
        <f>A518*1024/(C518*0.000001)/1000000000*C495</f>
        <v/>
      </c>
      <c r="G518">
        <f>E518/F518</f>
        <v/>
      </c>
    </row>
    <row r="519">
      <c r="A519" t="n">
        <v>1048576</v>
      </c>
      <c r="B519" t="n">
        <v>56856.9</v>
      </c>
      <c r="C519">
        <f>C496+A519*1024*C494</f>
        <v/>
      </c>
      <c r="D519">
        <f>B519/C519</f>
        <v/>
      </c>
      <c r="E519" t="n">
        <v>35.41</v>
      </c>
      <c r="F519">
        <f>A519*1024/(C519*0.000001)/1000000000*C495</f>
        <v/>
      </c>
      <c r="G519">
        <f>E519/F519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9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Nodes: 8, Protocol: Simple, Channels: 1</t>
        </is>
      </c>
    </row>
    <row r="2">
      <c r="A2" t="inlineStr">
        <is>
          <t>Parameter</t>
        </is>
      </c>
      <c r="B2" t="inlineStr">
        <is>
          <t>Formula</t>
        </is>
      </c>
      <c r="C2" t="inlineStr">
        <is>
          <t>Value</t>
        </is>
      </c>
    </row>
    <row r="3">
      <c r="A3" t="inlineStr">
        <is>
          <t>N</t>
        </is>
      </c>
      <c r="B3" t="inlineStr">
        <is>
          <t>nodes</t>
        </is>
      </c>
      <c r="C3" t="n">
        <v>8</v>
      </c>
    </row>
    <row r="4">
      <c r="A4" t="inlineStr">
        <is>
          <t>n</t>
        </is>
      </c>
      <c r="B4" t="inlineStr">
        <is>
          <t>GPUs/node</t>
        </is>
      </c>
      <c r="C4" t="n">
        <v>8</v>
      </c>
    </row>
    <row r="5">
      <c r="A5" t="inlineStr">
        <is>
          <t>n_total</t>
        </is>
      </c>
      <c r="B5" t="inlineStr">
        <is>
          <t>N*n</t>
        </is>
      </c>
      <c r="C5" t="n">
        <v>64</v>
      </c>
    </row>
    <row r="6">
      <c r="A6" t="inlineStr">
        <is>
          <t>nch_raw</t>
        </is>
      </c>
      <c r="B6" t="inlineStr">
        <is>
          <t>raw channels</t>
        </is>
      </c>
      <c r="C6" t="n">
        <v>1</v>
      </c>
    </row>
    <row r="7">
      <c r="A7" t="inlineStr">
        <is>
          <t>nch</t>
        </is>
      </c>
      <c r="B7" t="inlineStr">
        <is>
          <t>min(nch_raw,8)</t>
        </is>
      </c>
      <c r="C7" t="n">
        <v>1</v>
      </c>
    </row>
    <row r="8">
      <c r="A8" t="inlineStr">
        <is>
          <t>a</t>
        </is>
      </c>
      <c r="B8" t="inlineStr">
        <is>
          <t>RTT (us)</t>
        </is>
      </c>
      <c r="C8" t="n">
        <v>24.92</v>
      </c>
    </row>
    <row r="9">
      <c r="A9" t="inlineStr">
        <is>
          <t>NIC_BW</t>
        </is>
      </c>
      <c r="B9" t="inlineStr">
        <is>
          <t>bytes/us</t>
        </is>
      </c>
      <c r="C9" t="n">
        <v>48750</v>
      </c>
    </row>
    <row r="10">
      <c r="A10" t="inlineStr">
        <is>
          <t>G_agg</t>
        </is>
      </c>
      <c r="B10" t="inlineStr">
        <is>
          <t>nch*NIC_BW</t>
        </is>
      </c>
      <c r="C10">
        <f>C7*C9</f>
        <v/>
      </c>
    </row>
    <row r="11">
      <c r="A11" t="inlineStr">
        <is>
          <t>busbw_factor</t>
        </is>
      </c>
      <c r="B11" t="inlineStr">
        <is>
          <t>2*(n_total-1)/n_total</t>
        </is>
      </c>
      <c r="C11">
        <f>2*(C5-1)/C5</f>
        <v/>
      </c>
    </row>
    <row r="12">
      <c r="A12" t="inlineStr">
        <is>
          <t>G_per_byte</t>
        </is>
      </c>
      <c r="B12" t="inlineStr">
        <is>
          <t>busbw_factor/G_agg</t>
        </is>
      </c>
      <c r="C12">
        <f>C11/C10</f>
        <v/>
      </c>
    </row>
    <row r="13">
      <c r="A13" t="inlineStr">
        <is>
          <t>fixed_small</t>
        </is>
      </c>
      <c r="B13" t="inlineStr">
        <is>
          <t>(2*n_total-1)*a/2</t>
        </is>
      </c>
      <c r="C13">
        <f>(2*C5-1)*C8/2</f>
        <v/>
      </c>
    </row>
    <row r="14">
      <c r="A14" t="inlineStr">
        <is>
          <t>fixed_large</t>
        </is>
      </c>
      <c r="B14" t="inlineStr">
        <is>
          <t>(2*N-1)*a/2</t>
        </is>
      </c>
      <c r="C14">
        <f>(2*C3-1)*C8/2</f>
        <v/>
      </c>
    </row>
    <row r="15">
      <c r="A15" t="inlineStr">
        <is>
          <t>threshold</t>
        </is>
      </c>
      <c r="B15" t="inlineStr">
        <is>
          <t>700</t>
        </is>
      </c>
      <c r="C15" t="n">
        <v>700</v>
      </c>
    </row>
    <row r="16"/>
    <row r="17">
      <c r="A17" t="inlineStr">
        <is>
          <t>size_KB</t>
        </is>
      </c>
      <c r="B17" t="inlineStr">
        <is>
          <t>Actual Time (us)</t>
        </is>
      </c>
      <c r="C17" t="inlineStr">
        <is>
          <t>Roofline Time (us)</t>
        </is>
      </c>
      <c r="D17" t="inlineStr">
        <is>
          <t>Actual/Roofline</t>
        </is>
      </c>
      <c r="E17" t="inlineStr">
        <is>
          <t>Actual busBW (GB/s)</t>
        </is>
      </c>
      <c r="F17" t="inlineStr">
        <is>
          <t>Roofline busBW (GB/s)</t>
        </is>
      </c>
      <c r="G17" t="inlineStr">
        <is>
          <t>Meas/Roof busBW</t>
        </is>
      </c>
    </row>
    <row r="18">
      <c r="A18" t="n">
        <v>1</v>
      </c>
      <c r="B18" t="n">
        <v>1971.8</v>
      </c>
      <c r="C18">
        <f>IF(A18*1024/(C6*C9)&lt;C15,C13,C14)+A18*1024*C12</f>
        <v/>
      </c>
      <c r="D18">
        <f>B18/C18</f>
        <v/>
      </c>
      <c r="E18" t="n">
        <v>0</v>
      </c>
      <c r="F18">
        <f>A18*1024/(C18*0.000001)/1000000000*C11</f>
        <v/>
      </c>
      <c r="G18">
        <f>E18/F18</f>
        <v/>
      </c>
    </row>
    <row r="19">
      <c r="A19" t="n">
        <v>2</v>
      </c>
      <c r="B19" t="n">
        <v>1962.38</v>
      </c>
      <c r="C19">
        <f>IF(A19*1024/(C6*C9)&lt;C15,C13,C14)+A19*1024*C12</f>
        <v/>
      </c>
      <c r="D19">
        <f>B19/C19</f>
        <v/>
      </c>
      <c r="E19" t="n">
        <v>0</v>
      </c>
      <c r="F19">
        <f>A19*1024/(C19*0.000001)/1000000000*C11</f>
        <v/>
      </c>
      <c r="G19">
        <f>E19/F19</f>
        <v/>
      </c>
    </row>
    <row r="20">
      <c r="A20" t="n">
        <v>4</v>
      </c>
      <c r="B20" t="n">
        <v>1953.83</v>
      </c>
      <c r="C20">
        <f>IF(A20*1024/(C6*C9)&lt;C15,C13,C14)+A20*1024*C12</f>
        <v/>
      </c>
      <c r="D20">
        <f>B20/C20</f>
        <v/>
      </c>
      <c r="E20" t="n">
        <v>0</v>
      </c>
      <c r="F20">
        <f>A20*1024/(C20*0.000001)/1000000000*C11</f>
        <v/>
      </c>
      <c r="G20">
        <f>E20/F20</f>
        <v/>
      </c>
    </row>
    <row r="21">
      <c r="A21" t="n">
        <v>8</v>
      </c>
      <c r="B21" t="n">
        <v>1962.55</v>
      </c>
      <c r="C21">
        <f>IF(A21*1024/(C6*C9)&lt;C15,C13,C14)+A21*1024*C12</f>
        <v/>
      </c>
      <c r="D21">
        <f>B21/C21</f>
        <v/>
      </c>
      <c r="E21" t="n">
        <v>0.01</v>
      </c>
      <c r="F21">
        <f>A21*1024/(C21*0.000001)/1000000000*C11</f>
        <v/>
      </c>
      <c r="G21">
        <f>E21/F21</f>
        <v/>
      </c>
    </row>
    <row r="22">
      <c r="A22" t="n">
        <v>16</v>
      </c>
      <c r="B22" t="n">
        <v>1964.2</v>
      </c>
      <c r="C22">
        <f>IF(A22*1024/(C6*C9)&lt;C15,C13,C14)+A22*1024*C12</f>
        <v/>
      </c>
      <c r="D22">
        <f>B22/C22</f>
        <v/>
      </c>
      <c r="E22" t="n">
        <v>0.02</v>
      </c>
      <c r="F22">
        <f>A22*1024/(C22*0.000001)/1000000000*C11</f>
        <v/>
      </c>
      <c r="G22">
        <f>E22/F22</f>
        <v/>
      </c>
    </row>
    <row r="23">
      <c r="A23" t="n">
        <v>32</v>
      </c>
      <c r="B23" t="n">
        <v>1972.01</v>
      </c>
      <c r="C23">
        <f>IF(A23*1024/(C6*C9)&lt;C15,C13,C14)+A23*1024*C12</f>
        <v/>
      </c>
      <c r="D23">
        <f>B23/C23</f>
        <v/>
      </c>
      <c r="E23" t="n">
        <v>0.03</v>
      </c>
      <c r="F23">
        <f>A23*1024/(C23*0.000001)/1000000000*C11</f>
        <v/>
      </c>
      <c r="G23">
        <f>E23/F23</f>
        <v/>
      </c>
    </row>
    <row r="24">
      <c r="A24" t="n">
        <v>64</v>
      </c>
      <c r="B24" t="n">
        <v>1984.51</v>
      </c>
      <c r="C24">
        <f>IF(A24*1024/(C6*C9)&lt;C15,C13,C14)+A24*1024*C12</f>
        <v/>
      </c>
      <c r="D24">
        <f>B24/C24</f>
        <v/>
      </c>
      <c r="E24" t="n">
        <v>0.07000000000000001</v>
      </c>
      <c r="F24">
        <f>A24*1024/(C24*0.000001)/1000000000*C11</f>
        <v/>
      </c>
      <c r="G24">
        <f>E24/F24</f>
        <v/>
      </c>
    </row>
    <row r="25">
      <c r="A25" t="n">
        <v>128</v>
      </c>
      <c r="B25" t="n">
        <v>2001.21</v>
      </c>
      <c r="C25">
        <f>IF(A25*1024/(C6*C9)&lt;C15,C13,C14)+A25*1024*C12</f>
        <v/>
      </c>
      <c r="D25">
        <f>B25/C25</f>
        <v/>
      </c>
      <c r="E25" t="n">
        <v>0.13</v>
      </c>
      <c r="F25">
        <f>A25*1024/(C25*0.000001)/1000000000*C11</f>
        <v/>
      </c>
      <c r="G25">
        <f>E25/F25</f>
        <v/>
      </c>
    </row>
    <row r="26">
      <c r="A26" t="n">
        <v>256</v>
      </c>
      <c r="B26" t="n">
        <v>2065.57</v>
      </c>
      <c r="C26">
        <f>IF(A26*1024/(C6*C9)&lt;C15,C13,C14)+A26*1024*C12</f>
        <v/>
      </c>
      <c r="D26">
        <f>B26/C26</f>
        <v/>
      </c>
      <c r="E26" t="n">
        <v>0.25</v>
      </c>
      <c r="F26">
        <f>A26*1024/(C26*0.000001)/1000000000*C11</f>
        <v/>
      </c>
      <c r="G26">
        <f>E26/F26</f>
        <v/>
      </c>
    </row>
    <row r="27">
      <c r="A27" t="n">
        <v>512</v>
      </c>
      <c r="B27" t="n">
        <v>2192.98</v>
      </c>
      <c r="C27">
        <f>IF(A27*1024/(C6*C9)&lt;C15,C13,C14)+A27*1024*C12</f>
        <v/>
      </c>
      <c r="D27">
        <f>B27/C27</f>
        <v/>
      </c>
      <c r="E27" t="n">
        <v>0.47</v>
      </c>
      <c r="F27">
        <f>A27*1024/(C27*0.000001)/1000000000*C11</f>
        <v/>
      </c>
      <c r="G27">
        <f>E27/F27</f>
        <v/>
      </c>
    </row>
    <row r="28">
      <c r="A28" t="n">
        <v>1024</v>
      </c>
      <c r="B28" t="n">
        <v>2554.52</v>
      </c>
      <c r="C28">
        <f>IF(A28*1024/(C6*C9)&lt;C15,C13,C14)+A28*1024*C12</f>
        <v/>
      </c>
      <c r="D28">
        <f>B28/C28</f>
        <v/>
      </c>
      <c r="E28" t="n">
        <v>0.8100000000000001</v>
      </c>
      <c r="F28">
        <f>A28*1024/(C28*0.000001)/1000000000*C11</f>
        <v/>
      </c>
      <c r="G28">
        <f>E28/F28</f>
        <v/>
      </c>
    </row>
    <row r="29">
      <c r="A29" t="n">
        <v>2048</v>
      </c>
      <c r="B29" t="n">
        <v>2749.46</v>
      </c>
      <c r="C29">
        <f>IF(A29*1024/(C6*C9)&lt;C15,C13,C14)+A29*1024*C12</f>
        <v/>
      </c>
      <c r="D29">
        <f>B29/C29</f>
        <v/>
      </c>
      <c r="E29" t="n">
        <v>1.5</v>
      </c>
      <c r="F29">
        <f>A29*1024/(C29*0.000001)/1000000000*C11</f>
        <v/>
      </c>
      <c r="G29">
        <f>E29/F29</f>
        <v/>
      </c>
    </row>
    <row r="30">
      <c r="A30" t="n">
        <v>4096</v>
      </c>
      <c r="B30" t="n">
        <v>2953.43</v>
      </c>
      <c r="C30">
        <f>IF(A30*1024/(C6*C9)&lt;C15,C13,C14)+A30*1024*C12</f>
        <v/>
      </c>
      <c r="D30">
        <f>B30/C30</f>
        <v/>
      </c>
      <c r="E30" t="n">
        <v>2.8</v>
      </c>
      <c r="F30">
        <f>A30*1024/(C30*0.000001)/1000000000*C11</f>
        <v/>
      </c>
      <c r="G30">
        <f>E30/F30</f>
        <v/>
      </c>
    </row>
    <row r="31">
      <c r="A31" t="n">
        <v>8192</v>
      </c>
      <c r="B31" t="n">
        <v>3000.37</v>
      </c>
      <c r="C31">
        <f>IF(A31*1024/(C6*C9)&lt;C15,C13,C14)+A31*1024*C12</f>
        <v/>
      </c>
      <c r="D31">
        <f>B31/C31</f>
        <v/>
      </c>
      <c r="E31" t="n">
        <v>5.5</v>
      </c>
      <c r="F31">
        <f>A31*1024/(C31*0.000001)/1000000000*C11</f>
        <v/>
      </c>
      <c r="G31">
        <f>E31/F31</f>
        <v/>
      </c>
    </row>
    <row r="32">
      <c r="A32" t="n">
        <v>16384</v>
      </c>
      <c r="B32" t="n">
        <v>3466.03</v>
      </c>
      <c r="C32">
        <f>IF(A32*1024/(C6*C9)&lt;C15,C13,C14)+A32*1024*C12</f>
        <v/>
      </c>
      <c r="D32">
        <f>B32/C32</f>
        <v/>
      </c>
      <c r="E32" t="n">
        <v>9.529999999999999</v>
      </c>
      <c r="F32">
        <f>A32*1024/(C32*0.000001)/1000000000*C11</f>
        <v/>
      </c>
      <c r="G32">
        <f>E32/F32</f>
        <v/>
      </c>
    </row>
    <row r="33">
      <c r="A33" t="n">
        <v>32768</v>
      </c>
      <c r="B33" t="n">
        <v>3962.71</v>
      </c>
      <c r="C33">
        <f>IF(A33*1024/(C6*C9)&lt;C15,C13,C14)+A33*1024*C12</f>
        <v/>
      </c>
      <c r="D33">
        <f>B33/C33</f>
        <v/>
      </c>
      <c r="E33" t="n">
        <v>16.67</v>
      </c>
      <c r="F33">
        <f>A33*1024/(C33*0.000001)/1000000000*C11</f>
        <v/>
      </c>
      <c r="G33">
        <f>E33/F33</f>
        <v/>
      </c>
    </row>
    <row r="34">
      <c r="A34" t="n">
        <v>65536</v>
      </c>
      <c r="B34" t="n">
        <v>5792.07</v>
      </c>
      <c r="C34">
        <f>IF(A34*1024/(C6*C9)&lt;C15,C13,C14)+A34*1024*C12</f>
        <v/>
      </c>
      <c r="D34">
        <f>B34/C34</f>
        <v/>
      </c>
      <c r="E34" t="n">
        <v>22.81</v>
      </c>
      <c r="F34">
        <f>A34*1024/(C34*0.000001)/1000000000*C11</f>
        <v/>
      </c>
      <c r="G34">
        <f>E34/F34</f>
        <v/>
      </c>
    </row>
    <row r="35">
      <c r="A35" t="n">
        <v>131072</v>
      </c>
      <c r="B35" t="n">
        <v>10211.2</v>
      </c>
      <c r="C35">
        <f>IF(A35*1024/(C6*C9)&lt;C15,C13,C14)+A35*1024*C12</f>
        <v/>
      </c>
      <c r="D35">
        <f>B35/C35</f>
        <v/>
      </c>
      <c r="E35" t="n">
        <v>25.88</v>
      </c>
      <c r="F35">
        <f>A35*1024/(C35*0.000001)/1000000000*C11</f>
        <v/>
      </c>
      <c r="G35">
        <f>E35/F35</f>
        <v/>
      </c>
    </row>
    <row r="36">
      <c r="A36" t="n">
        <v>262144</v>
      </c>
      <c r="B36" t="n">
        <v>19121.2</v>
      </c>
      <c r="C36">
        <f>IF(A36*1024/(C6*C9)&lt;C15,C13,C14)+A36*1024*C12</f>
        <v/>
      </c>
      <c r="D36">
        <f>B36/C36</f>
        <v/>
      </c>
      <c r="E36" t="n">
        <v>27.64</v>
      </c>
      <c r="F36">
        <f>A36*1024/(C36*0.000001)/1000000000*C11</f>
        <v/>
      </c>
      <c r="G36">
        <f>E36/F36</f>
        <v/>
      </c>
    </row>
    <row r="37">
      <c r="A37" t="n">
        <v>524288</v>
      </c>
      <c r="B37" t="n">
        <v>38233.4</v>
      </c>
      <c r="C37">
        <f>IF(A37*1024/(C6*C9)&lt;C15,C13,C14)+A37*1024*C12</f>
        <v/>
      </c>
      <c r="D37">
        <f>B37/C37</f>
        <v/>
      </c>
      <c r="E37" t="n">
        <v>27.65</v>
      </c>
      <c r="F37">
        <f>A37*1024/(C37*0.000001)/1000000000*C11</f>
        <v/>
      </c>
      <c r="G37">
        <f>E37/F37</f>
        <v/>
      </c>
    </row>
    <row r="38">
      <c r="A38" t="n">
        <v>1048576</v>
      </c>
      <c r="B38" t="n">
        <v>76453.2</v>
      </c>
      <c r="C38">
        <f>IF(A38*1024/(C6*C9)&lt;C15,C13,C14)+A38*1024*C12</f>
        <v/>
      </c>
      <c r="D38">
        <f>B38/C38</f>
        <v/>
      </c>
      <c r="E38" t="n">
        <v>27.65</v>
      </c>
      <c r="F38">
        <f>A38*1024/(C38*0.000001)/1000000000*C11</f>
        <v/>
      </c>
      <c r="G38">
        <f>E38/F38</f>
        <v/>
      </c>
    </row>
    <row r="39">
      <c r="A39" t="n">
        <v>2097152</v>
      </c>
      <c r="B39" t="n">
        <v>152891</v>
      </c>
      <c r="C39">
        <f>IF(A39*1024/(C6*C9)&lt;C15,C13,C14)+A39*1024*C12</f>
        <v/>
      </c>
      <c r="D39">
        <f>B39/C39</f>
        <v/>
      </c>
      <c r="E39" t="n">
        <v>27.65</v>
      </c>
      <c r="F39">
        <f>A39*1024/(C39*0.000001)/1000000000*C11</f>
        <v/>
      </c>
      <c r="G39">
        <f>E39/F39</f>
        <v/>
      </c>
    </row>
    <row r="40">
      <c r="A40" t="n">
        <v>4194304</v>
      </c>
      <c r="B40" t="n">
        <v>305950</v>
      </c>
      <c r="C40">
        <f>IF(A40*1024/(C6*C9)&lt;C15,C13,C14)+A40*1024*C12</f>
        <v/>
      </c>
      <c r="D40">
        <f>B40/C40</f>
        <v/>
      </c>
      <c r="E40" t="n">
        <v>27.64</v>
      </c>
      <c r="F40">
        <f>A40*1024/(C40*0.000001)/1000000000*C11</f>
        <v/>
      </c>
      <c r="G40">
        <f>E40/F40</f>
        <v/>
      </c>
    </row>
    <row r="41"/>
    <row r="42">
      <c r="A42" t="inlineStr">
        <is>
          <t>Nodes: 8, Protocol: Simple, Channels: 2</t>
        </is>
      </c>
    </row>
    <row r="43">
      <c r="A43" t="inlineStr">
        <is>
          <t>Parameter</t>
        </is>
      </c>
      <c r="B43" t="inlineStr">
        <is>
          <t>Formula</t>
        </is>
      </c>
      <c r="C43" t="inlineStr">
        <is>
          <t>Value</t>
        </is>
      </c>
    </row>
    <row r="44">
      <c r="A44" t="inlineStr">
        <is>
          <t>N</t>
        </is>
      </c>
      <c r="B44" t="inlineStr">
        <is>
          <t>nodes</t>
        </is>
      </c>
      <c r="C44" t="n">
        <v>8</v>
      </c>
    </row>
    <row r="45">
      <c r="A45" t="inlineStr">
        <is>
          <t>n</t>
        </is>
      </c>
      <c r="B45" t="inlineStr">
        <is>
          <t>GPUs/node</t>
        </is>
      </c>
      <c r="C45" t="n">
        <v>8</v>
      </c>
    </row>
    <row r="46">
      <c r="A46" t="inlineStr">
        <is>
          <t>n_total</t>
        </is>
      </c>
      <c r="B46" t="inlineStr">
        <is>
          <t>N*n</t>
        </is>
      </c>
      <c r="C46" t="n">
        <v>64</v>
      </c>
    </row>
    <row r="47">
      <c r="A47" t="inlineStr">
        <is>
          <t>nch_raw</t>
        </is>
      </c>
      <c r="B47" t="inlineStr">
        <is>
          <t>raw channels</t>
        </is>
      </c>
      <c r="C47" t="n">
        <v>2</v>
      </c>
    </row>
    <row r="48">
      <c r="A48" t="inlineStr">
        <is>
          <t>nch</t>
        </is>
      </c>
      <c r="B48" t="inlineStr">
        <is>
          <t>min(nch_raw,8)</t>
        </is>
      </c>
      <c r="C48" t="n">
        <v>2</v>
      </c>
    </row>
    <row r="49">
      <c r="A49" t="inlineStr">
        <is>
          <t>a</t>
        </is>
      </c>
      <c r="B49" t="inlineStr">
        <is>
          <t>RTT (us)</t>
        </is>
      </c>
      <c r="C49" t="n">
        <v>24.92</v>
      </c>
    </row>
    <row r="50">
      <c r="A50" t="inlineStr">
        <is>
          <t>NIC_BW</t>
        </is>
      </c>
      <c r="B50" t="inlineStr">
        <is>
          <t>bytes/us</t>
        </is>
      </c>
      <c r="C50" t="n">
        <v>48750</v>
      </c>
    </row>
    <row r="51">
      <c r="A51" t="inlineStr">
        <is>
          <t>G_agg</t>
        </is>
      </c>
      <c r="B51" t="inlineStr">
        <is>
          <t>nch*NIC_BW</t>
        </is>
      </c>
      <c r="C51">
        <f>C48*C50</f>
        <v/>
      </c>
    </row>
    <row r="52">
      <c r="A52" t="inlineStr">
        <is>
          <t>busbw_factor</t>
        </is>
      </c>
      <c r="B52" t="inlineStr">
        <is>
          <t>2*(n_total-1)/n_total</t>
        </is>
      </c>
      <c r="C52">
        <f>2*(C46-1)/C46</f>
        <v/>
      </c>
    </row>
    <row r="53">
      <c r="A53" t="inlineStr">
        <is>
          <t>G_per_byte</t>
        </is>
      </c>
      <c r="B53" t="inlineStr">
        <is>
          <t>busbw_factor/G_agg</t>
        </is>
      </c>
      <c r="C53">
        <f>C52/C51</f>
        <v/>
      </c>
    </row>
    <row r="54">
      <c r="A54" t="inlineStr">
        <is>
          <t>fixed_small</t>
        </is>
      </c>
      <c r="B54" t="inlineStr">
        <is>
          <t>(2*n_total-1)*a/2</t>
        </is>
      </c>
      <c r="C54">
        <f>(2*C46-1)*C49/2</f>
        <v/>
      </c>
    </row>
    <row r="55">
      <c r="A55" t="inlineStr">
        <is>
          <t>fixed_large</t>
        </is>
      </c>
      <c r="B55" t="inlineStr">
        <is>
          <t>(2*N-1)*a/2</t>
        </is>
      </c>
      <c r="C55">
        <f>(2*C44-1)*C49/2</f>
        <v/>
      </c>
    </row>
    <row r="56">
      <c r="A56" t="inlineStr">
        <is>
          <t>threshold</t>
        </is>
      </c>
      <c r="B56" t="inlineStr">
        <is>
          <t>700</t>
        </is>
      </c>
      <c r="C56" t="n">
        <v>700</v>
      </c>
    </row>
    <row r="57"/>
    <row r="58">
      <c r="A58" t="inlineStr">
        <is>
          <t>size_KB</t>
        </is>
      </c>
      <c r="B58" t="inlineStr">
        <is>
          <t>Actual Time (us)</t>
        </is>
      </c>
      <c r="C58" t="inlineStr">
        <is>
          <t>Roofline Time (us)</t>
        </is>
      </c>
      <c r="D58" t="inlineStr">
        <is>
          <t>Actual/Roofline</t>
        </is>
      </c>
      <c r="E58" t="inlineStr">
        <is>
          <t>Actual busBW (GB/s)</t>
        </is>
      </c>
      <c r="F58" t="inlineStr">
        <is>
          <t>Roofline busBW (GB/s)</t>
        </is>
      </c>
      <c r="G58" t="inlineStr">
        <is>
          <t>Meas/Roof busBW</t>
        </is>
      </c>
    </row>
    <row r="59">
      <c r="A59" t="n">
        <v>1</v>
      </c>
      <c r="B59" t="n">
        <v>1959.49</v>
      </c>
      <c r="C59">
        <f>IF(A59*1024/(C47*C50)&lt;C56,C54,C55)+A59*1024*C53</f>
        <v/>
      </c>
      <c r="D59">
        <f>B59/C59</f>
        <v/>
      </c>
      <c r="E59" t="n">
        <v>0</v>
      </c>
      <c r="F59">
        <f>A59*1024/(C59*0.000001)/1000000000*C52</f>
        <v/>
      </c>
      <c r="G59">
        <f>E59/F59</f>
        <v/>
      </c>
    </row>
    <row r="60">
      <c r="A60" t="n">
        <v>2</v>
      </c>
      <c r="B60" t="n">
        <v>1953.31</v>
      </c>
      <c r="C60">
        <f>IF(A60*1024/(C47*C50)&lt;C56,C54,C55)+A60*1024*C53</f>
        <v/>
      </c>
      <c r="D60">
        <f>B60/C60</f>
        <v/>
      </c>
      <c r="E60" t="n">
        <v>0</v>
      </c>
      <c r="F60">
        <f>A60*1024/(C60*0.000001)/1000000000*C52</f>
        <v/>
      </c>
      <c r="G60">
        <f>E60/F60</f>
        <v/>
      </c>
    </row>
    <row r="61">
      <c r="A61" t="n">
        <v>4</v>
      </c>
      <c r="B61" t="n">
        <v>1950.78</v>
      </c>
      <c r="C61">
        <f>IF(A61*1024/(C47*C50)&lt;C56,C54,C55)+A61*1024*C53</f>
        <v/>
      </c>
      <c r="D61">
        <f>B61/C61</f>
        <v/>
      </c>
      <c r="E61" t="n">
        <v>0</v>
      </c>
      <c r="F61">
        <f>A61*1024/(C61*0.000001)/1000000000*C52</f>
        <v/>
      </c>
      <c r="G61">
        <f>E61/F61</f>
        <v/>
      </c>
    </row>
    <row r="62">
      <c r="A62" t="n">
        <v>8</v>
      </c>
      <c r="B62" t="n">
        <v>1954.56</v>
      </c>
      <c r="C62">
        <f>IF(A62*1024/(C47*C50)&lt;C56,C54,C55)+A62*1024*C53</f>
        <v/>
      </c>
      <c r="D62">
        <f>B62/C62</f>
        <v/>
      </c>
      <c r="E62" t="n">
        <v>0.01</v>
      </c>
      <c r="F62">
        <f>A62*1024/(C62*0.000001)/1000000000*C52</f>
        <v/>
      </c>
      <c r="G62">
        <f>E62/F62</f>
        <v/>
      </c>
    </row>
    <row r="63">
      <c r="A63" t="n">
        <v>16</v>
      </c>
      <c r="B63" t="n">
        <v>1955.36</v>
      </c>
      <c r="C63">
        <f>IF(A63*1024/(C47*C50)&lt;C56,C54,C55)+A63*1024*C53</f>
        <v/>
      </c>
      <c r="D63">
        <f>B63/C63</f>
        <v/>
      </c>
      <c r="E63" t="n">
        <v>0.02</v>
      </c>
      <c r="F63">
        <f>A63*1024/(C63*0.000001)/1000000000*C52</f>
        <v/>
      </c>
      <c r="G63">
        <f>E63/F63</f>
        <v/>
      </c>
    </row>
    <row r="64">
      <c r="A64" t="n">
        <v>32</v>
      </c>
      <c r="B64" t="n">
        <v>1962.25</v>
      </c>
      <c r="C64">
        <f>IF(A64*1024/(C47*C50)&lt;C56,C54,C55)+A64*1024*C53</f>
        <v/>
      </c>
      <c r="D64">
        <f>B64/C64</f>
        <v/>
      </c>
      <c r="E64" t="n">
        <v>0.03</v>
      </c>
      <c r="F64">
        <f>A64*1024/(C64*0.000001)/1000000000*C52</f>
        <v/>
      </c>
      <c r="G64">
        <f>E64/F64</f>
        <v/>
      </c>
    </row>
    <row r="65">
      <c r="A65" t="n">
        <v>64</v>
      </c>
      <c r="B65" t="n">
        <v>2022.29</v>
      </c>
      <c r="C65">
        <f>IF(A65*1024/(C47*C50)&lt;C56,C54,C55)+A65*1024*C53</f>
        <v/>
      </c>
      <c r="D65">
        <f>B65/C65</f>
        <v/>
      </c>
      <c r="E65" t="n">
        <v>0.06</v>
      </c>
      <c r="F65">
        <f>A65*1024/(C65*0.000001)/1000000000*C52</f>
        <v/>
      </c>
      <c r="G65">
        <f>E65/F65</f>
        <v/>
      </c>
    </row>
    <row r="66">
      <c r="A66" t="n">
        <v>128</v>
      </c>
      <c r="B66" t="n">
        <v>2029.94</v>
      </c>
      <c r="C66">
        <f>IF(A66*1024/(C47*C50)&lt;C56,C54,C55)+A66*1024*C53</f>
        <v/>
      </c>
      <c r="D66">
        <f>B66/C66</f>
        <v/>
      </c>
      <c r="E66" t="n">
        <v>0.13</v>
      </c>
      <c r="F66">
        <f>A66*1024/(C66*0.000001)/1000000000*C52</f>
        <v/>
      </c>
      <c r="G66">
        <f>E66/F66</f>
        <v/>
      </c>
    </row>
    <row r="67">
      <c r="A67" t="n">
        <v>256</v>
      </c>
      <c r="B67" t="n">
        <v>2040.59</v>
      </c>
      <c r="C67">
        <f>IF(A67*1024/(C47*C50)&lt;C56,C54,C55)+A67*1024*C53</f>
        <v/>
      </c>
      <c r="D67">
        <f>B67/C67</f>
        <v/>
      </c>
      <c r="E67" t="n">
        <v>0.25</v>
      </c>
      <c r="F67">
        <f>A67*1024/(C67*0.000001)/1000000000*C52</f>
        <v/>
      </c>
      <c r="G67">
        <f>E67/F67</f>
        <v/>
      </c>
    </row>
    <row r="68">
      <c r="A68" t="n">
        <v>512</v>
      </c>
      <c r="B68" t="n">
        <v>2101.67</v>
      </c>
      <c r="C68">
        <f>IF(A68*1024/(C47*C50)&lt;C56,C54,C55)+A68*1024*C53</f>
        <v/>
      </c>
      <c r="D68">
        <f>B68/C68</f>
        <v/>
      </c>
      <c r="E68" t="n">
        <v>0.49</v>
      </c>
      <c r="F68">
        <f>A68*1024/(C68*0.000001)/1000000000*C52</f>
        <v/>
      </c>
      <c r="G68">
        <f>E68/F68</f>
        <v/>
      </c>
    </row>
    <row r="69">
      <c r="A69" t="n">
        <v>1024</v>
      </c>
      <c r="B69" t="n">
        <v>2230.05</v>
      </c>
      <c r="C69">
        <f>IF(A69*1024/(C47*C50)&lt;C56,C54,C55)+A69*1024*C53</f>
        <v/>
      </c>
      <c r="D69">
        <f>B69/C69</f>
        <v/>
      </c>
      <c r="E69" t="n">
        <v>0.93</v>
      </c>
      <c r="F69">
        <f>A69*1024/(C69*0.000001)/1000000000*C52</f>
        <v/>
      </c>
      <c r="G69">
        <f>E69/F69</f>
        <v/>
      </c>
    </row>
    <row r="70">
      <c r="A70" t="n">
        <v>2048</v>
      </c>
      <c r="B70" t="n">
        <v>2602.21</v>
      </c>
      <c r="C70">
        <f>IF(A70*1024/(C47*C50)&lt;C56,C54,C55)+A70*1024*C53</f>
        <v/>
      </c>
      <c r="D70">
        <f>B70/C70</f>
        <v/>
      </c>
      <c r="E70" t="n">
        <v>1.59</v>
      </c>
      <c r="F70">
        <f>A70*1024/(C70*0.000001)/1000000000*C52</f>
        <v/>
      </c>
      <c r="G70">
        <f>E70/F70</f>
        <v/>
      </c>
    </row>
    <row r="71">
      <c r="A71" t="n">
        <v>4096</v>
      </c>
      <c r="B71" t="n">
        <v>2797.32</v>
      </c>
      <c r="C71">
        <f>IF(A71*1024/(C47*C50)&lt;C56,C54,C55)+A71*1024*C53</f>
        <v/>
      </c>
      <c r="D71">
        <f>B71/C71</f>
        <v/>
      </c>
      <c r="E71" t="n">
        <v>2.95</v>
      </c>
      <c r="F71">
        <f>A71*1024/(C71*0.000001)/1000000000*C52</f>
        <v/>
      </c>
      <c r="G71">
        <f>E71/F71</f>
        <v/>
      </c>
    </row>
    <row r="72">
      <c r="A72" t="n">
        <v>8192</v>
      </c>
      <c r="B72" t="n">
        <v>3008.07</v>
      </c>
      <c r="C72">
        <f>IF(A72*1024/(C47*C50)&lt;C56,C54,C55)+A72*1024*C53</f>
        <v/>
      </c>
      <c r="D72">
        <f>B72/C72</f>
        <v/>
      </c>
      <c r="E72" t="n">
        <v>5.49</v>
      </c>
      <c r="F72">
        <f>A72*1024/(C72*0.000001)/1000000000*C52</f>
        <v/>
      </c>
      <c r="G72">
        <f>E72/F72</f>
        <v/>
      </c>
    </row>
    <row r="73">
      <c r="A73" t="n">
        <v>16384</v>
      </c>
      <c r="B73" t="n">
        <v>3049.4</v>
      </c>
      <c r="C73">
        <f>IF(A73*1024/(C47*C50)&lt;C56,C54,C55)+A73*1024*C53</f>
        <v/>
      </c>
      <c r="D73">
        <f>B73/C73</f>
        <v/>
      </c>
      <c r="E73" t="n">
        <v>10.83</v>
      </c>
      <c r="F73">
        <f>A73*1024/(C73*0.000001)/1000000000*C52</f>
        <v/>
      </c>
      <c r="G73">
        <f>E73/F73</f>
        <v/>
      </c>
    </row>
    <row r="74">
      <c r="A74" t="n">
        <v>32768</v>
      </c>
      <c r="B74" t="n">
        <v>3537.27</v>
      </c>
      <c r="C74">
        <f>IF(A74*1024/(C47*C50)&lt;C56,C54,C55)+A74*1024*C53</f>
        <v/>
      </c>
      <c r="D74">
        <f>B74/C74</f>
        <v/>
      </c>
      <c r="E74" t="n">
        <v>18.68</v>
      </c>
      <c r="F74">
        <f>A74*1024/(C74*0.000001)/1000000000*C52</f>
        <v/>
      </c>
      <c r="G74">
        <f>E74/F74</f>
        <v/>
      </c>
    </row>
    <row r="75">
      <c r="A75" t="n">
        <v>65536</v>
      </c>
      <c r="B75" t="n">
        <v>4037.02</v>
      </c>
      <c r="C75">
        <f>IF(A75*1024/(C47*C50)&lt;C56,C54,C55)+A75*1024*C53</f>
        <v/>
      </c>
      <c r="D75">
        <f>B75/C75</f>
        <v/>
      </c>
      <c r="E75" t="n">
        <v>32.73</v>
      </c>
      <c r="F75">
        <f>A75*1024/(C75*0.000001)/1000000000*C52</f>
        <v/>
      </c>
      <c r="G75">
        <f>E75/F75</f>
        <v/>
      </c>
    </row>
    <row r="76">
      <c r="A76" t="n">
        <v>131072</v>
      </c>
      <c r="B76" t="n">
        <v>5825.71</v>
      </c>
      <c r="C76">
        <f>IF(A76*1024/(C47*C50)&lt;C56,C54,C55)+A76*1024*C53</f>
        <v/>
      </c>
      <c r="D76">
        <f>B76/C76</f>
        <v/>
      </c>
      <c r="E76" t="n">
        <v>45.36</v>
      </c>
      <c r="F76">
        <f>A76*1024/(C76*0.000001)/1000000000*C52</f>
        <v/>
      </c>
      <c r="G76">
        <f>E76/F76</f>
        <v/>
      </c>
    </row>
    <row r="77">
      <c r="A77" t="n">
        <v>262144</v>
      </c>
      <c r="B77" t="n">
        <v>10257.9</v>
      </c>
      <c r="C77">
        <f>IF(A77*1024/(C47*C50)&lt;C56,C54,C55)+A77*1024*C53</f>
        <v/>
      </c>
      <c r="D77">
        <f>B77/C77</f>
        <v/>
      </c>
      <c r="E77" t="n">
        <v>51.52</v>
      </c>
      <c r="F77">
        <f>A77*1024/(C77*0.000001)/1000000000*C52</f>
        <v/>
      </c>
      <c r="G77">
        <f>E77/F77</f>
        <v/>
      </c>
    </row>
    <row r="78">
      <c r="A78" t="n">
        <v>524288</v>
      </c>
      <c r="B78" t="n">
        <v>19214.6</v>
      </c>
      <c r="C78">
        <f>IF(A78*1024/(C47*C50)&lt;C56,C54,C55)+A78*1024*C53</f>
        <v/>
      </c>
      <c r="D78">
        <f>B78/C78</f>
        <v/>
      </c>
      <c r="E78" t="n">
        <v>55.01</v>
      </c>
      <c r="F78">
        <f>A78*1024/(C78*0.000001)/1000000000*C52</f>
        <v/>
      </c>
      <c r="G78">
        <f>E78/F78</f>
        <v/>
      </c>
    </row>
    <row r="79">
      <c r="A79" t="n">
        <v>1048576</v>
      </c>
      <c r="B79" t="n">
        <v>38388.1</v>
      </c>
      <c r="C79">
        <f>IF(A79*1024/(C47*C50)&lt;C56,C54,C55)+A79*1024*C53</f>
        <v/>
      </c>
      <c r="D79">
        <f>B79/C79</f>
        <v/>
      </c>
      <c r="E79" t="n">
        <v>55.07</v>
      </c>
      <c r="F79">
        <f>A79*1024/(C79*0.000001)/1000000000*C52</f>
        <v/>
      </c>
      <c r="G79">
        <f>E79/F79</f>
        <v/>
      </c>
    </row>
    <row r="80">
      <c r="A80" t="n">
        <v>2097152</v>
      </c>
      <c r="B80" t="n">
        <v>76781.8</v>
      </c>
      <c r="C80">
        <f>IF(A80*1024/(C47*C50)&lt;C56,C54,C55)+A80*1024*C53</f>
        <v/>
      </c>
      <c r="D80">
        <f>B80/C80</f>
        <v/>
      </c>
      <c r="E80" t="n">
        <v>55.06</v>
      </c>
      <c r="F80">
        <f>A80*1024/(C80*0.000001)/1000000000*C52</f>
        <v/>
      </c>
      <c r="G80">
        <f>E80/F80</f>
        <v/>
      </c>
    </row>
    <row r="81">
      <c r="A81" t="n">
        <v>4194304</v>
      </c>
      <c r="B81" t="n">
        <v>153594</v>
      </c>
      <c r="C81">
        <f>IF(A81*1024/(C47*C50)&lt;C56,C54,C55)+A81*1024*C53</f>
        <v/>
      </c>
      <c r="D81">
        <f>B81/C81</f>
        <v/>
      </c>
      <c r="E81" t="n">
        <v>55.05</v>
      </c>
      <c r="F81">
        <f>A81*1024/(C81*0.000001)/1000000000*C52</f>
        <v/>
      </c>
      <c r="G81">
        <f>E81/F81</f>
        <v/>
      </c>
    </row>
    <row r="82"/>
    <row r="83">
      <c r="A83" t="inlineStr">
        <is>
          <t>Nodes: 8, Protocol: Simple, Channels: 4</t>
        </is>
      </c>
    </row>
    <row r="84">
      <c r="A84" t="inlineStr">
        <is>
          <t>Parameter</t>
        </is>
      </c>
      <c r="B84" t="inlineStr">
        <is>
          <t>Formula</t>
        </is>
      </c>
      <c r="C84" t="inlineStr">
        <is>
          <t>Value</t>
        </is>
      </c>
    </row>
    <row r="85">
      <c r="A85" t="inlineStr">
        <is>
          <t>N</t>
        </is>
      </c>
      <c r="B85" t="inlineStr">
        <is>
          <t>nodes</t>
        </is>
      </c>
      <c r="C85" t="n">
        <v>8</v>
      </c>
    </row>
    <row r="86">
      <c r="A86" t="inlineStr">
        <is>
          <t>n</t>
        </is>
      </c>
      <c r="B86" t="inlineStr">
        <is>
          <t>GPUs/node</t>
        </is>
      </c>
      <c r="C86" t="n">
        <v>8</v>
      </c>
    </row>
    <row r="87">
      <c r="A87" t="inlineStr">
        <is>
          <t>n_total</t>
        </is>
      </c>
      <c r="B87" t="inlineStr">
        <is>
          <t>N*n</t>
        </is>
      </c>
      <c r="C87" t="n">
        <v>64</v>
      </c>
    </row>
    <row r="88">
      <c r="A88" t="inlineStr">
        <is>
          <t>nch_raw</t>
        </is>
      </c>
      <c r="B88" t="inlineStr">
        <is>
          <t>raw channels</t>
        </is>
      </c>
      <c r="C88" t="n">
        <v>4</v>
      </c>
    </row>
    <row r="89">
      <c r="A89" t="inlineStr">
        <is>
          <t>nch</t>
        </is>
      </c>
      <c r="B89" t="inlineStr">
        <is>
          <t>min(nch_raw,8)</t>
        </is>
      </c>
      <c r="C89" t="n">
        <v>4</v>
      </c>
    </row>
    <row r="90">
      <c r="A90" t="inlineStr">
        <is>
          <t>a</t>
        </is>
      </c>
      <c r="B90" t="inlineStr">
        <is>
          <t>RTT (us)</t>
        </is>
      </c>
      <c r="C90" t="n">
        <v>24.92</v>
      </c>
    </row>
    <row r="91">
      <c r="A91" t="inlineStr">
        <is>
          <t>NIC_BW</t>
        </is>
      </c>
      <c r="B91" t="inlineStr">
        <is>
          <t>bytes/us</t>
        </is>
      </c>
      <c r="C91" t="n">
        <v>48750</v>
      </c>
    </row>
    <row r="92">
      <c r="A92" t="inlineStr">
        <is>
          <t>G_agg</t>
        </is>
      </c>
      <c r="B92" t="inlineStr">
        <is>
          <t>nch*NIC_BW</t>
        </is>
      </c>
      <c r="C92">
        <f>C89*C91</f>
        <v/>
      </c>
    </row>
    <row r="93">
      <c r="A93" t="inlineStr">
        <is>
          <t>busbw_factor</t>
        </is>
      </c>
      <c r="B93" t="inlineStr">
        <is>
          <t>2*(n_total-1)/n_total</t>
        </is>
      </c>
      <c r="C93">
        <f>2*(C87-1)/C87</f>
        <v/>
      </c>
    </row>
    <row r="94">
      <c r="A94" t="inlineStr">
        <is>
          <t>G_per_byte</t>
        </is>
      </c>
      <c r="B94" t="inlineStr">
        <is>
          <t>busbw_factor/G_agg</t>
        </is>
      </c>
      <c r="C94">
        <f>C93/C92</f>
        <v/>
      </c>
    </row>
    <row r="95">
      <c r="A95" t="inlineStr">
        <is>
          <t>fixed_small</t>
        </is>
      </c>
      <c r="B95" t="inlineStr">
        <is>
          <t>(2*n_total-1)*a/2</t>
        </is>
      </c>
      <c r="C95">
        <f>(2*C87-1)*C90/2</f>
        <v/>
      </c>
    </row>
    <row r="96">
      <c r="A96" t="inlineStr">
        <is>
          <t>fixed_large</t>
        </is>
      </c>
      <c r="B96" t="inlineStr">
        <is>
          <t>(2*N-1)*a/2</t>
        </is>
      </c>
      <c r="C96">
        <f>(2*C85-1)*C90/2</f>
        <v/>
      </c>
    </row>
    <row r="97">
      <c r="A97" t="inlineStr">
        <is>
          <t>threshold</t>
        </is>
      </c>
      <c r="B97" t="inlineStr">
        <is>
          <t>700</t>
        </is>
      </c>
      <c r="C97" t="n">
        <v>700</v>
      </c>
    </row>
    <row r="98"/>
    <row r="99">
      <c r="A99" t="inlineStr">
        <is>
          <t>size_KB</t>
        </is>
      </c>
      <c r="B99" t="inlineStr">
        <is>
          <t>Actual Time (us)</t>
        </is>
      </c>
      <c r="C99" t="inlineStr">
        <is>
          <t>Roofline Time (us)</t>
        </is>
      </c>
      <c r="D99" t="inlineStr">
        <is>
          <t>Actual/Roofline</t>
        </is>
      </c>
      <c r="E99" t="inlineStr">
        <is>
          <t>Actual busBW (GB/s)</t>
        </is>
      </c>
      <c r="F99" t="inlineStr">
        <is>
          <t>Roofline busBW (GB/s)</t>
        </is>
      </c>
      <c r="G99" t="inlineStr">
        <is>
          <t>Meas/Roof busBW</t>
        </is>
      </c>
    </row>
    <row r="100">
      <c r="A100" t="n">
        <v>1</v>
      </c>
      <c r="B100" t="n">
        <v>1958.35</v>
      </c>
      <c r="C100">
        <f>IF(A100*1024/(C88*C91)&lt;C97,C95,C96)+A100*1024*C94</f>
        <v/>
      </c>
      <c r="D100">
        <f>B100/C100</f>
        <v/>
      </c>
      <c r="E100" t="n">
        <v>0</v>
      </c>
      <c r="F100">
        <f>A100*1024/(C100*0.000001)/1000000000*C93</f>
        <v/>
      </c>
      <c r="G100">
        <f>E100/F100</f>
        <v/>
      </c>
    </row>
    <row r="101">
      <c r="A101" t="n">
        <v>2</v>
      </c>
      <c r="B101" t="n">
        <v>1957.12</v>
      </c>
      <c r="C101">
        <f>IF(A101*1024/(C88*C91)&lt;C97,C95,C96)+A101*1024*C94</f>
        <v/>
      </c>
      <c r="D101">
        <f>B101/C101</f>
        <v/>
      </c>
      <c r="E101" t="n">
        <v>0</v>
      </c>
      <c r="F101">
        <f>A101*1024/(C101*0.000001)/1000000000*C93</f>
        <v/>
      </c>
      <c r="G101">
        <f>E101/F101</f>
        <v/>
      </c>
    </row>
    <row r="102">
      <c r="A102" t="n">
        <v>4</v>
      </c>
      <c r="B102" t="n">
        <v>1959.18</v>
      </c>
      <c r="C102">
        <f>IF(A102*1024/(C88*C91)&lt;C97,C95,C96)+A102*1024*C94</f>
        <v/>
      </c>
      <c r="D102">
        <f>B102/C102</f>
        <v/>
      </c>
      <c r="E102" t="n">
        <v>0</v>
      </c>
      <c r="F102">
        <f>A102*1024/(C102*0.000001)/1000000000*C93</f>
        <v/>
      </c>
      <c r="G102">
        <f>E102/F102</f>
        <v/>
      </c>
    </row>
    <row r="103">
      <c r="A103" t="n">
        <v>8</v>
      </c>
      <c r="B103" t="n">
        <v>1961.73</v>
      </c>
      <c r="C103">
        <f>IF(A103*1024/(C88*C91)&lt;C97,C95,C96)+A103*1024*C94</f>
        <v/>
      </c>
      <c r="D103">
        <f>B103/C103</f>
        <v/>
      </c>
      <c r="E103" t="n">
        <v>0.01</v>
      </c>
      <c r="F103">
        <f>A103*1024/(C103*0.000001)/1000000000*C93</f>
        <v/>
      </c>
      <c r="G103">
        <f>E103/F103</f>
        <v/>
      </c>
    </row>
    <row r="104">
      <c r="A104" t="n">
        <v>16</v>
      </c>
      <c r="B104" t="n">
        <v>1966.47</v>
      </c>
      <c r="C104">
        <f>IF(A104*1024/(C88*C91)&lt;C97,C95,C96)+A104*1024*C94</f>
        <v/>
      </c>
      <c r="D104">
        <f>B104/C104</f>
        <v/>
      </c>
      <c r="E104" t="n">
        <v>0.02</v>
      </c>
      <c r="F104">
        <f>A104*1024/(C104*0.000001)/1000000000*C93</f>
        <v/>
      </c>
      <c r="G104">
        <f>E104/F104</f>
        <v/>
      </c>
    </row>
    <row r="105">
      <c r="A105" t="n">
        <v>32</v>
      </c>
      <c r="B105" t="n">
        <v>1992.18</v>
      </c>
      <c r="C105">
        <f>IF(A105*1024/(C88*C91)&lt;C97,C95,C96)+A105*1024*C94</f>
        <v/>
      </c>
      <c r="D105">
        <f>B105/C105</f>
        <v/>
      </c>
      <c r="E105" t="n">
        <v>0.03</v>
      </c>
      <c r="F105">
        <f>A105*1024/(C105*0.000001)/1000000000*C93</f>
        <v/>
      </c>
      <c r="G105">
        <f>E105/F105</f>
        <v/>
      </c>
    </row>
    <row r="106">
      <c r="A106" t="n">
        <v>64</v>
      </c>
      <c r="B106" t="n">
        <v>2034.79</v>
      </c>
      <c r="C106">
        <f>IF(A106*1024/(C88*C91)&lt;C97,C95,C96)+A106*1024*C94</f>
        <v/>
      </c>
      <c r="D106">
        <f>B106/C106</f>
        <v/>
      </c>
      <c r="E106" t="n">
        <v>0.06</v>
      </c>
      <c r="F106">
        <f>A106*1024/(C106*0.000001)/1000000000*C93</f>
        <v/>
      </c>
      <c r="G106">
        <f>E106/F106</f>
        <v/>
      </c>
    </row>
    <row r="107">
      <c r="A107" t="n">
        <v>128</v>
      </c>
      <c r="B107" t="n">
        <v>2069.38</v>
      </c>
      <c r="C107">
        <f>IF(A107*1024/(C88*C91)&lt;C97,C95,C96)+A107*1024*C94</f>
        <v/>
      </c>
      <c r="D107">
        <f>B107/C107</f>
        <v/>
      </c>
      <c r="E107" t="n">
        <v>0.12</v>
      </c>
      <c r="F107">
        <f>A107*1024/(C107*0.000001)/1000000000*C93</f>
        <v/>
      </c>
      <c r="G107">
        <f>E107/F107</f>
        <v/>
      </c>
    </row>
    <row r="108">
      <c r="A108" t="n">
        <v>256</v>
      </c>
      <c r="B108" t="n">
        <v>2070.43</v>
      </c>
      <c r="C108">
        <f>IF(A108*1024/(C88*C91)&lt;C97,C95,C96)+A108*1024*C94</f>
        <v/>
      </c>
      <c r="D108">
        <f>B108/C108</f>
        <v/>
      </c>
      <c r="E108" t="n">
        <v>0.25</v>
      </c>
      <c r="F108">
        <f>A108*1024/(C108*0.000001)/1000000000*C93</f>
        <v/>
      </c>
      <c r="G108">
        <f>E108/F108</f>
        <v/>
      </c>
    </row>
    <row r="109">
      <c r="A109" t="n">
        <v>512</v>
      </c>
      <c r="B109" t="n">
        <v>2119.65</v>
      </c>
      <c r="C109">
        <f>IF(A109*1024/(C88*C91)&lt;C97,C95,C96)+A109*1024*C94</f>
        <v/>
      </c>
      <c r="D109">
        <f>B109/C109</f>
        <v/>
      </c>
      <c r="E109" t="n">
        <v>0.49</v>
      </c>
      <c r="F109">
        <f>A109*1024/(C109*0.000001)/1000000000*C93</f>
        <v/>
      </c>
      <c r="G109">
        <f>E109/F109</f>
        <v/>
      </c>
    </row>
    <row r="110">
      <c r="A110" t="n">
        <v>1024</v>
      </c>
      <c r="B110" t="n">
        <v>2135.71</v>
      </c>
      <c r="C110">
        <f>IF(A110*1024/(C88*C91)&lt;C97,C95,C96)+A110*1024*C94</f>
        <v/>
      </c>
      <c r="D110">
        <f>B110/C110</f>
        <v/>
      </c>
      <c r="E110" t="n">
        <v>0.97</v>
      </c>
      <c r="F110">
        <f>A110*1024/(C110*0.000001)/1000000000*C93</f>
        <v/>
      </c>
      <c r="G110">
        <f>E110/F110</f>
        <v/>
      </c>
    </row>
    <row r="111">
      <c r="A111" t="n">
        <v>2048</v>
      </c>
      <c r="B111" t="n">
        <v>2260.7</v>
      </c>
      <c r="C111">
        <f>IF(A111*1024/(C88*C91)&lt;C97,C95,C96)+A111*1024*C94</f>
        <v/>
      </c>
      <c r="D111">
        <f>B111/C111</f>
        <v/>
      </c>
      <c r="E111" t="n">
        <v>1.83</v>
      </c>
      <c r="F111">
        <f>A111*1024/(C111*0.000001)/1000000000*C93</f>
        <v/>
      </c>
      <c r="G111">
        <f>E111/F111</f>
        <v/>
      </c>
    </row>
    <row r="112">
      <c r="A112" t="n">
        <v>4096</v>
      </c>
      <c r="B112" t="n">
        <v>2596.47</v>
      </c>
      <c r="C112">
        <f>IF(A112*1024/(C88*C91)&lt;C97,C95,C96)+A112*1024*C94</f>
        <v/>
      </c>
      <c r="D112">
        <f>B112/C112</f>
        <v/>
      </c>
      <c r="E112" t="n">
        <v>3.18</v>
      </c>
      <c r="F112">
        <f>A112*1024/(C112*0.000001)/1000000000*C93</f>
        <v/>
      </c>
      <c r="G112">
        <f>E112/F112</f>
        <v/>
      </c>
    </row>
    <row r="113">
      <c r="A113" t="n">
        <v>8192</v>
      </c>
      <c r="B113" t="n">
        <v>2813.55</v>
      </c>
      <c r="C113">
        <f>IF(A113*1024/(C88*C91)&lt;C97,C95,C96)+A113*1024*C94</f>
        <v/>
      </c>
      <c r="D113">
        <f>B113/C113</f>
        <v/>
      </c>
      <c r="E113" t="n">
        <v>5.87</v>
      </c>
      <c r="F113">
        <f>A113*1024/(C113*0.000001)/1000000000*C93</f>
        <v/>
      </c>
      <c r="G113">
        <f>E113/F113</f>
        <v/>
      </c>
    </row>
    <row r="114">
      <c r="A114" t="n">
        <v>16384</v>
      </c>
      <c r="B114" t="n">
        <v>3013.66</v>
      </c>
      <c r="C114">
        <f>IF(A114*1024/(C88*C91)&lt;C97,C95,C96)+A114*1024*C94</f>
        <v/>
      </c>
      <c r="D114">
        <f>B114/C114</f>
        <v/>
      </c>
      <c r="E114" t="n">
        <v>10.96</v>
      </c>
      <c r="F114">
        <f>A114*1024/(C114*0.000001)/1000000000*C93</f>
        <v/>
      </c>
      <c r="G114">
        <f>E114/F114</f>
        <v/>
      </c>
    </row>
    <row r="115">
      <c r="A115" t="n">
        <v>32768</v>
      </c>
      <c r="B115" t="n">
        <v>3065.02</v>
      </c>
      <c r="C115">
        <f>IF(A115*1024/(C88*C91)&lt;C97,C95,C96)+A115*1024*C94</f>
        <v/>
      </c>
      <c r="D115">
        <f>B115/C115</f>
        <v/>
      </c>
      <c r="E115" t="n">
        <v>21.55</v>
      </c>
      <c r="F115">
        <f>A115*1024/(C115*0.000001)/1000000000*C93</f>
        <v/>
      </c>
      <c r="G115">
        <f>E115/F115</f>
        <v/>
      </c>
    </row>
    <row r="116">
      <c r="A116" t="n">
        <v>65536</v>
      </c>
      <c r="B116" t="n">
        <v>3555.9</v>
      </c>
      <c r="C116">
        <f>IF(A116*1024/(C88*C91)&lt;C97,C95,C96)+A116*1024*C94</f>
        <v/>
      </c>
      <c r="D116">
        <f>B116/C116</f>
        <v/>
      </c>
      <c r="E116" t="n">
        <v>37.16</v>
      </c>
      <c r="F116">
        <f>A116*1024/(C116*0.000001)/1000000000*C93</f>
        <v/>
      </c>
      <c r="G116">
        <f>E116/F116</f>
        <v/>
      </c>
    </row>
    <row r="117">
      <c r="A117" t="n">
        <v>131072</v>
      </c>
      <c r="B117" t="n">
        <v>4068.57</v>
      </c>
      <c r="C117">
        <f>IF(A117*1024/(C88*C91)&lt;C97,C95,C96)+A117*1024*C94</f>
        <v/>
      </c>
      <c r="D117">
        <f>B117/C117</f>
        <v/>
      </c>
      <c r="E117" t="n">
        <v>64.95</v>
      </c>
      <c r="F117">
        <f>A117*1024/(C117*0.000001)/1000000000*C93</f>
        <v/>
      </c>
      <c r="G117">
        <f>E117/F117</f>
        <v/>
      </c>
    </row>
    <row r="118">
      <c r="A118" t="n">
        <v>262144</v>
      </c>
      <c r="B118" t="n">
        <v>5864.33</v>
      </c>
      <c r="C118">
        <f>IF(A118*1024/(C88*C91)&lt;C97,C95,C96)+A118*1024*C94</f>
        <v/>
      </c>
      <c r="D118">
        <f>B118/C118</f>
        <v/>
      </c>
      <c r="E118" t="n">
        <v>90.12</v>
      </c>
      <c r="F118">
        <f>A118*1024/(C118*0.000001)/1000000000*C93</f>
        <v/>
      </c>
      <c r="G118">
        <f>E118/F118</f>
        <v/>
      </c>
    </row>
    <row r="119">
      <c r="A119" t="n">
        <v>524288</v>
      </c>
      <c r="B119" t="n">
        <v>10298.6</v>
      </c>
      <c r="C119">
        <f>IF(A119*1024/(C88*C91)&lt;C97,C95,C96)+A119*1024*C94</f>
        <v/>
      </c>
      <c r="D119">
        <f>B119/C119</f>
        <v/>
      </c>
      <c r="E119" t="n">
        <v>102.63</v>
      </c>
      <c r="F119">
        <f>A119*1024/(C119*0.000001)/1000000000*C93</f>
        <v/>
      </c>
      <c r="G119">
        <f>E119/F119</f>
        <v/>
      </c>
    </row>
    <row r="120">
      <c r="A120" t="n">
        <v>1048576</v>
      </c>
      <c r="B120" t="n">
        <v>19392.9</v>
      </c>
      <c r="C120">
        <f>IF(A120*1024/(C88*C91)&lt;C97,C95,C96)+A120*1024*C94</f>
        <v/>
      </c>
      <c r="D120">
        <f>B120/C120</f>
        <v/>
      </c>
      <c r="E120" t="n">
        <v>109.01</v>
      </c>
      <c r="F120">
        <f>A120*1024/(C120*0.000001)/1000000000*C93</f>
        <v/>
      </c>
      <c r="G120">
        <f>E120/F120</f>
        <v/>
      </c>
    </row>
    <row r="121">
      <c r="A121" t="n">
        <v>2097152</v>
      </c>
      <c r="B121" t="n">
        <v>38783.7</v>
      </c>
      <c r="C121">
        <f>IF(A121*1024/(C88*C91)&lt;C97,C95,C96)+A121*1024*C94</f>
        <v/>
      </c>
      <c r="D121">
        <f>B121/C121</f>
        <v/>
      </c>
      <c r="E121" t="n">
        <v>109.01</v>
      </c>
      <c r="F121">
        <f>A121*1024/(C121*0.000001)/1000000000*C93</f>
        <v/>
      </c>
      <c r="G121">
        <f>E121/F121</f>
        <v/>
      </c>
    </row>
    <row r="122">
      <c r="A122" t="n">
        <v>4194304</v>
      </c>
      <c r="B122" t="n">
        <v>77526.3</v>
      </c>
      <c r="C122">
        <f>IF(A122*1024/(C88*C91)&lt;C97,C95,C96)+A122*1024*C94</f>
        <v/>
      </c>
      <c r="D122">
        <f>B122/C122</f>
        <v/>
      </c>
      <c r="E122" t="n">
        <v>109.07</v>
      </c>
      <c r="F122">
        <f>A122*1024/(C122*0.000001)/1000000000*C93</f>
        <v/>
      </c>
      <c r="G122">
        <f>E122/F122</f>
        <v/>
      </c>
    </row>
    <row r="123"/>
    <row r="124">
      <c r="A124" t="inlineStr">
        <is>
          <t>Nodes: 8, Protocol: Simple, Channels: 8</t>
        </is>
      </c>
    </row>
    <row r="125">
      <c r="A125" t="inlineStr">
        <is>
          <t>Parameter</t>
        </is>
      </c>
      <c r="B125" t="inlineStr">
        <is>
          <t>Formula</t>
        </is>
      </c>
      <c r="C125" t="inlineStr">
        <is>
          <t>Value</t>
        </is>
      </c>
    </row>
    <row r="126">
      <c r="A126" t="inlineStr">
        <is>
          <t>N</t>
        </is>
      </c>
      <c r="B126" t="inlineStr">
        <is>
          <t>nodes</t>
        </is>
      </c>
      <c r="C126" t="n">
        <v>8</v>
      </c>
    </row>
    <row r="127">
      <c r="A127" t="inlineStr">
        <is>
          <t>n</t>
        </is>
      </c>
      <c r="B127" t="inlineStr">
        <is>
          <t>GPUs/node</t>
        </is>
      </c>
      <c r="C127" t="n">
        <v>8</v>
      </c>
    </row>
    <row r="128">
      <c r="A128" t="inlineStr">
        <is>
          <t>n_total</t>
        </is>
      </c>
      <c r="B128" t="inlineStr">
        <is>
          <t>N*n</t>
        </is>
      </c>
      <c r="C128" t="n">
        <v>64</v>
      </c>
    </row>
    <row r="129">
      <c r="A129" t="inlineStr">
        <is>
          <t>nch_raw</t>
        </is>
      </c>
      <c r="B129" t="inlineStr">
        <is>
          <t>raw channels</t>
        </is>
      </c>
      <c r="C129" t="n">
        <v>8</v>
      </c>
    </row>
    <row r="130">
      <c r="A130" t="inlineStr">
        <is>
          <t>nch</t>
        </is>
      </c>
      <c r="B130" t="inlineStr">
        <is>
          <t>min(nch_raw,8)</t>
        </is>
      </c>
      <c r="C130" t="n">
        <v>8</v>
      </c>
    </row>
    <row r="131">
      <c r="A131" t="inlineStr">
        <is>
          <t>a</t>
        </is>
      </c>
      <c r="B131" t="inlineStr">
        <is>
          <t>RTT (us)</t>
        </is>
      </c>
      <c r="C131" t="n">
        <v>24.92</v>
      </c>
    </row>
    <row r="132">
      <c r="A132" t="inlineStr">
        <is>
          <t>NIC_BW</t>
        </is>
      </c>
      <c r="B132" t="inlineStr">
        <is>
          <t>bytes/us</t>
        </is>
      </c>
      <c r="C132" t="n">
        <v>48750</v>
      </c>
    </row>
    <row r="133">
      <c r="A133" t="inlineStr">
        <is>
          <t>G_agg</t>
        </is>
      </c>
      <c r="B133" t="inlineStr">
        <is>
          <t>nch*NIC_BW</t>
        </is>
      </c>
      <c r="C133">
        <f>C130*C132</f>
        <v/>
      </c>
    </row>
    <row r="134">
      <c r="A134" t="inlineStr">
        <is>
          <t>busbw_factor</t>
        </is>
      </c>
      <c r="B134" t="inlineStr">
        <is>
          <t>2*(n_total-1)/n_total</t>
        </is>
      </c>
      <c r="C134">
        <f>2*(C128-1)/C128</f>
        <v/>
      </c>
    </row>
    <row r="135">
      <c r="A135" t="inlineStr">
        <is>
          <t>G_per_byte</t>
        </is>
      </c>
      <c r="B135" t="inlineStr">
        <is>
          <t>busbw_factor/G_agg</t>
        </is>
      </c>
      <c r="C135">
        <f>C134/C133</f>
        <v/>
      </c>
    </row>
    <row r="136">
      <c r="A136" t="inlineStr">
        <is>
          <t>fixed_small</t>
        </is>
      </c>
      <c r="B136" t="inlineStr">
        <is>
          <t>(2*n_total-1)*a/2</t>
        </is>
      </c>
      <c r="C136">
        <f>(2*C128-1)*C131/2</f>
        <v/>
      </c>
    </row>
    <row r="137">
      <c r="A137" t="inlineStr">
        <is>
          <t>fixed_large</t>
        </is>
      </c>
      <c r="B137" t="inlineStr">
        <is>
          <t>(2*N-1)*a/2</t>
        </is>
      </c>
      <c r="C137">
        <f>(2*C126-1)*C131/2</f>
        <v/>
      </c>
    </row>
    <row r="138">
      <c r="A138" t="inlineStr">
        <is>
          <t>threshold</t>
        </is>
      </c>
      <c r="B138" t="inlineStr">
        <is>
          <t>700</t>
        </is>
      </c>
      <c r="C138" t="n">
        <v>700</v>
      </c>
    </row>
    <row r="139"/>
    <row r="140">
      <c r="A140" t="inlineStr">
        <is>
          <t>size_KB</t>
        </is>
      </c>
      <c r="B140" t="inlineStr">
        <is>
          <t>Actual Time (us)</t>
        </is>
      </c>
      <c r="C140" t="inlineStr">
        <is>
          <t>Roofline Time (us)</t>
        </is>
      </c>
      <c r="D140" t="inlineStr">
        <is>
          <t>Actual/Roofline</t>
        </is>
      </c>
      <c r="E140" t="inlineStr">
        <is>
          <t>Actual busBW (GB/s)</t>
        </is>
      </c>
      <c r="F140" t="inlineStr">
        <is>
          <t>Roofline busBW (GB/s)</t>
        </is>
      </c>
      <c r="G140" t="inlineStr">
        <is>
          <t>Meas/Roof busBW</t>
        </is>
      </c>
    </row>
    <row r="141">
      <c r="A141" t="n">
        <v>1</v>
      </c>
      <c r="B141" t="n">
        <v>1967.7</v>
      </c>
      <c r="C141">
        <f>IF(A141*1024/(C129*C132)&lt;C138,C136,C137)+A141*1024*C135</f>
        <v/>
      </c>
      <c r="D141">
        <f>B141/C141</f>
        <v/>
      </c>
      <c r="E141" t="n">
        <v>0</v>
      </c>
      <c r="F141">
        <f>A141*1024/(C141*0.000001)/1000000000*C134</f>
        <v/>
      </c>
      <c r="G141">
        <f>E141/F141</f>
        <v/>
      </c>
    </row>
    <row r="142">
      <c r="A142" t="n">
        <v>2</v>
      </c>
      <c r="B142" t="n">
        <v>1980.22</v>
      </c>
      <c r="C142">
        <f>IF(A142*1024/(C129*C132)&lt;C138,C136,C137)+A142*1024*C135</f>
        <v/>
      </c>
      <c r="D142">
        <f>B142/C142</f>
        <v/>
      </c>
      <c r="E142" t="n">
        <v>0</v>
      </c>
      <c r="F142">
        <f>A142*1024/(C142*0.000001)/1000000000*C134</f>
        <v/>
      </c>
      <c r="G142">
        <f>E142/F142</f>
        <v/>
      </c>
    </row>
    <row r="143">
      <c r="A143" t="n">
        <v>4</v>
      </c>
      <c r="B143" t="n">
        <v>1965.27</v>
      </c>
      <c r="C143">
        <f>IF(A143*1024/(C129*C132)&lt;C138,C136,C137)+A143*1024*C135</f>
        <v/>
      </c>
      <c r="D143">
        <f>B143/C143</f>
        <v/>
      </c>
      <c r="E143" t="n">
        <v>0</v>
      </c>
      <c r="F143">
        <f>A143*1024/(C143*0.000001)/1000000000*C134</f>
        <v/>
      </c>
      <c r="G143">
        <f>E143/F143</f>
        <v/>
      </c>
    </row>
    <row r="144">
      <c r="A144" t="n">
        <v>8</v>
      </c>
      <c r="B144" t="n">
        <v>1980.3</v>
      </c>
      <c r="C144">
        <f>IF(A144*1024/(C129*C132)&lt;C138,C136,C137)+A144*1024*C135</f>
        <v/>
      </c>
      <c r="D144">
        <f>B144/C144</f>
        <v/>
      </c>
      <c r="E144" t="n">
        <v>0.01</v>
      </c>
      <c r="F144">
        <f>A144*1024/(C144*0.000001)/1000000000*C134</f>
        <v/>
      </c>
      <c r="G144">
        <f>E144/F144</f>
        <v/>
      </c>
    </row>
    <row r="145">
      <c r="A145" t="n">
        <v>16</v>
      </c>
      <c r="B145" t="n">
        <v>1968.22</v>
      </c>
      <c r="C145">
        <f>IF(A145*1024/(C129*C132)&lt;C138,C136,C137)+A145*1024*C135</f>
        <v/>
      </c>
      <c r="D145">
        <f>B145/C145</f>
        <v/>
      </c>
      <c r="E145" t="n">
        <v>0.02</v>
      </c>
      <c r="F145">
        <f>A145*1024/(C145*0.000001)/1000000000*C134</f>
        <v/>
      </c>
      <c r="G145">
        <f>E145/F145</f>
        <v/>
      </c>
    </row>
    <row r="146">
      <c r="A146" t="n">
        <v>32</v>
      </c>
      <c r="B146" t="n">
        <v>1977.47</v>
      </c>
      <c r="C146">
        <f>IF(A146*1024/(C129*C132)&lt;C138,C136,C137)+A146*1024*C135</f>
        <v/>
      </c>
      <c r="D146">
        <f>B146/C146</f>
        <v/>
      </c>
      <c r="E146" t="n">
        <v>0.03</v>
      </c>
      <c r="F146">
        <f>A146*1024/(C146*0.000001)/1000000000*C134</f>
        <v/>
      </c>
      <c r="G146">
        <f>E146/F146</f>
        <v/>
      </c>
    </row>
    <row r="147">
      <c r="A147" t="n">
        <v>64</v>
      </c>
      <c r="B147" t="n">
        <v>2027.16</v>
      </c>
      <c r="C147">
        <f>IF(A147*1024/(C129*C132)&lt;C138,C136,C137)+A147*1024*C135</f>
        <v/>
      </c>
      <c r="D147">
        <f>B147/C147</f>
        <v/>
      </c>
      <c r="E147" t="n">
        <v>0.06</v>
      </c>
      <c r="F147">
        <f>A147*1024/(C147*0.000001)/1000000000*C134</f>
        <v/>
      </c>
      <c r="G147">
        <f>E147/F147</f>
        <v/>
      </c>
    </row>
    <row r="148">
      <c r="A148" t="n">
        <v>128</v>
      </c>
      <c r="B148" t="n">
        <v>2063.56</v>
      </c>
      <c r="C148">
        <f>IF(A148*1024/(C129*C132)&lt;C138,C136,C137)+A148*1024*C135</f>
        <v/>
      </c>
      <c r="D148">
        <f>B148/C148</f>
        <v/>
      </c>
      <c r="E148" t="n">
        <v>0.13</v>
      </c>
      <c r="F148">
        <f>A148*1024/(C148*0.000001)/1000000000*C134</f>
        <v/>
      </c>
      <c r="G148">
        <f>E148/F148</f>
        <v/>
      </c>
    </row>
    <row r="149">
      <c r="A149" t="n">
        <v>256</v>
      </c>
      <c r="B149" t="n">
        <v>2068.14</v>
      </c>
      <c r="C149">
        <f>IF(A149*1024/(C129*C132)&lt;C138,C136,C137)+A149*1024*C135</f>
        <v/>
      </c>
      <c r="D149">
        <f>B149/C149</f>
        <v/>
      </c>
      <c r="E149" t="n">
        <v>0.25</v>
      </c>
      <c r="F149">
        <f>A149*1024/(C149*0.000001)/1000000000*C134</f>
        <v/>
      </c>
      <c r="G149">
        <f>E149/F149</f>
        <v/>
      </c>
    </row>
    <row r="150">
      <c r="A150" t="n">
        <v>512</v>
      </c>
      <c r="B150" t="n">
        <v>2077.74</v>
      </c>
      <c r="C150">
        <f>IF(A150*1024/(C129*C132)&lt;C138,C136,C137)+A150*1024*C135</f>
        <v/>
      </c>
      <c r="D150">
        <f>B150/C150</f>
        <v/>
      </c>
      <c r="E150" t="n">
        <v>0.5</v>
      </c>
      <c r="F150">
        <f>A150*1024/(C150*0.000001)/1000000000*C134</f>
        <v/>
      </c>
      <c r="G150">
        <f>E150/F150</f>
        <v/>
      </c>
    </row>
    <row r="151">
      <c r="A151" t="n">
        <v>1024</v>
      </c>
      <c r="B151" t="n">
        <v>2097.76</v>
      </c>
      <c r="C151">
        <f>IF(A151*1024/(C129*C132)&lt;C138,C136,C137)+A151*1024*C135</f>
        <v/>
      </c>
      <c r="D151">
        <f>B151/C151</f>
        <v/>
      </c>
      <c r="E151" t="n">
        <v>0.98</v>
      </c>
      <c r="F151">
        <f>A151*1024/(C151*0.000001)/1000000000*C134</f>
        <v/>
      </c>
      <c r="G151">
        <f>E151/F151</f>
        <v/>
      </c>
    </row>
    <row r="152">
      <c r="A152" t="n">
        <v>2048</v>
      </c>
      <c r="B152" t="n">
        <v>2144.31</v>
      </c>
      <c r="C152">
        <f>IF(A152*1024/(C129*C132)&lt;C138,C136,C137)+A152*1024*C135</f>
        <v/>
      </c>
      <c r="D152">
        <f>B152/C152</f>
        <v/>
      </c>
      <c r="E152" t="n">
        <v>1.93</v>
      </c>
      <c r="F152">
        <f>A152*1024/(C152*0.000001)/1000000000*C134</f>
        <v/>
      </c>
      <c r="G152">
        <f>E152/F152</f>
        <v/>
      </c>
    </row>
    <row r="153">
      <c r="A153" t="n">
        <v>4096</v>
      </c>
      <c r="B153" t="n">
        <v>2262.79</v>
      </c>
      <c r="C153">
        <f>IF(A153*1024/(C129*C132)&lt;C138,C136,C137)+A153*1024*C135</f>
        <v/>
      </c>
      <c r="D153">
        <f>B153/C153</f>
        <v/>
      </c>
      <c r="E153" t="n">
        <v>3.65</v>
      </c>
      <c r="F153">
        <f>A153*1024/(C153*0.000001)/1000000000*C134</f>
        <v/>
      </c>
      <c r="G153">
        <f>E153/F153</f>
        <v/>
      </c>
    </row>
    <row r="154">
      <c r="A154" t="n">
        <v>8192</v>
      </c>
      <c r="B154" t="n">
        <v>2605.84</v>
      </c>
      <c r="C154">
        <f>IF(A154*1024/(C129*C132)&lt;C138,C136,C137)+A154*1024*C135</f>
        <v/>
      </c>
      <c r="D154">
        <f>B154/C154</f>
        <v/>
      </c>
      <c r="E154" t="n">
        <v>6.34</v>
      </c>
      <c r="F154">
        <f>A154*1024/(C154*0.000001)/1000000000*C134</f>
        <v/>
      </c>
      <c r="G154">
        <f>E154/F154</f>
        <v/>
      </c>
    </row>
    <row r="155">
      <c r="A155" t="n">
        <v>16384</v>
      </c>
      <c r="B155" t="n">
        <v>2809.04</v>
      </c>
      <c r="C155">
        <f>IF(A155*1024/(C129*C132)&lt;C138,C136,C137)+A155*1024*C135</f>
        <v/>
      </c>
      <c r="D155">
        <f>B155/C155</f>
        <v/>
      </c>
      <c r="E155" t="n">
        <v>11.76</v>
      </c>
      <c r="F155">
        <f>A155*1024/(C155*0.000001)/1000000000*C134</f>
        <v/>
      </c>
      <c r="G155">
        <f>E155/F155</f>
        <v/>
      </c>
    </row>
    <row r="156">
      <c r="A156" t="n">
        <v>32768</v>
      </c>
      <c r="B156" t="n">
        <v>3028.5</v>
      </c>
      <c r="C156">
        <f>IF(A156*1024/(C129*C132)&lt;C138,C136,C137)+A156*1024*C135</f>
        <v/>
      </c>
      <c r="D156">
        <f>B156/C156</f>
        <v/>
      </c>
      <c r="E156" t="n">
        <v>21.81</v>
      </c>
      <c r="F156">
        <f>A156*1024/(C156*0.000001)/1000000000*C134</f>
        <v/>
      </c>
      <c r="G156">
        <f>E156/F156</f>
        <v/>
      </c>
    </row>
    <row r="157">
      <c r="A157" t="n">
        <v>65536</v>
      </c>
      <c r="B157" t="n">
        <v>3102.62</v>
      </c>
      <c r="C157">
        <f>IF(A157*1024/(C129*C132)&lt;C138,C136,C137)+A157*1024*C135</f>
        <v/>
      </c>
      <c r="D157">
        <f>B157/C157</f>
        <v/>
      </c>
      <c r="E157" t="n">
        <v>42.58</v>
      </c>
      <c r="F157">
        <f>A157*1024/(C157*0.000001)/1000000000*C134</f>
        <v/>
      </c>
      <c r="G157">
        <f>E157/F157</f>
        <v/>
      </c>
    </row>
    <row r="158">
      <c r="A158" t="n">
        <v>131072</v>
      </c>
      <c r="B158" t="n">
        <v>3583.95</v>
      </c>
      <c r="C158">
        <f>IF(A158*1024/(C129*C132)&lt;C138,C136,C137)+A158*1024*C135</f>
        <v/>
      </c>
      <c r="D158">
        <f>B158/C158</f>
        <v/>
      </c>
      <c r="E158" t="n">
        <v>73.73</v>
      </c>
      <c r="F158">
        <f>A158*1024/(C158*0.000001)/1000000000*C134</f>
        <v/>
      </c>
      <c r="G158">
        <f>E158/F158</f>
        <v/>
      </c>
    </row>
    <row r="159">
      <c r="A159" t="n">
        <v>262144</v>
      </c>
      <c r="B159" t="n">
        <v>4142.09</v>
      </c>
      <c r="C159">
        <f>IF(A159*1024/(C129*C132)&lt;C138,C136,C137)+A159*1024*C135</f>
        <v/>
      </c>
      <c r="D159">
        <f>B159/C159</f>
        <v/>
      </c>
      <c r="E159" t="n">
        <v>127.59</v>
      </c>
      <c r="F159">
        <f>A159*1024/(C159*0.000001)/1000000000*C134</f>
        <v/>
      </c>
      <c r="G159">
        <f>E159/F159</f>
        <v/>
      </c>
    </row>
    <row r="160">
      <c r="A160" t="n">
        <v>524288</v>
      </c>
      <c r="B160" t="n">
        <v>5990.58</v>
      </c>
      <c r="C160">
        <f>IF(A160*1024/(C129*C132)&lt;C138,C136,C137)+A160*1024*C135</f>
        <v/>
      </c>
      <c r="D160">
        <f>B160/C160</f>
        <v/>
      </c>
      <c r="E160" t="n">
        <v>176.44</v>
      </c>
      <c r="F160">
        <f>A160*1024/(C160*0.000001)/1000000000*C134</f>
        <v/>
      </c>
      <c r="G160">
        <f>E160/F160</f>
        <v/>
      </c>
    </row>
    <row r="161">
      <c r="A161" t="n">
        <v>1048576</v>
      </c>
      <c r="B161" t="n">
        <v>10492.9</v>
      </c>
      <c r="C161">
        <f>IF(A161*1024/(C129*C132)&lt;C138,C136,C137)+A161*1024*C135</f>
        <v/>
      </c>
      <c r="D161">
        <f>B161/C161</f>
        <v/>
      </c>
      <c r="E161" t="n">
        <v>201.46</v>
      </c>
      <c r="F161">
        <f>A161*1024/(C161*0.000001)/1000000000*C134</f>
        <v/>
      </c>
      <c r="G161">
        <f>E161/F161</f>
        <v/>
      </c>
    </row>
    <row r="162">
      <c r="A162" t="n">
        <v>2097152</v>
      </c>
      <c r="B162" t="n">
        <v>19771.4</v>
      </c>
      <c r="C162">
        <f>IF(A162*1024/(C129*C132)&lt;C138,C136,C137)+A162*1024*C135</f>
        <v/>
      </c>
      <c r="D162">
        <f>B162/C162</f>
        <v/>
      </c>
      <c r="E162" t="n">
        <v>213.84</v>
      </c>
      <c r="F162">
        <f>A162*1024/(C162*0.000001)/1000000000*C134</f>
        <v/>
      </c>
      <c r="G162">
        <f>E162/F162</f>
        <v/>
      </c>
    </row>
    <row r="163">
      <c r="A163" t="n">
        <v>4194304</v>
      </c>
      <c r="B163" t="n">
        <v>39514.8</v>
      </c>
      <c r="C163">
        <f>IF(A163*1024/(C129*C132)&lt;C138,C136,C137)+A163*1024*C135</f>
        <v/>
      </c>
      <c r="D163">
        <f>B163/C163</f>
        <v/>
      </c>
      <c r="E163" t="n">
        <v>213.99</v>
      </c>
      <c r="F163">
        <f>A163*1024/(C163*0.000001)/1000000000*C134</f>
        <v/>
      </c>
      <c r="G163">
        <f>E163/F163</f>
        <v/>
      </c>
    </row>
    <row r="164"/>
    <row r="165">
      <c r="A165" t="inlineStr">
        <is>
          <t>Nodes: 8, Protocol: Simple, Channels: 16</t>
        </is>
      </c>
    </row>
    <row r="166">
      <c r="A166" t="inlineStr">
        <is>
          <t>Parameter</t>
        </is>
      </c>
      <c r="B166" t="inlineStr">
        <is>
          <t>Formula</t>
        </is>
      </c>
      <c r="C166" t="inlineStr">
        <is>
          <t>Value</t>
        </is>
      </c>
    </row>
    <row r="167">
      <c r="A167" t="inlineStr">
        <is>
          <t>N</t>
        </is>
      </c>
      <c r="B167" t="inlineStr">
        <is>
          <t>nodes</t>
        </is>
      </c>
      <c r="C167" t="n">
        <v>8</v>
      </c>
    </row>
    <row r="168">
      <c r="A168" t="inlineStr">
        <is>
          <t>n</t>
        </is>
      </c>
      <c r="B168" t="inlineStr">
        <is>
          <t>GPUs/node</t>
        </is>
      </c>
      <c r="C168" t="n">
        <v>8</v>
      </c>
    </row>
    <row r="169">
      <c r="A169" t="inlineStr">
        <is>
          <t>n_total</t>
        </is>
      </c>
      <c r="B169" t="inlineStr">
        <is>
          <t>N*n</t>
        </is>
      </c>
      <c r="C169" t="n">
        <v>64</v>
      </c>
    </row>
    <row r="170">
      <c r="A170" t="inlineStr">
        <is>
          <t>nch_raw</t>
        </is>
      </c>
      <c r="B170" t="inlineStr">
        <is>
          <t>raw channels</t>
        </is>
      </c>
      <c r="C170" t="n">
        <v>16</v>
      </c>
    </row>
    <row r="171">
      <c r="A171" t="inlineStr">
        <is>
          <t>nch</t>
        </is>
      </c>
      <c r="B171" t="inlineStr">
        <is>
          <t>min(nch_raw,8)</t>
        </is>
      </c>
      <c r="C171" t="n">
        <v>8</v>
      </c>
    </row>
    <row r="172">
      <c r="A172" t="inlineStr">
        <is>
          <t>a</t>
        </is>
      </c>
      <c r="B172" t="inlineStr">
        <is>
          <t>RTT (us)</t>
        </is>
      </c>
      <c r="C172" t="n">
        <v>24.92</v>
      </c>
    </row>
    <row r="173">
      <c r="A173" t="inlineStr">
        <is>
          <t>NIC_BW</t>
        </is>
      </c>
      <c r="B173" t="inlineStr">
        <is>
          <t>bytes/us</t>
        </is>
      </c>
      <c r="C173" t="n">
        <v>48750</v>
      </c>
    </row>
    <row r="174">
      <c r="A174" t="inlineStr">
        <is>
          <t>G_agg</t>
        </is>
      </c>
      <c r="B174" t="inlineStr">
        <is>
          <t>nch*NIC_BW</t>
        </is>
      </c>
      <c r="C174">
        <f>C171*C173</f>
        <v/>
      </c>
    </row>
    <row r="175">
      <c r="A175" t="inlineStr">
        <is>
          <t>busbw_factor</t>
        </is>
      </c>
      <c r="B175" t="inlineStr">
        <is>
          <t>2*(n_total-1)/n_total</t>
        </is>
      </c>
      <c r="C175">
        <f>2*(C169-1)/C169</f>
        <v/>
      </c>
    </row>
    <row r="176">
      <c r="A176" t="inlineStr">
        <is>
          <t>G_per_byte</t>
        </is>
      </c>
      <c r="B176" t="inlineStr">
        <is>
          <t>busbw_factor/G_agg</t>
        </is>
      </c>
      <c r="C176">
        <f>C175/C174</f>
        <v/>
      </c>
    </row>
    <row r="177">
      <c r="A177" t="inlineStr">
        <is>
          <t>fixed_small</t>
        </is>
      </c>
      <c r="B177" t="inlineStr">
        <is>
          <t>(2*n_total-1)*a/2</t>
        </is>
      </c>
      <c r="C177">
        <f>(2*C169-1)*C172/2</f>
        <v/>
      </c>
    </row>
    <row r="178">
      <c r="A178" t="inlineStr">
        <is>
          <t>fixed_large</t>
        </is>
      </c>
      <c r="B178" t="inlineStr">
        <is>
          <t>(2*N-1)*a/2</t>
        </is>
      </c>
      <c r="C178">
        <f>(2*C167-1)*C172/2</f>
        <v/>
      </c>
    </row>
    <row r="179">
      <c r="A179" t="inlineStr">
        <is>
          <t>threshold</t>
        </is>
      </c>
      <c r="B179" t="inlineStr">
        <is>
          <t>700</t>
        </is>
      </c>
      <c r="C179" t="n">
        <v>700</v>
      </c>
    </row>
    <row r="180"/>
    <row r="181">
      <c r="A181" t="inlineStr">
        <is>
          <t>size_KB</t>
        </is>
      </c>
      <c r="B181" t="inlineStr">
        <is>
          <t>Actual Time (us)</t>
        </is>
      </c>
      <c r="C181" t="inlineStr">
        <is>
          <t>Roofline Time (us)</t>
        </is>
      </c>
      <c r="D181" t="inlineStr">
        <is>
          <t>Actual/Roofline</t>
        </is>
      </c>
      <c r="E181" t="inlineStr">
        <is>
          <t>Actual busBW (GB/s)</t>
        </is>
      </c>
      <c r="F181" t="inlineStr">
        <is>
          <t>Roofline busBW (GB/s)</t>
        </is>
      </c>
      <c r="G181" t="inlineStr">
        <is>
          <t>Meas/Roof busBW</t>
        </is>
      </c>
    </row>
    <row r="182">
      <c r="A182" t="n">
        <v>1</v>
      </c>
      <c r="B182" t="n">
        <v>1975.87</v>
      </c>
      <c r="C182">
        <f>IF(A182*1024/(C170*C173)&lt;C179,C177,C178)+A182*1024*C176</f>
        <v/>
      </c>
      <c r="D182">
        <f>B182/C182</f>
        <v/>
      </c>
      <c r="E182" t="n">
        <v>0</v>
      </c>
      <c r="F182">
        <f>A182*1024/(C182*0.000001)/1000000000*C175</f>
        <v/>
      </c>
      <c r="G182">
        <f>E182/F182</f>
        <v/>
      </c>
    </row>
    <row r="183">
      <c r="A183" t="n">
        <v>2</v>
      </c>
      <c r="B183" t="n">
        <v>1960.74</v>
      </c>
      <c r="C183">
        <f>IF(A183*1024/(C170*C173)&lt;C179,C177,C178)+A183*1024*C176</f>
        <v/>
      </c>
      <c r="D183">
        <f>B183/C183</f>
        <v/>
      </c>
      <c r="E183" t="n">
        <v>0</v>
      </c>
      <c r="F183">
        <f>A183*1024/(C183*0.000001)/1000000000*C175</f>
        <v/>
      </c>
      <c r="G183">
        <f>E183/F183</f>
        <v/>
      </c>
    </row>
    <row r="184">
      <c r="A184" t="n">
        <v>4</v>
      </c>
      <c r="B184" t="n">
        <v>1975.45</v>
      </c>
      <c r="C184">
        <f>IF(A184*1024/(C170*C173)&lt;C179,C177,C178)+A184*1024*C176</f>
        <v/>
      </c>
      <c r="D184">
        <f>B184/C184</f>
        <v/>
      </c>
      <c r="E184" t="n">
        <v>0</v>
      </c>
      <c r="F184">
        <f>A184*1024/(C184*0.000001)/1000000000*C175</f>
        <v/>
      </c>
      <c r="G184">
        <f>E184/F184</f>
        <v/>
      </c>
    </row>
    <row r="185">
      <c r="A185" t="n">
        <v>8</v>
      </c>
      <c r="B185" t="n">
        <v>1963.93</v>
      </c>
      <c r="C185">
        <f>IF(A185*1024/(C170*C173)&lt;C179,C177,C178)+A185*1024*C176</f>
        <v/>
      </c>
      <c r="D185">
        <f>B185/C185</f>
        <v/>
      </c>
      <c r="E185" t="n">
        <v>0.01</v>
      </c>
      <c r="F185">
        <f>A185*1024/(C185*0.000001)/1000000000*C175</f>
        <v/>
      </c>
      <c r="G185">
        <f>E185/F185</f>
        <v/>
      </c>
    </row>
    <row r="186">
      <c r="A186" t="n">
        <v>16</v>
      </c>
      <c r="B186" t="n">
        <v>1967.89</v>
      </c>
      <c r="C186">
        <f>IF(A186*1024/(C170*C173)&lt;C179,C177,C178)+A186*1024*C176</f>
        <v/>
      </c>
      <c r="D186">
        <f>B186/C186</f>
        <v/>
      </c>
      <c r="E186" t="n">
        <v>0.02</v>
      </c>
      <c r="F186">
        <f>A186*1024/(C186*0.000001)/1000000000*C175</f>
        <v/>
      </c>
      <c r="G186">
        <f>E186/F186</f>
        <v/>
      </c>
    </row>
    <row r="187">
      <c r="A187" t="n">
        <v>32</v>
      </c>
      <c r="B187" t="n">
        <v>1981.13</v>
      </c>
      <c r="C187">
        <f>IF(A187*1024/(C170*C173)&lt;C179,C177,C178)+A187*1024*C176</f>
        <v/>
      </c>
      <c r="D187">
        <f>B187/C187</f>
        <v/>
      </c>
      <c r="E187" t="n">
        <v>0.03</v>
      </c>
      <c r="F187">
        <f>A187*1024/(C187*0.000001)/1000000000*C175</f>
        <v/>
      </c>
      <c r="G187">
        <f>E187/F187</f>
        <v/>
      </c>
    </row>
    <row r="188">
      <c r="A188" t="n">
        <v>64</v>
      </c>
      <c r="B188" t="n">
        <v>2019.74</v>
      </c>
      <c r="C188">
        <f>IF(A188*1024/(C170*C173)&lt;C179,C177,C178)+A188*1024*C176</f>
        <v/>
      </c>
      <c r="D188">
        <f>B188/C188</f>
        <v/>
      </c>
      <c r="E188" t="n">
        <v>0.06</v>
      </c>
      <c r="F188">
        <f>A188*1024/(C188*0.000001)/1000000000*C175</f>
        <v/>
      </c>
      <c r="G188">
        <f>E188/F188</f>
        <v/>
      </c>
    </row>
    <row r="189">
      <c r="A189" t="n">
        <v>128</v>
      </c>
      <c r="B189" t="n">
        <v>2046.06</v>
      </c>
      <c r="C189">
        <f>IF(A189*1024/(C170*C173)&lt;C179,C177,C178)+A189*1024*C176</f>
        <v/>
      </c>
      <c r="D189">
        <f>B189/C189</f>
        <v/>
      </c>
      <c r="E189" t="n">
        <v>0.13</v>
      </c>
      <c r="F189">
        <f>A189*1024/(C189*0.000001)/1000000000*C175</f>
        <v/>
      </c>
      <c r="G189">
        <f>E189/F189</f>
        <v/>
      </c>
    </row>
    <row r="190">
      <c r="A190" t="n">
        <v>256</v>
      </c>
      <c r="B190" t="n">
        <v>2070.29</v>
      </c>
      <c r="C190">
        <f>IF(A190*1024/(C170*C173)&lt;C179,C177,C178)+A190*1024*C176</f>
        <v/>
      </c>
      <c r="D190">
        <f>B190/C190</f>
        <v/>
      </c>
      <c r="E190" t="n">
        <v>0.25</v>
      </c>
      <c r="F190">
        <f>A190*1024/(C190*0.000001)/1000000000*C175</f>
        <v/>
      </c>
      <c r="G190">
        <f>E190/F190</f>
        <v/>
      </c>
    </row>
    <row r="191">
      <c r="A191" t="n">
        <v>512</v>
      </c>
      <c r="B191" t="n">
        <v>2172.64</v>
      </c>
      <c r="C191">
        <f>IF(A191*1024/(C170*C173)&lt;C179,C177,C178)+A191*1024*C176</f>
        <v/>
      </c>
      <c r="D191">
        <f>B191/C191</f>
        <v/>
      </c>
      <c r="E191" t="n">
        <v>0.48</v>
      </c>
      <c r="F191">
        <f>A191*1024/(C191*0.000001)/1000000000*C175</f>
        <v/>
      </c>
      <c r="G191">
        <f>E191/F191</f>
        <v/>
      </c>
    </row>
    <row r="192">
      <c r="A192" t="n">
        <v>1024</v>
      </c>
      <c r="B192" t="n">
        <v>2171.31</v>
      </c>
      <c r="C192">
        <f>IF(A192*1024/(C170*C173)&lt;C179,C177,C178)+A192*1024*C176</f>
        <v/>
      </c>
      <c r="D192">
        <f>B192/C192</f>
        <v/>
      </c>
      <c r="E192" t="n">
        <v>0.95</v>
      </c>
      <c r="F192">
        <f>A192*1024/(C192*0.000001)/1000000000*C175</f>
        <v/>
      </c>
      <c r="G192">
        <f>E192/F192</f>
        <v/>
      </c>
    </row>
    <row r="193">
      <c r="A193" t="n">
        <v>2048</v>
      </c>
      <c r="B193" t="n">
        <v>2267.05</v>
      </c>
      <c r="C193">
        <f>IF(A193*1024/(C170*C173)&lt;C179,C177,C178)+A193*1024*C176</f>
        <v/>
      </c>
      <c r="D193">
        <f>B193/C193</f>
        <v/>
      </c>
      <c r="E193" t="n">
        <v>1.82</v>
      </c>
      <c r="F193">
        <f>A193*1024/(C193*0.000001)/1000000000*C175</f>
        <v/>
      </c>
      <c r="G193">
        <f>E193/F193</f>
        <v/>
      </c>
    </row>
    <row r="194">
      <c r="A194" t="n">
        <v>4096</v>
      </c>
      <c r="B194" t="n">
        <v>2233.35</v>
      </c>
      <c r="C194">
        <f>IF(A194*1024/(C170*C173)&lt;C179,C177,C178)+A194*1024*C176</f>
        <v/>
      </c>
      <c r="D194">
        <f>B194/C194</f>
        <v/>
      </c>
      <c r="E194" t="n">
        <v>3.7</v>
      </c>
      <c r="F194">
        <f>A194*1024/(C194*0.000001)/1000000000*C175</f>
        <v/>
      </c>
      <c r="G194">
        <f>E194/F194</f>
        <v/>
      </c>
    </row>
    <row r="195">
      <c r="A195" t="n">
        <v>8192</v>
      </c>
      <c r="B195" t="n">
        <v>2445.36</v>
      </c>
      <c r="C195">
        <f>IF(A195*1024/(C170*C173)&lt;C179,C177,C178)+A195*1024*C176</f>
        <v/>
      </c>
      <c r="D195">
        <f>B195/C195</f>
        <v/>
      </c>
      <c r="E195" t="n">
        <v>6.75</v>
      </c>
      <c r="F195">
        <f>A195*1024/(C195*0.000001)/1000000000*C175</f>
        <v/>
      </c>
      <c r="G195">
        <f>E195/F195</f>
        <v/>
      </c>
    </row>
    <row r="196">
      <c r="A196" t="n">
        <v>16384</v>
      </c>
      <c r="B196" t="n">
        <v>2725.52</v>
      </c>
      <c r="C196">
        <f>IF(A196*1024/(C170*C173)&lt;C179,C177,C178)+A196*1024*C176</f>
        <v/>
      </c>
      <c r="D196">
        <f>B196/C196</f>
        <v/>
      </c>
      <c r="E196" t="n">
        <v>12.12</v>
      </c>
      <c r="F196">
        <f>A196*1024/(C196*0.000001)/1000000000*C175</f>
        <v/>
      </c>
      <c r="G196">
        <f>E196/F196</f>
        <v/>
      </c>
    </row>
    <row r="197">
      <c r="A197" t="n">
        <v>32768</v>
      </c>
      <c r="B197" t="n">
        <v>2950.49</v>
      </c>
      <c r="C197">
        <f>IF(A197*1024/(C170*C173)&lt;C179,C177,C178)+A197*1024*C176</f>
        <v/>
      </c>
      <c r="D197">
        <f>B197/C197</f>
        <v/>
      </c>
      <c r="E197" t="n">
        <v>22.39</v>
      </c>
      <c r="F197">
        <f>A197*1024/(C197*0.000001)/1000000000*C175</f>
        <v/>
      </c>
      <c r="G197">
        <f>E197/F197</f>
        <v/>
      </c>
    </row>
    <row r="198">
      <c r="A198" t="n">
        <v>65536</v>
      </c>
      <c r="B198" t="n">
        <v>3176.76</v>
      </c>
      <c r="C198">
        <f>IF(A198*1024/(C170*C173)&lt;C179,C177,C178)+A198*1024*C176</f>
        <v/>
      </c>
      <c r="D198">
        <f>B198/C198</f>
        <v/>
      </c>
      <c r="E198" t="n">
        <v>41.59</v>
      </c>
      <c r="F198">
        <f>A198*1024/(C198*0.000001)/1000000000*C175</f>
        <v/>
      </c>
      <c r="G198">
        <f>E198/F198</f>
        <v/>
      </c>
    </row>
    <row r="199">
      <c r="A199" t="n">
        <v>131072</v>
      </c>
      <c r="B199" t="n">
        <v>3282.63</v>
      </c>
      <c r="C199">
        <f>IF(A199*1024/(C170*C173)&lt;C179,C177,C178)+A199*1024*C176</f>
        <v/>
      </c>
      <c r="D199">
        <f>B199/C199</f>
        <v/>
      </c>
      <c r="E199" t="n">
        <v>80.5</v>
      </c>
      <c r="F199">
        <f>A199*1024/(C199*0.000001)/1000000000*C175</f>
        <v/>
      </c>
      <c r="G199">
        <f>E199/F199</f>
        <v/>
      </c>
    </row>
    <row r="200">
      <c r="A200" t="n">
        <v>262144</v>
      </c>
      <c r="B200" t="n">
        <v>3880.7</v>
      </c>
      <c r="C200">
        <f>IF(A200*1024/(C170*C173)&lt;C179,C177,C178)+A200*1024*C176</f>
        <v/>
      </c>
      <c r="D200">
        <f>B200/C200</f>
        <v/>
      </c>
      <c r="E200" t="n">
        <v>136.18</v>
      </c>
      <c r="F200">
        <f>A200*1024/(C200*0.000001)/1000000000*C175</f>
        <v/>
      </c>
      <c r="G200">
        <f>E200/F200</f>
        <v/>
      </c>
    </row>
    <row r="201">
      <c r="A201" t="n">
        <v>524288</v>
      </c>
      <c r="B201" t="n">
        <v>4828.41</v>
      </c>
      <c r="C201">
        <f>IF(A201*1024/(C170*C173)&lt;C179,C177,C178)+A201*1024*C176</f>
        <v/>
      </c>
      <c r="D201">
        <f>B201/C201</f>
        <v/>
      </c>
      <c r="E201" t="n">
        <v>218.91</v>
      </c>
      <c r="F201">
        <f>A201*1024/(C201*0.000001)/1000000000*C175</f>
        <v/>
      </c>
      <c r="G201">
        <f>E201/F201</f>
        <v/>
      </c>
    </row>
    <row r="202">
      <c r="A202" t="n">
        <v>1048576</v>
      </c>
      <c r="B202" t="n">
        <v>6974.49</v>
      </c>
      <c r="C202">
        <f>IF(A202*1024/(C170*C173)&lt;C179,C177,C178)+A202*1024*C176</f>
        <v/>
      </c>
      <c r="D202">
        <f>B202/C202</f>
        <v/>
      </c>
      <c r="E202" t="n">
        <v>303.09</v>
      </c>
      <c r="F202">
        <f>A202*1024/(C202*0.000001)/1000000000*C175</f>
        <v/>
      </c>
      <c r="G202">
        <f>E202/F202</f>
        <v/>
      </c>
    </row>
    <row r="203">
      <c r="A203" t="n">
        <v>2097152</v>
      </c>
      <c r="B203" t="n">
        <v>12072.4</v>
      </c>
      <c r="C203">
        <f>IF(A203*1024/(C170*C173)&lt;C179,C177,C178)+A203*1024*C176</f>
        <v/>
      </c>
      <c r="D203">
        <f>B203/C203</f>
        <v/>
      </c>
      <c r="E203" t="n">
        <v>350.21</v>
      </c>
      <c r="F203">
        <f>A203*1024/(C203*0.000001)/1000000000*C175</f>
        <v/>
      </c>
      <c r="G203">
        <f>E203/F203</f>
        <v/>
      </c>
    </row>
    <row r="204">
      <c r="A204" t="n">
        <v>4194304</v>
      </c>
      <c r="B204" t="n">
        <v>23142.5</v>
      </c>
      <c r="C204">
        <f>IF(A204*1024/(C170*C173)&lt;C179,C177,C178)+A204*1024*C176</f>
        <v/>
      </c>
      <c r="D204">
        <f>B204/C204</f>
        <v/>
      </c>
      <c r="E204" t="n">
        <v>365.38</v>
      </c>
      <c r="F204">
        <f>A204*1024/(C204*0.000001)/1000000000*C175</f>
        <v/>
      </c>
      <c r="G204">
        <f>E204/F204</f>
        <v/>
      </c>
    </row>
    <row r="205"/>
    <row r="206">
      <c r="A206" t="inlineStr">
        <is>
          <t>Nodes: 8, Protocol: LL, Channels: 1</t>
        </is>
      </c>
    </row>
    <row r="207">
      <c r="A207" t="inlineStr">
        <is>
          <t>Parameter</t>
        </is>
      </c>
      <c r="B207" t="inlineStr">
        <is>
          <t>Formula</t>
        </is>
      </c>
      <c r="C207" t="inlineStr">
        <is>
          <t>Value</t>
        </is>
      </c>
    </row>
    <row r="208">
      <c r="A208" t="inlineStr">
        <is>
          <t>N</t>
        </is>
      </c>
      <c r="B208" t="inlineStr">
        <is>
          <t>nodes</t>
        </is>
      </c>
      <c r="C208" t="n">
        <v>8</v>
      </c>
    </row>
    <row r="209">
      <c r="A209" t="inlineStr">
        <is>
          <t>n</t>
        </is>
      </c>
      <c r="B209" t="inlineStr">
        <is>
          <t>GPUs/node</t>
        </is>
      </c>
      <c r="C209" t="n">
        <v>8</v>
      </c>
    </row>
    <row r="210">
      <c r="A210" t="inlineStr">
        <is>
          <t>n_total</t>
        </is>
      </c>
      <c r="B210" t="inlineStr">
        <is>
          <t>N*n</t>
        </is>
      </c>
      <c r="C210" t="n">
        <v>64</v>
      </c>
    </row>
    <row r="211">
      <c r="A211" t="inlineStr">
        <is>
          <t>nch_raw</t>
        </is>
      </c>
      <c r="B211" t="inlineStr">
        <is>
          <t>raw channels</t>
        </is>
      </c>
      <c r="C211" t="n">
        <v>1</v>
      </c>
    </row>
    <row r="212">
      <c r="A212" t="inlineStr">
        <is>
          <t>nch</t>
        </is>
      </c>
      <c r="B212" t="inlineStr">
        <is>
          <t>min(nch_raw,8)</t>
        </is>
      </c>
      <c r="C212" t="n">
        <v>1</v>
      </c>
    </row>
    <row r="213">
      <c r="A213" t="inlineStr">
        <is>
          <t>a</t>
        </is>
      </c>
      <c r="B213" t="inlineStr">
        <is>
          <t>RTT (us)</t>
        </is>
      </c>
      <c r="C213" t="n">
        <v>24.92</v>
      </c>
    </row>
    <row r="214">
      <c r="A214" t="inlineStr">
        <is>
          <t>NIC_BW</t>
        </is>
      </c>
      <c r="B214" t="inlineStr">
        <is>
          <t>bytes/us</t>
        </is>
      </c>
      <c r="C214" t="n">
        <v>48750</v>
      </c>
    </row>
    <row r="215">
      <c r="A215" t="inlineStr">
        <is>
          <t>intra_node_latency</t>
        </is>
      </c>
      <c r="B215" t="inlineStr">
        <is>
          <t>us</t>
        </is>
      </c>
      <c r="C215" t="n">
        <v>8.4</v>
      </c>
    </row>
    <row r="216">
      <c r="A216" t="inlineStr">
        <is>
          <t>chunk_size</t>
        </is>
      </c>
      <c r="B216" t="inlineStr">
        <is>
          <t>bytes</t>
        </is>
      </c>
      <c r="C216" t="n">
        <v>32768</v>
      </c>
    </row>
    <row r="217">
      <c r="A217" t="inlineStr">
        <is>
          <t>G_agg</t>
        </is>
      </c>
      <c r="B217" t="inlineStr">
        <is>
          <t>nch*NIC_BW</t>
        </is>
      </c>
      <c r="C217">
        <f>C212*C214</f>
        <v/>
      </c>
    </row>
    <row r="218">
      <c r="A218" t="inlineStr">
        <is>
          <t>G</t>
        </is>
      </c>
      <c r="B218" t="inlineStr">
        <is>
          <t>2*2*(n_total-1)/(n_total*G_agg)</t>
        </is>
      </c>
      <c r="C218">
        <f>2*2*(C210-1)/(C210*C217)</f>
        <v/>
      </c>
    </row>
    <row r="219">
      <c r="A219" t="inlineStr">
        <is>
          <t>busbw_factor</t>
        </is>
      </c>
      <c r="B219" t="inlineStr">
        <is>
          <t>2*(n_total-1)/n_total</t>
        </is>
      </c>
      <c r="C219">
        <f>2*(C210-1)/C210</f>
        <v/>
      </c>
    </row>
    <row r="220">
      <c r="A220" t="inlineStr">
        <is>
          <t>fixed_per_step</t>
        </is>
      </c>
      <c r="B220" t="inlineStr">
        <is>
          <t>(2*N-1)*(a/2+intra)</t>
        </is>
      </c>
      <c r="C220">
        <f>(2*C208-1)*(C213/2+C215)</f>
        <v/>
      </c>
    </row>
    <row r="221"/>
    <row r="222">
      <c r="A222" t="inlineStr">
        <is>
          <t>size_KB</t>
        </is>
      </c>
      <c r="B222" t="inlineStr">
        <is>
          <t>Actual Time (us)</t>
        </is>
      </c>
      <c r="C222" t="inlineStr">
        <is>
          <t>Roofline Time (us)</t>
        </is>
      </c>
      <c r="D222" t="inlineStr">
        <is>
          <t>Actual/Roofline</t>
        </is>
      </c>
      <c r="E222" t="inlineStr">
        <is>
          <t>Actual busBW (GB/s)</t>
        </is>
      </c>
      <c r="F222" t="inlineStr">
        <is>
          <t>Roofline busBW (GB/s)</t>
        </is>
      </c>
      <c r="G222" t="inlineStr">
        <is>
          <t>Meas/Roof busBW</t>
        </is>
      </c>
    </row>
    <row r="223">
      <c r="A223" t="n">
        <v>1</v>
      </c>
      <c r="B223" t="n">
        <v>483.45</v>
      </c>
      <c r="C223">
        <f>C220*CEILING(A223*1024/(C211*C216*C210),1)+A223*1024*C218</f>
        <v/>
      </c>
      <c r="D223">
        <f>B223/C223</f>
        <v/>
      </c>
      <c r="E223" t="n">
        <v>0</v>
      </c>
      <c r="F223">
        <f>A223*1024/(C223*0.000001)/1000000000*C219</f>
        <v/>
      </c>
      <c r="G223">
        <f>E223/F223</f>
        <v/>
      </c>
    </row>
    <row r="224">
      <c r="A224" t="n">
        <v>2</v>
      </c>
      <c r="B224" t="n">
        <v>466.99</v>
      </c>
      <c r="C224">
        <f>C220*CEILING(A224*1024/(C211*C216*C210),1)+A224*1024*C218</f>
        <v/>
      </c>
      <c r="D224">
        <f>B224/C224</f>
        <v/>
      </c>
      <c r="E224" t="n">
        <v>0.01</v>
      </c>
      <c r="F224">
        <f>A224*1024/(C224*0.000001)/1000000000*C219</f>
        <v/>
      </c>
      <c r="G224">
        <f>E224/F224</f>
        <v/>
      </c>
    </row>
    <row r="225">
      <c r="A225" t="n">
        <v>4</v>
      </c>
      <c r="B225" t="n">
        <v>467.34</v>
      </c>
      <c r="C225">
        <f>C220*CEILING(A225*1024/(C211*C216*C210),1)+A225*1024*C218</f>
        <v/>
      </c>
      <c r="D225">
        <f>B225/C225</f>
        <v/>
      </c>
      <c r="E225" t="n">
        <v>0.02</v>
      </c>
      <c r="F225">
        <f>A225*1024/(C225*0.000001)/1000000000*C219</f>
        <v/>
      </c>
      <c r="G225">
        <f>E225/F225</f>
        <v/>
      </c>
    </row>
    <row r="226">
      <c r="A226" t="n">
        <v>8</v>
      </c>
      <c r="B226" t="n">
        <v>467.57</v>
      </c>
      <c r="C226">
        <f>C220*CEILING(A226*1024/(C211*C216*C210),1)+A226*1024*C218</f>
        <v/>
      </c>
      <c r="D226">
        <f>B226/C226</f>
        <v/>
      </c>
      <c r="E226" t="n">
        <v>0.03</v>
      </c>
      <c r="F226">
        <f>A226*1024/(C226*0.000001)/1000000000*C219</f>
        <v/>
      </c>
      <c r="G226">
        <f>E226/F226</f>
        <v/>
      </c>
    </row>
    <row r="227">
      <c r="A227" t="n">
        <v>16</v>
      </c>
      <c r="B227" t="n">
        <v>469.97</v>
      </c>
      <c r="C227">
        <f>C220*CEILING(A227*1024/(C211*C216*C210),1)+A227*1024*C218</f>
        <v/>
      </c>
      <c r="D227">
        <f>B227/C227</f>
        <v/>
      </c>
      <c r="E227" t="n">
        <v>0.07000000000000001</v>
      </c>
      <c r="F227">
        <f>A227*1024/(C227*0.000001)/1000000000*C219</f>
        <v/>
      </c>
      <c r="G227">
        <f>E227/F227</f>
        <v/>
      </c>
    </row>
    <row r="228">
      <c r="A228" t="n">
        <v>32</v>
      </c>
      <c r="B228" t="n">
        <v>472.57</v>
      </c>
      <c r="C228">
        <f>C220*CEILING(A228*1024/(C211*C216*C210),1)+A228*1024*C218</f>
        <v/>
      </c>
      <c r="D228">
        <f>B228/C228</f>
        <v/>
      </c>
      <c r="E228" t="n">
        <v>0.14</v>
      </c>
      <c r="F228">
        <f>A228*1024/(C228*0.000001)/1000000000*C219</f>
        <v/>
      </c>
      <c r="G228">
        <f>E228/F228</f>
        <v/>
      </c>
    </row>
    <row r="229">
      <c r="A229" t="n">
        <v>64</v>
      </c>
      <c r="B229" t="n">
        <v>477.73</v>
      </c>
      <c r="C229">
        <f>C220*CEILING(A229*1024/(C211*C216*C210),1)+A229*1024*C218</f>
        <v/>
      </c>
      <c r="D229">
        <f>B229/C229</f>
        <v/>
      </c>
      <c r="E229" t="n">
        <v>0.27</v>
      </c>
      <c r="F229">
        <f>A229*1024/(C229*0.000001)/1000000000*C219</f>
        <v/>
      </c>
      <c r="G229">
        <f>E229/F229</f>
        <v/>
      </c>
    </row>
    <row r="230">
      <c r="A230" t="n">
        <v>128</v>
      </c>
      <c r="B230" t="n">
        <v>494.53</v>
      </c>
      <c r="C230">
        <f>C220*CEILING(A230*1024/(C211*C216*C210),1)+A230*1024*C218</f>
        <v/>
      </c>
      <c r="D230">
        <f>B230/C230</f>
        <v/>
      </c>
      <c r="E230" t="n">
        <v>0.52</v>
      </c>
      <c r="F230">
        <f>A230*1024/(C230*0.000001)/1000000000*C219</f>
        <v/>
      </c>
      <c r="G230">
        <f>E230/F230</f>
        <v/>
      </c>
    </row>
    <row r="231">
      <c r="A231" t="n">
        <v>256</v>
      </c>
      <c r="B231" t="n">
        <v>534.63</v>
      </c>
      <c r="C231">
        <f>C220*CEILING(A231*1024/(C211*C216*C210),1)+A231*1024*C218</f>
        <v/>
      </c>
      <c r="D231">
        <f>B231/C231</f>
        <v/>
      </c>
      <c r="E231" t="n">
        <v>0.97</v>
      </c>
      <c r="F231">
        <f>A231*1024/(C231*0.000001)/1000000000*C219</f>
        <v/>
      </c>
      <c r="G231">
        <f>E231/F231</f>
        <v/>
      </c>
    </row>
    <row r="232">
      <c r="A232" t="n">
        <v>512</v>
      </c>
      <c r="B232" t="n">
        <v>592.39</v>
      </c>
      <c r="C232">
        <f>C220*CEILING(A232*1024/(C211*C216*C210),1)+A232*1024*C218</f>
        <v/>
      </c>
      <c r="D232">
        <f>B232/C232</f>
        <v/>
      </c>
      <c r="E232" t="n">
        <v>1.74</v>
      </c>
      <c r="F232">
        <f>A232*1024/(C232*0.000001)/1000000000*C219</f>
        <v/>
      </c>
      <c r="G232">
        <f>E232/F232</f>
        <v/>
      </c>
    </row>
    <row r="233">
      <c r="A233" t="n">
        <v>1024</v>
      </c>
      <c r="B233" t="n">
        <v>678.75</v>
      </c>
      <c r="C233">
        <f>C220*CEILING(A233*1024/(C211*C216*C210),1)+A233*1024*C218</f>
        <v/>
      </c>
      <c r="D233">
        <f>B233/C233</f>
        <v/>
      </c>
      <c r="E233" t="n">
        <v>3.04</v>
      </c>
      <c r="F233">
        <f>A233*1024/(C233*0.000001)/1000000000*C219</f>
        <v/>
      </c>
      <c r="G233">
        <f>E233/F233</f>
        <v/>
      </c>
    </row>
    <row r="234">
      <c r="A234" t="n">
        <v>2048</v>
      </c>
      <c r="B234" t="n">
        <v>858.4400000000001</v>
      </c>
      <c r="C234">
        <f>C220*CEILING(A234*1024/(C211*C216*C210),1)+A234*1024*C218</f>
        <v/>
      </c>
      <c r="D234">
        <f>B234/C234</f>
        <v/>
      </c>
      <c r="E234" t="n">
        <v>4.81</v>
      </c>
      <c r="F234">
        <f>A234*1024/(C234*0.000001)/1000000000*C219</f>
        <v/>
      </c>
      <c r="G234">
        <f>E234/F234</f>
        <v/>
      </c>
    </row>
    <row r="235">
      <c r="A235" t="n">
        <v>4096</v>
      </c>
      <c r="B235" t="n">
        <v>1693.86</v>
      </c>
      <c r="C235">
        <f>C220*CEILING(A235*1024/(C211*C216*C210),1)+A235*1024*C218</f>
        <v/>
      </c>
      <c r="D235">
        <f>B235/C235</f>
        <v/>
      </c>
      <c r="E235" t="n">
        <v>4.87</v>
      </c>
      <c r="F235">
        <f>A235*1024/(C235*0.000001)/1000000000*C219</f>
        <v/>
      </c>
      <c r="G235">
        <f>E235/F235</f>
        <v/>
      </c>
    </row>
    <row r="236">
      <c r="A236" t="n">
        <v>8192</v>
      </c>
      <c r="B236" t="n">
        <v>3366.42</v>
      </c>
      <c r="C236">
        <f>C220*CEILING(A236*1024/(C211*C216*C210),1)+A236*1024*C218</f>
        <v/>
      </c>
      <c r="D236">
        <f>B236/C236</f>
        <v/>
      </c>
      <c r="E236" t="n">
        <v>4.91</v>
      </c>
      <c r="F236">
        <f>A236*1024/(C236*0.000001)/1000000000*C219</f>
        <v/>
      </c>
      <c r="G236">
        <f>E236/F236</f>
        <v/>
      </c>
    </row>
    <row r="237">
      <c r="A237" t="n">
        <v>16384</v>
      </c>
      <c r="B237" t="n">
        <v>6707.59</v>
      </c>
      <c r="C237">
        <f>C220*CEILING(A237*1024/(C211*C216*C210),1)+A237*1024*C218</f>
        <v/>
      </c>
      <c r="D237">
        <f>B237/C237</f>
        <v/>
      </c>
      <c r="E237" t="n">
        <v>4.92</v>
      </c>
      <c r="F237">
        <f>A237*1024/(C237*0.000001)/1000000000*C219</f>
        <v/>
      </c>
      <c r="G237">
        <f>E237/F237</f>
        <v/>
      </c>
    </row>
    <row r="238">
      <c r="A238" t="n">
        <v>32768</v>
      </c>
      <c r="B238" t="n">
        <v>13399.2</v>
      </c>
      <c r="C238">
        <f>C220*CEILING(A238*1024/(C211*C216*C210),1)+A238*1024*C218</f>
        <v/>
      </c>
      <c r="D238">
        <f>B238/C238</f>
        <v/>
      </c>
      <c r="E238" t="n">
        <v>4.93</v>
      </c>
      <c r="F238">
        <f>A238*1024/(C238*0.000001)/1000000000*C219</f>
        <v/>
      </c>
      <c r="G238">
        <f>E238/F238</f>
        <v/>
      </c>
    </row>
    <row r="239">
      <c r="A239" t="n">
        <v>65536</v>
      </c>
      <c r="B239" t="n">
        <v>26758.8</v>
      </c>
      <c r="C239">
        <f>C220*CEILING(A239*1024/(C211*C216*C210),1)+A239*1024*C218</f>
        <v/>
      </c>
      <c r="D239">
        <f>B239/C239</f>
        <v/>
      </c>
      <c r="E239" t="n">
        <v>4.94</v>
      </c>
      <c r="F239">
        <f>A239*1024/(C239*0.000001)/1000000000*C219</f>
        <v/>
      </c>
      <c r="G239">
        <f>E239/F239</f>
        <v/>
      </c>
    </row>
    <row r="240">
      <c r="A240" t="n">
        <v>131072</v>
      </c>
      <c r="B240" t="n">
        <v>53476.1</v>
      </c>
      <c r="C240">
        <f>C220*CEILING(A240*1024/(C211*C216*C210),1)+A240*1024*C218</f>
        <v/>
      </c>
      <c r="D240">
        <f>B240/C240</f>
        <v/>
      </c>
      <c r="E240" t="n">
        <v>4.94</v>
      </c>
      <c r="F240">
        <f>A240*1024/(C240*0.000001)/1000000000*C219</f>
        <v/>
      </c>
      <c r="G240">
        <f>E240/F240</f>
        <v/>
      </c>
    </row>
    <row r="241">
      <c r="A241" t="n">
        <v>262144</v>
      </c>
      <c r="B241" t="n">
        <v>107201</v>
      </c>
      <c r="C241">
        <f>C220*CEILING(A241*1024/(C211*C216*C210),1)+A241*1024*C218</f>
        <v/>
      </c>
      <c r="D241">
        <f>B241/C241</f>
        <v/>
      </c>
      <c r="E241" t="n">
        <v>4.93</v>
      </c>
      <c r="F241">
        <f>A241*1024/(C241*0.000001)/1000000000*C219</f>
        <v/>
      </c>
      <c r="G241">
        <f>E241/F241</f>
        <v/>
      </c>
    </row>
    <row r="242">
      <c r="A242" t="n">
        <v>524288</v>
      </c>
      <c r="B242" t="n">
        <v>214014</v>
      </c>
      <c r="C242">
        <f>C220*CEILING(A242*1024/(C211*C216*C210),1)+A242*1024*C218</f>
        <v/>
      </c>
      <c r="D242">
        <f>B242/C242</f>
        <v/>
      </c>
      <c r="E242" t="n">
        <v>4.94</v>
      </c>
      <c r="F242">
        <f>A242*1024/(C242*0.000001)/1000000000*C219</f>
        <v/>
      </c>
      <c r="G242">
        <f>E242/F242</f>
        <v/>
      </c>
    </row>
    <row r="243">
      <c r="A243" t="n">
        <v>1048576</v>
      </c>
      <c r="B243" t="n">
        <v>428502</v>
      </c>
      <c r="C243">
        <f>C220*CEILING(A243*1024/(C211*C216*C210),1)+A243*1024*C218</f>
        <v/>
      </c>
      <c r="D243">
        <f>B243/C243</f>
        <v/>
      </c>
      <c r="E243" t="n">
        <v>4.93</v>
      </c>
      <c r="F243">
        <f>A243*1024/(C243*0.000001)/1000000000*C219</f>
        <v/>
      </c>
      <c r="G243">
        <f>E243/F243</f>
        <v/>
      </c>
    </row>
    <row r="244"/>
    <row r="245">
      <c r="A245" t="inlineStr">
        <is>
          <t>Nodes: 8, Protocol: LL, Channels: 2</t>
        </is>
      </c>
    </row>
    <row r="246">
      <c r="A246" t="inlineStr">
        <is>
          <t>Parameter</t>
        </is>
      </c>
      <c r="B246" t="inlineStr">
        <is>
          <t>Formula</t>
        </is>
      </c>
      <c r="C246" t="inlineStr">
        <is>
          <t>Value</t>
        </is>
      </c>
    </row>
    <row r="247">
      <c r="A247" t="inlineStr">
        <is>
          <t>N</t>
        </is>
      </c>
      <c r="B247" t="inlineStr">
        <is>
          <t>nodes</t>
        </is>
      </c>
      <c r="C247" t="n">
        <v>8</v>
      </c>
    </row>
    <row r="248">
      <c r="A248" t="inlineStr">
        <is>
          <t>n</t>
        </is>
      </c>
      <c r="B248" t="inlineStr">
        <is>
          <t>GPUs/node</t>
        </is>
      </c>
      <c r="C248" t="n">
        <v>8</v>
      </c>
    </row>
    <row r="249">
      <c r="A249" t="inlineStr">
        <is>
          <t>n_total</t>
        </is>
      </c>
      <c r="B249" t="inlineStr">
        <is>
          <t>N*n</t>
        </is>
      </c>
      <c r="C249" t="n">
        <v>64</v>
      </c>
    </row>
    <row r="250">
      <c r="A250" t="inlineStr">
        <is>
          <t>nch_raw</t>
        </is>
      </c>
      <c r="B250" t="inlineStr">
        <is>
          <t>raw channels</t>
        </is>
      </c>
      <c r="C250" t="n">
        <v>2</v>
      </c>
    </row>
    <row r="251">
      <c r="A251" t="inlineStr">
        <is>
          <t>nch</t>
        </is>
      </c>
      <c r="B251" t="inlineStr">
        <is>
          <t>min(nch_raw,8)</t>
        </is>
      </c>
      <c r="C251" t="n">
        <v>2</v>
      </c>
    </row>
    <row r="252">
      <c r="A252" t="inlineStr">
        <is>
          <t>a</t>
        </is>
      </c>
      <c r="B252" t="inlineStr">
        <is>
          <t>RTT (us)</t>
        </is>
      </c>
      <c r="C252" t="n">
        <v>24.92</v>
      </c>
    </row>
    <row r="253">
      <c r="A253" t="inlineStr">
        <is>
          <t>NIC_BW</t>
        </is>
      </c>
      <c r="B253" t="inlineStr">
        <is>
          <t>bytes/us</t>
        </is>
      </c>
      <c r="C253" t="n">
        <v>48750</v>
      </c>
    </row>
    <row r="254">
      <c r="A254" t="inlineStr">
        <is>
          <t>intra_node_latency</t>
        </is>
      </c>
      <c r="B254" t="inlineStr">
        <is>
          <t>us</t>
        </is>
      </c>
      <c r="C254" t="n">
        <v>8.4</v>
      </c>
    </row>
    <row r="255">
      <c r="A255" t="inlineStr">
        <is>
          <t>chunk_size</t>
        </is>
      </c>
      <c r="B255" t="inlineStr">
        <is>
          <t>bytes</t>
        </is>
      </c>
      <c r="C255" t="n">
        <v>32768</v>
      </c>
    </row>
    <row r="256">
      <c r="A256" t="inlineStr">
        <is>
          <t>G_agg</t>
        </is>
      </c>
      <c r="B256" t="inlineStr">
        <is>
          <t>nch*NIC_BW</t>
        </is>
      </c>
      <c r="C256">
        <f>C251*C253</f>
        <v/>
      </c>
    </row>
    <row r="257">
      <c r="A257" t="inlineStr">
        <is>
          <t>G</t>
        </is>
      </c>
      <c r="B257" t="inlineStr">
        <is>
          <t>2*2*(n_total-1)/(n_total*G_agg)</t>
        </is>
      </c>
      <c r="C257">
        <f>2*2*(C249-1)/(C249*C256)</f>
        <v/>
      </c>
    </row>
    <row r="258">
      <c r="A258" t="inlineStr">
        <is>
          <t>busbw_factor</t>
        </is>
      </c>
      <c r="B258" t="inlineStr">
        <is>
          <t>2*(n_total-1)/n_total</t>
        </is>
      </c>
      <c r="C258">
        <f>2*(C249-1)/C249</f>
        <v/>
      </c>
    </row>
    <row r="259">
      <c r="A259" t="inlineStr">
        <is>
          <t>fixed_per_step</t>
        </is>
      </c>
      <c r="B259" t="inlineStr">
        <is>
          <t>(2*N-1)*(a/2+intra)</t>
        </is>
      </c>
      <c r="C259">
        <f>(2*C247-1)*(C252/2+C254)</f>
        <v/>
      </c>
    </row>
    <row r="260"/>
    <row r="261">
      <c r="A261" t="inlineStr">
        <is>
          <t>size_KB</t>
        </is>
      </c>
      <c r="B261" t="inlineStr">
        <is>
          <t>Actual Time (us)</t>
        </is>
      </c>
      <c r="C261" t="inlineStr">
        <is>
          <t>Roofline Time (us)</t>
        </is>
      </c>
      <c r="D261" t="inlineStr">
        <is>
          <t>Actual/Roofline</t>
        </is>
      </c>
      <c r="E261" t="inlineStr">
        <is>
          <t>Actual busBW (GB/s)</t>
        </is>
      </c>
      <c r="F261" t="inlineStr">
        <is>
          <t>Roofline busBW (GB/s)</t>
        </is>
      </c>
      <c r="G261" t="inlineStr">
        <is>
          <t>Meas/Roof busBW</t>
        </is>
      </c>
    </row>
    <row r="262">
      <c r="A262" t="n">
        <v>1</v>
      </c>
      <c r="B262" t="n">
        <v>485.85</v>
      </c>
      <c r="C262">
        <f>C259*CEILING(A262*1024/(C250*C255*C249),1)+A262*1024*C257</f>
        <v/>
      </c>
      <c r="D262">
        <f>B262/C262</f>
        <v/>
      </c>
      <c r="E262" t="n">
        <v>0</v>
      </c>
      <c r="F262">
        <f>A262*1024/(C262*0.000001)/1000000000*C258</f>
        <v/>
      </c>
      <c r="G262">
        <f>E262/F262</f>
        <v/>
      </c>
    </row>
    <row r="263">
      <c r="A263" t="n">
        <v>2</v>
      </c>
      <c r="B263" t="n">
        <v>466.35</v>
      </c>
      <c r="C263">
        <f>C259*CEILING(A263*1024/(C250*C255*C249),1)+A263*1024*C257</f>
        <v/>
      </c>
      <c r="D263">
        <f>B263/C263</f>
        <v/>
      </c>
      <c r="E263" t="n">
        <v>0.01</v>
      </c>
      <c r="F263">
        <f>A263*1024/(C263*0.000001)/1000000000*C258</f>
        <v/>
      </c>
      <c r="G263">
        <f>E263/F263</f>
        <v/>
      </c>
    </row>
    <row r="264">
      <c r="A264" t="n">
        <v>4</v>
      </c>
      <c r="B264" t="n">
        <v>465.9</v>
      </c>
      <c r="C264">
        <f>C259*CEILING(A264*1024/(C250*C255*C249),1)+A264*1024*C257</f>
        <v/>
      </c>
      <c r="D264">
        <f>B264/C264</f>
        <v/>
      </c>
      <c r="E264" t="n">
        <v>0.02</v>
      </c>
      <c r="F264">
        <f>A264*1024/(C264*0.000001)/1000000000*C258</f>
        <v/>
      </c>
      <c r="G264">
        <f>E264/F264</f>
        <v/>
      </c>
    </row>
    <row r="265">
      <c r="A265" t="n">
        <v>8</v>
      </c>
      <c r="B265" t="n">
        <v>468.14</v>
      </c>
      <c r="C265">
        <f>C259*CEILING(A265*1024/(C250*C255*C249),1)+A265*1024*C257</f>
        <v/>
      </c>
      <c r="D265">
        <f>B265/C265</f>
        <v/>
      </c>
      <c r="E265" t="n">
        <v>0.03</v>
      </c>
      <c r="F265">
        <f>A265*1024/(C265*0.000001)/1000000000*C258</f>
        <v/>
      </c>
      <c r="G265">
        <f>E265/F265</f>
        <v/>
      </c>
    </row>
    <row r="266">
      <c r="A266" t="n">
        <v>16</v>
      </c>
      <c r="B266" t="n">
        <v>469.45</v>
      </c>
      <c r="C266">
        <f>C259*CEILING(A266*1024/(C250*C255*C249),1)+A266*1024*C257</f>
        <v/>
      </c>
      <c r="D266">
        <f>B266/C266</f>
        <v/>
      </c>
      <c r="E266" t="n">
        <v>0.07000000000000001</v>
      </c>
      <c r="F266">
        <f>A266*1024/(C266*0.000001)/1000000000*C258</f>
        <v/>
      </c>
      <c r="G266">
        <f>E266/F266</f>
        <v/>
      </c>
    </row>
    <row r="267">
      <c r="A267" t="n">
        <v>32</v>
      </c>
      <c r="B267" t="n">
        <v>471.59</v>
      </c>
      <c r="C267">
        <f>C259*CEILING(A267*1024/(C250*C255*C249),1)+A267*1024*C257</f>
        <v/>
      </c>
      <c r="D267">
        <f>B267/C267</f>
        <v/>
      </c>
      <c r="E267" t="n">
        <v>0.14</v>
      </c>
      <c r="F267">
        <f>A267*1024/(C267*0.000001)/1000000000*C258</f>
        <v/>
      </c>
      <c r="G267">
        <f>E267/F267</f>
        <v/>
      </c>
    </row>
    <row r="268">
      <c r="A268" t="n">
        <v>64</v>
      </c>
      <c r="B268" t="n">
        <v>476.78</v>
      </c>
      <c r="C268">
        <f>C259*CEILING(A268*1024/(C250*C255*C249),1)+A268*1024*C257</f>
        <v/>
      </c>
      <c r="D268">
        <f>B268/C268</f>
        <v/>
      </c>
      <c r="E268" t="n">
        <v>0.27</v>
      </c>
      <c r="F268">
        <f>A268*1024/(C268*0.000001)/1000000000*C258</f>
        <v/>
      </c>
      <c r="G268">
        <f>E268/F268</f>
        <v/>
      </c>
    </row>
    <row r="269">
      <c r="A269" t="n">
        <v>128</v>
      </c>
      <c r="B269" t="n">
        <v>492.55</v>
      </c>
      <c r="C269">
        <f>C259*CEILING(A269*1024/(C250*C255*C249),1)+A269*1024*C257</f>
        <v/>
      </c>
      <c r="D269">
        <f>B269/C269</f>
        <v/>
      </c>
      <c r="E269" t="n">
        <v>0.52</v>
      </c>
      <c r="F269">
        <f>A269*1024/(C269*0.000001)/1000000000*C258</f>
        <v/>
      </c>
      <c r="G269">
        <f>E269/F269</f>
        <v/>
      </c>
    </row>
    <row r="270">
      <c r="A270" t="n">
        <v>256</v>
      </c>
      <c r="B270" t="n">
        <v>532.76</v>
      </c>
      <c r="C270">
        <f>C259*CEILING(A270*1024/(C250*C255*C249),1)+A270*1024*C257</f>
        <v/>
      </c>
      <c r="D270">
        <f>B270/C270</f>
        <v/>
      </c>
      <c r="E270" t="n">
        <v>0.97</v>
      </c>
      <c r="F270">
        <f>A270*1024/(C270*0.000001)/1000000000*C258</f>
        <v/>
      </c>
      <c r="G270">
        <f>E270/F270</f>
        <v/>
      </c>
    </row>
    <row r="271">
      <c r="A271" t="n">
        <v>512</v>
      </c>
      <c r="B271" t="n">
        <v>552.21</v>
      </c>
      <c r="C271">
        <f>C259*CEILING(A271*1024/(C250*C255*C249),1)+A271*1024*C257</f>
        <v/>
      </c>
      <c r="D271">
        <f>B271/C271</f>
        <v/>
      </c>
      <c r="E271" t="n">
        <v>1.87</v>
      </c>
      <c r="F271">
        <f>A271*1024/(C271*0.000001)/1000000000*C258</f>
        <v/>
      </c>
      <c r="G271">
        <f>E271/F271</f>
        <v/>
      </c>
    </row>
    <row r="272">
      <c r="A272" t="n">
        <v>1024</v>
      </c>
      <c r="B272" t="n">
        <v>655.73</v>
      </c>
      <c r="C272">
        <f>C259*CEILING(A272*1024/(C250*C255*C249),1)+A272*1024*C257</f>
        <v/>
      </c>
      <c r="D272">
        <f>B272/C272</f>
        <v/>
      </c>
      <c r="E272" t="n">
        <v>3.15</v>
      </c>
      <c r="F272">
        <f>A272*1024/(C272*0.000001)/1000000000*C258</f>
        <v/>
      </c>
      <c r="G272">
        <f>E272/F272</f>
        <v/>
      </c>
    </row>
    <row r="273">
      <c r="A273" t="n">
        <v>2048</v>
      </c>
      <c r="B273" t="n">
        <v>763.48</v>
      </c>
      <c r="C273">
        <f>C259*CEILING(A273*1024/(C250*C255*C249),1)+A273*1024*C257</f>
        <v/>
      </c>
      <c r="D273">
        <f>B273/C273</f>
        <v/>
      </c>
      <c r="E273" t="n">
        <v>5.41</v>
      </c>
      <c r="F273">
        <f>A273*1024/(C273*0.000001)/1000000000*C258</f>
        <v/>
      </c>
      <c r="G273">
        <f>E273/F273</f>
        <v/>
      </c>
    </row>
    <row r="274">
      <c r="A274" t="n">
        <v>4096</v>
      </c>
      <c r="B274" t="n">
        <v>990.3099999999999</v>
      </c>
      <c r="C274">
        <f>C259*CEILING(A274*1024/(C250*C255*C249),1)+A274*1024*C257</f>
        <v/>
      </c>
      <c r="D274">
        <f>B274/C274</f>
        <v/>
      </c>
      <c r="E274" t="n">
        <v>8.34</v>
      </c>
      <c r="F274">
        <f>A274*1024/(C274*0.000001)/1000000000*C258</f>
        <v/>
      </c>
      <c r="G274">
        <f>E274/F274</f>
        <v/>
      </c>
    </row>
    <row r="275">
      <c r="A275" t="n">
        <v>8192</v>
      </c>
      <c r="B275" t="n">
        <v>1984.98</v>
      </c>
      <c r="C275">
        <f>C259*CEILING(A275*1024/(C250*C255*C249),1)+A275*1024*C257</f>
        <v/>
      </c>
      <c r="D275">
        <f>B275/C275</f>
        <v/>
      </c>
      <c r="E275" t="n">
        <v>8.32</v>
      </c>
      <c r="F275">
        <f>A275*1024/(C275*0.000001)/1000000000*C258</f>
        <v/>
      </c>
      <c r="G275">
        <f>E275/F275</f>
        <v/>
      </c>
    </row>
    <row r="276">
      <c r="A276" t="n">
        <v>16384</v>
      </c>
      <c r="B276" t="n">
        <v>3946.76</v>
      </c>
      <c r="C276">
        <f>C259*CEILING(A276*1024/(C250*C255*C249),1)+A276*1024*C257</f>
        <v/>
      </c>
      <c r="D276">
        <f>B276/C276</f>
        <v/>
      </c>
      <c r="E276" t="n">
        <v>8.369999999999999</v>
      </c>
      <c r="F276">
        <f>A276*1024/(C276*0.000001)/1000000000*C258</f>
        <v/>
      </c>
      <c r="G276">
        <f>E276/F276</f>
        <v/>
      </c>
    </row>
    <row r="277">
      <c r="A277" t="n">
        <v>32768</v>
      </c>
      <c r="B277" t="n">
        <v>7912.54</v>
      </c>
      <c r="C277">
        <f>C259*CEILING(A277*1024/(C250*C255*C249),1)+A277*1024*C257</f>
        <v/>
      </c>
      <c r="D277">
        <f>B277/C277</f>
        <v/>
      </c>
      <c r="E277" t="n">
        <v>8.35</v>
      </c>
      <c r="F277">
        <f>A277*1024/(C277*0.000001)/1000000000*C258</f>
        <v/>
      </c>
      <c r="G277">
        <f>E277/F277</f>
        <v/>
      </c>
    </row>
    <row r="278">
      <c r="A278" t="n">
        <v>65536</v>
      </c>
      <c r="B278" t="n">
        <v>15804.7</v>
      </c>
      <c r="C278">
        <f>C259*CEILING(A278*1024/(C250*C255*C249),1)+A278*1024*C257</f>
        <v/>
      </c>
      <c r="D278">
        <f>B278/C278</f>
        <v/>
      </c>
      <c r="E278" t="n">
        <v>8.359999999999999</v>
      </c>
      <c r="F278">
        <f>A278*1024/(C278*0.000001)/1000000000*C258</f>
        <v/>
      </c>
      <c r="G278">
        <f>E278/F278</f>
        <v/>
      </c>
    </row>
    <row r="279">
      <c r="A279" t="n">
        <v>131072</v>
      </c>
      <c r="B279" t="n">
        <v>31528.6</v>
      </c>
      <c r="C279">
        <f>C259*CEILING(A279*1024/(C250*C255*C249),1)+A279*1024*C257</f>
        <v/>
      </c>
      <c r="D279">
        <f>B279/C279</f>
        <v/>
      </c>
      <c r="E279" t="n">
        <v>8.380000000000001</v>
      </c>
      <c r="F279">
        <f>A279*1024/(C279*0.000001)/1000000000*C258</f>
        <v/>
      </c>
      <c r="G279">
        <f>E279/F279</f>
        <v/>
      </c>
    </row>
    <row r="280">
      <c r="A280" t="n">
        <v>262144</v>
      </c>
      <c r="B280" t="n">
        <v>63199.8</v>
      </c>
      <c r="C280">
        <f>C259*CEILING(A280*1024/(C250*C255*C249),1)+A280*1024*C257</f>
        <v/>
      </c>
      <c r="D280">
        <f>B280/C280</f>
        <v/>
      </c>
      <c r="E280" t="n">
        <v>8.359999999999999</v>
      </c>
      <c r="F280">
        <f>A280*1024/(C280*0.000001)/1000000000*C258</f>
        <v/>
      </c>
      <c r="G280">
        <f>E280/F280</f>
        <v/>
      </c>
    </row>
    <row r="281">
      <c r="A281" t="n">
        <v>524288</v>
      </c>
      <c r="B281" t="n">
        <v>126477</v>
      </c>
      <c r="C281">
        <f>C259*CEILING(A281*1024/(C250*C255*C249),1)+A281*1024*C257</f>
        <v/>
      </c>
      <c r="D281">
        <f>B281/C281</f>
        <v/>
      </c>
      <c r="E281" t="n">
        <v>8.359999999999999</v>
      </c>
      <c r="F281">
        <f>A281*1024/(C281*0.000001)/1000000000*C258</f>
        <v/>
      </c>
      <c r="G281">
        <f>E281/F281</f>
        <v/>
      </c>
    </row>
    <row r="282">
      <c r="A282" t="n">
        <v>1048576</v>
      </c>
      <c r="B282" t="n">
        <v>253355</v>
      </c>
      <c r="C282">
        <f>C259*CEILING(A282*1024/(C250*C255*C249),1)+A282*1024*C257</f>
        <v/>
      </c>
      <c r="D282">
        <f>B282/C282</f>
        <v/>
      </c>
      <c r="E282" t="n">
        <v>8.34</v>
      </c>
      <c r="F282">
        <f>A282*1024/(C282*0.000001)/1000000000*C258</f>
        <v/>
      </c>
      <c r="G282">
        <f>E282/F282</f>
        <v/>
      </c>
    </row>
    <row r="283"/>
    <row r="284">
      <c r="A284" t="inlineStr">
        <is>
          <t>Nodes: 8, Protocol: LL, Channels: 4</t>
        </is>
      </c>
    </row>
    <row r="285">
      <c r="A285" t="inlineStr">
        <is>
          <t>Parameter</t>
        </is>
      </c>
      <c r="B285" t="inlineStr">
        <is>
          <t>Formula</t>
        </is>
      </c>
      <c r="C285" t="inlineStr">
        <is>
          <t>Value</t>
        </is>
      </c>
    </row>
    <row r="286">
      <c r="A286" t="inlineStr">
        <is>
          <t>N</t>
        </is>
      </c>
      <c r="B286" t="inlineStr">
        <is>
          <t>nodes</t>
        </is>
      </c>
      <c r="C286" t="n">
        <v>8</v>
      </c>
    </row>
    <row r="287">
      <c r="A287" t="inlineStr">
        <is>
          <t>n</t>
        </is>
      </c>
      <c r="B287" t="inlineStr">
        <is>
          <t>GPUs/node</t>
        </is>
      </c>
      <c r="C287" t="n">
        <v>8</v>
      </c>
    </row>
    <row r="288">
      <c r="A288" t="inlineStr">
        <is>
          <t>n_total</t>
        </is>
      </c>
      <c r="B288" t="inlineStr">
        <is>
          <t>N*n</t>
        </is>
      </c>
      <c r="C288" t="n">
        <v>64</v>
      </c>
    </row>
    <row r="289">
      <c r="A289" t="inlineStr">
        <is>
          <t>nch_raw</t>
        </is>
      </c>
      <c r="B289" t="inlineStr">
        <is>
          <t>raw channels</t>
        </is>
      </c>
      <c r="C289" t="n">
        <v>4</v>
      </c>
    </row>
    <row r="290">
      <c r="A290" t="inlineStr">
        <is>
          <t>nch</t>
        </is>
      </c>
      <c r="B290" t="inlineStr">
        <is>
          <t>min(nch_raw,8)</t>
        </is>
      </c>
      <c r="C290" t="n">
        <v>4</v>
      </c>
    </row>
    <row r="291">
      <c r="A291" t="inlineStr">
        <is>
          <t>a</t>
        </is>
      </c>
      <c r="B291" t="inlineStr">
        <is>
          <t>RTT (us)</t>
        </is>
      </c>
      <c r="C291" t="n">
        <v>24.92</v>
      </c>
    </row>
    <row r="292">
      <c r="A292" t="inlineStr">
        <is>
          <t>NIC_BW</t>
        </is>
      </c>
      <c r="B292" t="inlineStr">
        <is>
          <t>bytes/us</t>
        </is>
      </c>
      <c r="C292" t="n">
        <v>48750</v>
      </c>
    </row>
    <row r="293">
      <c r="A293" t="inlineStr">
        <is>
          <t>intra_node_latency</t>
        </is>
      </c>
      <c r="B293" t="inlineStr">
        <is>
          <t>us</t>
        </is>
      </c>
      <c r="C293" t="n">
        <v>8.4</v>
      </c>
    </row>
    <row r="294">
      <c r="A294" t="inlineStr">
        <is>
          <t>chunk_size</t>
        </is>
      </c>
      <c r="B294" t="inlineStr">
        <is>
          <t>bytes</t>
        </is>
      </c>
      <c r="C294" t="n">
        <v>32768</v>
      </c>
    </row>
    <row r="295">
      <c r="A295" t="inlineStr">
        <is>
          <t>G_agg</t>
        </is>
      </c>
      <c r="B295" t="inlineStr">
        <is>
          <t>nch*NIC_BW</t>
        </is>
      </c>
      <c r="C295">
        <f>C290*C292</f>
        <v/>
      </c>
    </row>
    <row r="296">
      <c r="A296" t="inlineStr">
        <is>
          <t>G</t>
        </is>
      </c>
      <c r="B296" t="inlineStr">
        <is>
          <t>2*2*(n_total-1)/(n_total*G_agg)</t>
        </is>
      </c>
      <c r="C296">
        <f>2*2*(C288-1)/(C288*C295)</f>
        <v/>
      </c>
    </row>
    <row r="297">
      <c r="A297" t="inlineStr">
        <is>
          <t>busbw_factor</t>
        </is>
      </c>
      <c r="B297" t="inlineStr">
        <is>
          <t>2*(n_total-1)/n_total</t>
        </is>
      </c>
      <c r="C297">
        <f>2*(C288-1)/C288</f>
        <v/>
      </c>
    </row>
    <row r="298">
      <c r="A298" t="inlineStr">
        <is>
          <t>fixed_per_step</t>
        </is>
      </c>
      <c r="B298" t="inlineStr">
        <is>
          <t>(2*N-1)*(a/2+intra)</t>
        </is>
      </c>
      <c r="C298">
        <f>(2*C286-1)*(C291/2+C293)</f>
        <v/>
      </c>
    </row>
    <row r="299"/>
    <row r="300">
      <c r="A300" t="inlineStr">
        <is>
          <t>size_KB</t>
        </is>
      </c>
      <c r="B300" t="inlineStr">
        <is>
          <t>Actual Time (us)</t>
        </is>
      </c>
      <c r="C300" t="inlineStr">
        <is>
          <t>Roofline Time (us)</t>
        </is>
      </c>
      <c r="D300" t="inlineStr">
        <is>
          <t>Actual/Roofline</t>
        </is>
      </c>
      <c r="E300" t="inlineStr">
        <is>
          <t>Actual busBW (GB/s)</t>
        </is>
      </c>
      <c r="F300" t="inlineStr">
        <is>
          <t>Roofline busBW (GB/s)</t>
        </is>
      </c>
      <c r="G300" t="inlineStr">
        <is>
          <t>Meas/Roof busBW</t>
        </is>
      </c>
    </row>
    <row r="301">
      <c r="A301" t="n">
        <v>1</v>
      </c>
      <c r="B301" t="n">
        <v>475.08</v>
      </c>
      <c r="C301">
        <f>C298*CEILING(A301*1024/(C289*C294*C288),1)+A301*1024*C296</f>
        <v/>
      </c>
      <c r="D301">
        <f>B301/C301</f>
        <v/>
      </c>
      <c r="E301" t="n">
        <v>0</v>
      </c>
      <c r="F301">
        <f>A301*1024/(C301*0.000001)/1000000000*C297</f>
        <v/>
      </c>
      <c r="G301">
        <f>E301/F301</f>
        <v/>
      </c>
    </row>
    <row r="302">
      <c r="A302" t="n">
        <v>2</v>
      </c>
      <c r="B302" t="n">
        <v>480.18</v>
      </c>
      <c r="C302">
        <f>C298*CEILING(A302*1024/(C289*C294*C288),1)+A302*1024*C296</f>
        <v/>
      </c>
      <c r="D302">
        <f>B302/C302</f>
        <v/>
      </c>
      <c r="E302" t="n">
        <v>0.01</v>
      </c>
      <c r="F302">
        <f>A302*1024/(C302*0.000001)/1000000000*C297</f>
        <v/>
      </c>
      <c r="G302">
        <f>E302/F302</f>
        <v/>
      </c>
    </row>
    <row r="303">
      <c r="A303" t="n">
        <v>4</v>
      </c>
      <c r="B303" t="n">
        <v>467.02</v>
      </c>
      <c r="C303">
        <f>C298*CEILING(A303*1024/(C289*C294*C288),1)+A303*1024*C296</f>
        <v/>
      </c>
      <c r="D303">
        <f>B303/C303</f>
        <v/>
      </c>
      <c r="E303" t="n">
        <v>0.02</v>
      </c>
      <c r="F303">
        <f>A303*1024/(C303*0.000001)/1000000000*C297</f>
        <v/>
      </c>
      <c r="G303">
        <f>E303/F303</f>
        <v/>
      </c>
    </row>
    <row r="304">
      <c r="A304" t="n">
        <v>8</v>
      </c>
      <c r="B304" t="n">
        <v>467.59</v>
      </c>
      <c r="C304">
        <f>C298*CEILING(A304*1024/(C289*C294*C288),1)+A304*1024*C296</f>
        <v/>
      </c>
      <c r="D304">
        <f>B304/C304</f>
        <v/>
      </c>
      <c r="E304" t="n">
        <v>0.03</v>
      </c>
      <c r="F304">
        <f>A304*1024/(C304*0.000001)/1000000000*C297</f>
        <v/>
      </c>
      <c r="G304">
        <f>E304/F304</f>
        <v/>
      </c>
    </row>
    <row r="305">
      <c r="A305" t="n">
        <v>16</v>
      </c>
      <c r="B305" t="n">
        <v>469.33</v>
      </c>
      <c r="C305">
        <f>C298*CEILING(A305*1024/(C289*C294*C288),1)+A305*1024*C296</f>
        <v/>
      </c>
      <c r="D305">
        <f>B305/C305</f>
        <v/>
      </c>
      <c r="E305" t="n">
        <v>0.07000000000000001</v>
      </c>
      <c r="F305">
        <f>A305*1024/(C305*0.000001)/1000000000*C297</f>
        <v/>
      </c>
      <c r="G305">
        <f>E305/F305</f>
        <v/>
      </c>
    </row>
    <row r="306">
      <c r="A306" t="n">
        <v>32</v>
      </c>
      <c r="B306" t="n">
        <v>472.24</v>
      </c>
      <c r="C306">
        <f>C298*CEILING(A306*1024/(C289*C294*C288),1)+A306*1024*C296</f>
        <v/>
      </c>
      <c r="D306">
        <f>B306/C306</f>
        <v/>
      </c>
      <c r="E306" t="n">
        <v>0.14</v>
      </c>
      <c r="F306">
        <f>A306*1024/(C306*0.000001)/1000000000*C297</f>
        <v/>
      </c>
      <c r="G306">
        <f>E306/F306</f>
        <v/>
      </c>
    </row>
    <row r="307">
      <c r="A307" t="n">
        <v>64</v>
      </c>
      <c r="B307" t="n">
        <v>475.75</v>
      </c>
      <c r="C307">
        <f>C298*CEILING(A307*1024/(C289*C294*C288),1)+A307*1024*C296</f>
        <v/>
      </c>
      <c r="D307">
        <f>B307/C307</f>
        <v/>
      </c>
      <c r="E307" t="n">
        <v>0.27</v>
      </c>
      <c r="F307">
        <f>A307*1024/(C307*0.000001)/1000000000*C297</f>
        <v/>
      </c>
      <c r="G307">
        <f>E307/F307</f>
        <v/>
      </c>
    </row>
    <row r="308">
      <c r="A308" t="n">
        <v>128</v>
      </c>
      <c r="B308" t="n">
        <v>493.06</v>
      </c>
      <c r="C308">
        <f>C298*CEILING(A308*1024/(C289*C294*C288),1)+A308*1024*C296</f>
        <v/>
      </c>
      <c r="D308">
        <f>B308/C308</f>
        <v/>
      </c>
      <c r="E308" t="n">
        <v>0.52</v>
      </c>
      <c r="F308">
        <f>A308*1024/(C308*0.000001)/1000000000*C297</f>
        <v/>
      </c>
      <c r="G308">
        <f>E308/F308</f>
        <v/>
      </c>
    </row>
    <row r="309">
      <c r="A309" t="n">
        <v>256</v>
      </c>
      <c r="B309" t="n">
        <v>535.77</v>
      </c>
      <c r="C309">
        <f>C298*CEILING(A309*1024/(C289*C294*C288),1)+A309*1024*C296</f>
        <v/>
      </c>
      <c r="D309">
        <f>B309/C309</f>
        <v/>
      </c>
      <c r="E309" t="n">
        <v>0.96</v>
      </c>
      <c r="F309">
        <f>A309*1024/(C309*0.000001)/1000000000*C297</f>
        <v/>
      </c>
      <c r="G309">
        <f>E309/F309</f>
        <v/>
      </c>
    </row>
    <row r="310">
      <c r="A310" t="n">
        <v>512</v>
      </c>
      <c r="B310" t="n">
        <v>553.67</v>
      </c>
      <c r="C310">
        <f>C298*CEILING(A310*1024/(C289*C294*C288),1)+A310*1024*C296</f>
        <v/>
      </c>
      <c r="D310">
        <f>B310/C310</f>
        <v/>
      </c>
      <c r="E310" t="n">
        <v>1.86</v>
      </c>
      <c r="F310">
        <f>A310*1024/(C310*0.000001)/1000000000*C297</f>
        <v/>
      </c>
      <c r="G310">
        <f>E310/F310</f>
        <v/>
      </c>
    </row>
    <row r="311">
      <c r="A311" t="n">
        <v>1024</v>
      </c>
      <c r="B311" t="n">
        <v>556.26</v>
      </c>
      <c r="C311">
        <f>C298*CEILING(A311*1024/(C289*C294*C288),1)+A311*1024*C296</f>
        <v/>
      </c>
      <c r="D311">
        <f>B311/C311</f>
        <v/>
      </c>
      <c r="E311" t="n">
        <v>3.71</v>
      </c>
      <c r="F311">
        <f>A311*1024/(C311*0.000001)/1000000000*C297</f>
        <v/>
      </c>
      <c r="G311">
        <f>E311/F311</f>
        <v/>
      </c>
    </row>
    <row r="312">
      <c r="A312" t="n">
        <v>2048</v>
      </c>
      <c r="B312" t="n">
        <v>662.26</v>
      </c>
      <c r="C312">
        <f>C298*CEILING(A312*1024/(C289*C294*C288),1)+A312*1024*C296</f>
        <v/>
      </c>
      <c r="D312">
        <f>B312/C312</f>
        <v/>
      </c>
      <c r="E312" t="n">
        <v>6.23</v>
      </c>
      <c r="F312">
        <f>A312*1024/(C312*0.000001)/1000000000*C297</f>
        <v/>
      </c>
      <c r="G312">
        <f>E312/F312</f>
        <v/>
      </c>
    </row>
    <row r="313">
      <c r="A313" t="n">
        <v>4096</v>
      </c>
      <c r="B313" t="n">
        <v>776.1799999999999</v>
      </c>
      <c r="C313">
        <f>C298*CEILING(A313*1024/(C289*C294*C288),1)+A313*1024*C296</f>
        <v/>
      </c>
      <c r="D313">
        <f>B313/C313</f>
        <v/>
      </c>
      <c r="E313" t="n">
        <v>10.64</v>
      </c>
      <c r="F313">
        <f>A313*1024/(C313*0.000001)/1000000000*C297</f>
        <v/>
      </c>
      <c r="G313">
        <f>E313/F313</f>
        <v/>
      </c>
    </row>
    <row r="314">
      <c r="A314" t="n">
        <v>8192</v>
      </c>
      <c r="B314" t="n">
        <v>1043.4</v>
      </c>
      <c r="C314">
        <f>C298*CEILING(A314*1024/(C289*C294*C288),1)+A314*1024*C296</f>
        <v/>
      </c>
      <c r="D314">
        <f>B314/C314</f>
        <v/>
      </c>
      <c r="E314" t="n">
        <v>15.83</v>
      </c>
      <c r="F314">
        <f>A314*1024/(C314*0.000001)/1000000000*C297</f>
        <v/>
      </c>
      <c r="G314">
        <f>E314/F314</f>
        <v/>
      </c>
    </row>
    <row r="315">
      <c r="A315" t="n">
        <v>16384</v>
      </c>
      <c r="B315" t="n">
        <v>2072.68</v>
      </c>
      <c r="C315">
        <f>C298*CEILING(A315*1024/(C289*C294*C288),1)+A315*1024*C296</f>
        <v/>
      </c>
      <c r="D315">
        <f>B315/C315</f>
        <v/>
      </c>
      <c r="E315" t="n">
        <v>15.94</v>
      </c>
      <c r="F315">
        <f>A315*1024/(C315*0.000001)/1000000000*C297</f>
        <v/>
      </c>
      <c r="G315">
        <f>E315/F315</f>
        <v/>
      </c>
    </row>
    <row r="316">
      <c r="A316" t="n">
        <v>32768</v>
      </c>
      <c r="B316" t="n">
        <v>4111.87</v>
      </c>
      <c r="C316">
        <f>C298*CEILING(A316*1024/(C289*C294*C288),1)+A316*1024*C296</f>
        <v/>
      </c>
      <c r="D316">
        <f>B316/C316</f>
        <v/>
      </c>
      <c r="E316" t="n">
        <v>16.07</v>
      </c>
      <c r="F316">
        <f>A316*1024/(C316*0.000001)/1000000000*C297</f>
        <v/>
      </c>
      <c r="G316">
        <f>E316/F316</f>
        <v/>
      </c>
    </row>
    <row r="317">
      <c r="A317" t="n">
        <v>65536</v>
      </c>
      <c r="B317" t="n">
        <v>8189.9</v>
      </c>
      <c r="C317">
        <f>C298*CEILING(A317*1024/(C289*C294*C288),1)+A317*1024*C296</f>
        <v/>
      </c>
      <c r="D317">
        <f>B317/C317</f>
        <v/>
      </c>
      <c r="E317" t="n">
        <v>16.13</v>
      </c>
      <c r="F317">
        <f>A317*1024/(C317*0.000001)/1000000000*C297</f>
        <v/>
      </c>
      <c r="G317">
        <f>E317/F317</f>
        <v/>
      </c>
    </row>
    <row r="318">
      <c r="A318" t="n">
        <v>131072</v>
      </c>
      <c r="B318" t="n">
        <v>16354.4</v>
      </c>
      <c r="C318">
        <f>C298*CEILING(A318*1024/(C289*C294*C288),1)+A318*1024*C296</f>
        <v/>
      </c>
      <c r="D318">
        <f>B318/C318</f>
        <v/>
      </c>
      <c r="E318" t="n">
        <v>16.16</v>
      </c>
      <c r="F318">
        <f>A318*1024/(C318*0.000001)/1000000000*C297</f>
        <v/>
      </c>
      <c r="G318">
        <f>E318/F318</f>
        <v/>
      </c>
    </row>
    <row r="319">
      <c r="A319" t="n">
        <v>262144</v>
      </c>
      <c r="B319" t="n">
        <v>32646.3</v>
      </c>
      <c r="C319">
        <f>C298*CEILING(A319*1024/(C289*C294*C288),1)+A319*1024*C296</f>
        <v/>
      </c>
      <c r="D319">
        <f>B319/C319</f>
        <v/>
      </c>
      <c r="E319" t="n">
        <v>16.19</v>
      </c>
      <c r="F319">
        <f>A319*1024/(C319*0.000001)/1000000000*C297</f>
        <v/>
      </c>
      <c r="G319">
        <f>E319/F319</f>
        <v/>
      </c>
    </row>
    <row r="320">
      <c r="A320" t="n">
        <v>524288</v>
      </c>
      <c r="B320" t="n">
        <v>65399.6</v>
      </c>
      <c r="C320">
        <f>C298*CEILING(A320*1024/(C289*C294*C288),1)+A320*1024*C296</f>
        <v/>
      </c>
      <c r="D320">
        <f>B320/C320</f>
        <v/>
      </c>
      <c r="E320" t="n">
        <v>16.16</v>
      </c>
      <c r="F320">
        <f>A320*1024/(C320*0.000001)/1000000000*C297</f>
        <v/>
      </c>
      <c r="G320">
        <f>E320/F320</f>
        <v/>
      </c>
    </row>
    <row r="321">
      <c r="A321" t="n">
        <v>1048576</v>
      </c>
      <c r="B321" t="n">
        <v>130252</v>
      </c>
      <c r="C321">
        <f>C298*CEILING(A321*1024/(C289*C294*C288),1)+A321*1024*C296</f>
        <v/>
      </c>
      <c r="D321">
        <f>B321/C321</f>
        <v/>
      </c>
      <c r="E321" t="n">
        <v>16.23</v>
      </c>
      <c r="F321">
        <f>A321*1024/(C321*0.000001)/1000000000*C297</f>
        <v/>
      </c>
      <c r="G321">
        <f>E321/F321</f>
        <v/>
      </c>
    </row>
    <row r="322"/>
    <row r="323">
      <c r="A323" t="inlineStr">
        <is>
          <t>Nodes: 8, Protocol: LL, Channels: 8</t>
        </is>
      </c>
    </row>
    <row r="324">
      <c r="A324" t="inlineStr">
        <is>
          <t>Parameter</t>
        </is>
      </c>
      <c r="B324" t="inlineStr">
        <is>
          <t>Formula</t>
        </is>
      </c>
      <c r="C324" t="inlineStr">
        <is>
          <t>Value</t>
        </is>
      </c>
    </row>
    <row r="325">
      <c r="A325" t="inlineStr">
        <is>
          <t>N</t>
        </is>
      </c>
      <c r="B325" t="inlineStr">
        <is>
          <t>nodes</t>
        </is>
      </c>
      <c r="C325" t="n">
        <v>8</v>
      </c>
    </row>
    <row r="326">
      <c r="A326" t="inlineStr">
        <is>
          <t>n</t>
        </is>
      </c>
      <c r="B326" t="inlineStr">
        <is>
          <t>GPUs/node</t>
        </is>
      </c>
      <c r="C326" t="n">
        <v>8</v>
      </c>
    </row>
    <row r="327">
      <c r="A327" t="inlineStr">
        <is>
          <t>n_total</t>
        </is>
      </c>
      <c r="B327" t="inlineStr">
        <is>
          <t>N*n</t>
        </is>
      </c>
      <c r="C327" t="n">
        <v>64</v>
      </c>
    </row>
    <row r="328">
      <c r="A328" t="inlineStr">
        <is>
          <t>nch_raw</t>
        </is>
      </c>
      <c r="B328" t="inlineStr">
        <is>
          <t>raw channels</t>
        </is>
      </c>
      <c r="C328" t="n">
        <v>8</v>
      </c>
    </row>
    <row r="329">
      <c r="A329" t="inlineStr">
        <is>
          <t>nch</t>
        </is>
      </c>
      <c r="B329" t="inlineStr">
        <is>
          <t>min(nch_raw,8)</t>
        </is>
      </c>
      <c r="C329" t="n">
        <v>8</v>
      </c>
    </row>
    <row r="330">
      <c r="A330" t="inlineStr">
        <is>
          <t>a</t>
        </is>
      </c>
      <c r="B330" t="inlineStr">
        <is>
          <t>RTT (us)</t>
        </is>
      </c>
      <c r="C330" t="n">
        <v>24.92</v>
      </c>
    </row>
    <row r="331">
      <c r="A331" t="inlineStr">
        <is>
          <t>NIC_BW</t>
        </is>
      </c>
      <c r="B331" t="inlineStr">
        <is>
          <t>bytes/us</t>
        </is>
      </c>
      <c r="C331" t="n">
        <v>48750</v>
      </c>
    </row>
    <row r="332">
      <c r="A332" t="inlineStr">
        <is>
          <t>intra_node_latency</t>
        </is>
      </c>
      <c r="B332" t="inlineStr">
        <is>
          <t>us</t>
        </is>
      </c>
      <c r="C332" t="n">
        <v>8.4</v>
      </c>
    </row>
    <row r="333">
      <c r="A333" t="inlineStr">
        <is>
          <t>chunk_size</t>
        </is>
      </c>
      <c r="B333" t="inlineStr">
        <is>
          <t>bytes</t>
        </is>
      </c>
      <c r="C333" t="n">
        <v>32768</v>
      </c>
    </row>
    <row r="334">
      <c r="A334" t="inlineStr">
        <is>
          <t>G_agg</t>
        </is>
      </c>
      <c r="B334" t="inlineStr">
        <is>
          <t>nch*NIC_BW</t>
        </is>
      </c>
      <c r="C334">
        <f>C329*C331</f>
        <v/>
      </c>
    </row>
    <row r="335">
      <c r="A335" t="inlineStr">
        <is>
          <t>G</t>
        </is>
      </c>
      <c r="B335" t="inlineStr">
        <is>
          <t>2*2*(n_total-1)/(n_total*G_agg)</t>
        </is>
      </c>
      <c r="C335">
        <f>2*2*(C327-1)/(C327*C334)</f>
        <v/>
      </c>
    </row>
    <row r="336">
      <c r="A336" t="inlineStr">
        <is>
          <t>busbw_factor</t>
        </is>
      </c>
      <c r="B336" t="inlineStr">
        <is>
          <t>2*(n_total-1)/n_total</t>
        </is>
      </c>
      <c r="C336">
        <f>2*(C327-1)/C327</f>
        <v/>
      </c>
    </row>
    <row r="337">
      <c r="A337" t="inlineStr">
        <is>
          <t>fixed_per_step</t>
        </is>
      </c>
      <c r="B337" t="inlineStr">
        <is>
          <t>(2*N-1)*(a/2+intra)</t>
        </is>
      </c>
      <c r="C337">
        <f>(2*C325-1)*(C330/2+C332)</f>
        <v/>
      </c>
    </row>
    <row r="338"/>
    <row r="339">
      <c r="A339" t="inlineStr">
        <is>
          <t>size_KB</t>
        </is>
      </c>
      <c r="B339" t="inlineStr">
        <is>
          <t>Actual Time (us)</t>
        </is>
      </c>
      <c r="C339" t="inlineStr">
        <is>
          <t>Roofline Time (us)</t>
        </is>
      </c>
      <c r="D339" t="inlineStr">
        <is>
          <t>Actual/Roofline</t>
        </is>
      </c>
      <c r="E339" t="inlineStr">
        <is>
          <t>Actual busBW (GB/s)</t>
        </is>
      </c>
      <c r="F339" t="inlineStr">
        <is>
          <t>Roofline busBW (GB/s)</t>
        </is>
      </c>
      <c r="G339" t="inlineStr">
        <is>
          <t>Meas/Roof busBW</t>
        </is>
      </c>
    </row>
    <row r="340">
      <c r="A340" t="n">
        <v>1</v>
      </c>
      <c r="B340" t="n">
        <v>466.76</v>
      </c>
      <c r="C340">
        <f>C337*CEILING(A340*1024/(C328*C333*C327),1)+A340*1024*C335</f>
        <v/>
      </c>
      <c r="D340">
        <f>B340/C340</f>
        <v/>
      </c>
      <c r="E340" t="n">
        <v>0</v>
      </c>
      <c r="F340">
        <f>A340*1024/(C340*0.000001)/1000000000*C336</f>
        <v/>
      </c>
      <c r="G340">
        <f>E340/F340</f>
        <v/>
      </c>
    </row>
    <row r="341">
      <c r="A341" t="n">
        <v>2</v>
      </c>
      <c r="B341" t="n">
        <v>468.89</v>
      </c>
      <c r="C341">
        <f>C337*CEILING(A341*1024/(C328*C333*C327),1)+A341*1024*C335</f>
        <v/>
      </c>
      <c r="D341">
        <f>B341/C341</f>
        <v/>
      </c>
      <c r="E341" t="n">
        <v>0.01</v>
      </c>
      <c r="F341">
        <f>A341*1024/(C341*0.000001)/1000000000*C336</f>
        <v/>
      </c>
      <c r="G341">
        <f>E341/F341</f>
        <v/>
      </c>
    </row>
    <row r="342">
      <c r="A342" t="n">
        <v>4</v>
      </c>
      <c r="B342" t="n">
        <v>466.92</v>
      </c>
      <c r="C342">
        <f>C337*CEILING(A342*1024/(C328*C333*C327),1)+A342*1024*C335</f>
        <v/>
      </c>
      <c r="D342">
        <f>B342/C342</f>
        <v/>
      </c>
      <c r="E342" t="n">
        <v>0.02</v>
      </c>
      <c r="F342">
        <f>A342*1024/(C342*0.000001)/1000000000*C336</f>
        <v/>
      </c>
      <c r="G342">
        <f>E342/F342</f>
        <v/>
      </c>
    </row>
    <row r="343">
      <c r="A343" t="n">
        <v>8</v>
      </c>
      <c r="B343" t="n">
        <v>466.54</v>
      </c>
      <c r="C343">
        <f>C337*CEILING(A343*1024/(C328*C333*C327),1)+A343*1024*C335</f>
        <v/>
      </c>
      <c r="D343">
        <f>B343/C343</f>
        <v/>
      </c>
      <c r="E343" t="n">
        <v>0.03</v>
      </c>
      <c r="F343">
        <f>A343*1024/(C343*0.000001)/1000000000*C336</f>
        <v/>
      </c>
      <c r="G343">
        <f>E343/F343</f>
        <v/>
      </c>
    </row>
    <row r="344">
      <c r="A344" t="n">
        <v>16</v>
      </c>
      <c r="B344" t="n">
        <v>467.83</v>
      </c>
      <c r="C344">
        <f>C337*CEILING(A344*1024/(C328*C333*C327),1)+A344*1024*C335</f>
        <v/>
      </c>
      <c r="D344">
        <f>B344/C344</f>
        <v/>
      </c>
      <c r="E344" t="n">
        <v>0.07000000000000001</v>
      </c>
      <c r="F344">
        <f>A344*1024/(C344*0.000001)/1000000000*C336</f>
        <v/>
      </c>
      <c r="G344">
        <f>E344/F344</f>
        <v/>
      </c>
    </row>
    <row r="345">
      <c r="A345" t="n">
        <v>32</v>
      </c>
      <c r="B345" t="n">
        <v>472.62</v>
      </c>
      <c r="C345">
        <f>C337*CEILING(A345*1024/(C328*C333*C327),1)+A345*1024*C335</f>
        <v/>
      </c>
      <c r="D345">
        <f>B345/C345</f>
        <v/>
      </c>
      <c r="E345" t="n">
        <v>0.14</v>
      </c>
      <c r="F345">
        <f>A345*1024/(C345*0.000001)/1000000000*C336</f>
        <v/>
      </c>
      <c r="G345">
        <f>E345/F345</f>
        <v/>
      </c>
    </row>
    <row r="346">
      <c r="A346" t="n">
        <v>64</v>
      </c>
      <c r="B346" t="n">
        <v>477.55</v>
      </c>
      <c r="C346">
        <f>C337*CEILING(A346*1024/(C328*C333*C327),1)+A346*1024*C335</f>
        <v/>
      </c>
      <c r="D346">
        <f>B346/C346</f>
        <v/>
      </c>
      <c r="E346" t="n">
        <v>0.27</v>
      </c>
      <c r="F346">
        <f>A346*1024/(C346*0.000001)/1000000000*C336</f>
        <v/>
      </c>
      <c r="G346">
        <f>E346/F346</f>
        <v/>
      </c>
    </row>
    <row r="347">
      <c r="A347" t="n">
        <v>128</v>
      </c>
      <c r="B347" t="n">
        <v>490.84</v>
      </c>
      <c r="C347">
        <f>C337*CEILING(A347*1024/(C328*C333*C327),1)+A347*1024*C335</f>
        <v/>
      </c>
      <c r="D347">
        <f>B347/C347</f>
        <v/>
      </c>
      <c r="E347" t="n">
        <v>0.53</v>
      </c>
      <c r="F347">
        <f>A347*1024/(C347*0.000001)/1000000000*C336</f>
        <v/>
      </c>
      <c r="G347">
        <f>E347/F347</f>
        <v/>
      </c>
    </row>
    <row r="348">
      <c r="A348" t="n">
        <v>256</v>
      </c>
      <c r="B348" t="n">
        <v>535.27</v>
      </c>
      <c r="C348">
        <f>C337*CEILING(A348*1024/(C328*C333*C327),1)+A348*1024*C335</f>
        <v/>
      </c>
      <c r="D348">
        <f>B348/C348</f>
        <v/>
      </c>
      <c r="E348" t="n">
        <v>0.96</v>
      </c>
      <c r="F348">
        <f>A348*1024/(C348*0.000001)/1000000000*C336</f>
        <v/>
      </c>
      <c r="G348">
        <f>E348/F348</f>
        <v/>
      </c>
    </row>
    <row r="349">
      <c r="A349" t="n">
        <v>512</v>
      </c>
      <c r="B349" t="n">
        <v>551.76</v>
      </c>
      <c r="C349">
        <f>C337*CEILING(A349*1024/(C328*C333*C327),1)+A349*1024*C335</f>
        <v/>
      </c>
      <c r="D349">
        <f>B349/C349</f>
        <v/>
      </c>
      <c r="E349" t="n">
        <v>1.87</v>
      </c>
      <c r="F349">
        <f>A349*1024/(C349*0.000001)/1000000000*C336</f>
        <v/>
      </c>
      <c r="G349">
        <f>E349/F349</f>
        <v/>
      </c>
    </row>
    <row r="350">
      <c r="A350" t="n">
        <v>1024</v>
      </c>
      <c r="B350" t="n">
        <v>553.98</v>
      </c>
      <c r="C350">
        <f>C337*CEILING(A350*1024/(C328*C333*C327),1)+A350*1024*C335</f>
        <v/>
      </c>
      <c r="D350">
        <f>B350/C350</f>
        <v/>
      </c>
      <c r="E350" t="n">
        <v>3.73</v>
      </c>
      <c r="F350">
        <f>A350*1024/(C350*0.000001)/1000000000*C336</f>
        <v/>
      </c>
      <c r="G350">
        <f>E350/F350</f>
        <v/>
      </c>
    </row>
    <row r="351">
      <c r="A351" t="n">
        <v>2048</v>
      </c>
      <c r="B351" t="n">
        <v>557.64</v>
      </c>
      <c r="C351">
        <f>C337*CEILING(A351*1024/(C328*C333*C327),1)+A351*1024*C335</f>
        <v/>
      </c>
      <c r="D351">
        <f>B351/C351</f>
        <v/>
      </c>
      <c r="E351" t="n">
        <v>7.4</v>
      </c>
      <c r="F351">
        <f>A351*1024/(C351*0.000001)/1000000000*C336</f>
        <v/>
      </c>
      <c r="G351">
        <f>E351/F351</f>
        <v/>
      </c>
    </row>
    <row r="352">
      <c r="A352" t="n">
        <v>4096</v>
      </c>
      <c r="B352" t="n">
        <v>670.55</v>
      </c>
      <c r="C352">
        <f>C337*CEILING(A352*1024/(C328*C333*C327),1)+A352*1024*C335</f>
        <v/>
      </c>
      <c r="D352">
        <f>B352/C352</f>
        <v/>
      </c>
      <c r="E352" t="n">
        <v>12.31</v>
      </c>
      <c r="F352">
        <f>A352*1024/(C352*0.000001)/1000000000*C336</f>
        <v/>
      </c>
      <c r="G352">
        <f>E352/F352</f>
        <v/>
      </c>
    </row>
    <row r="353">
      <c r="A353" t="n">
        <v>8192</v>
      </c>
      <c r="B353" t="n">
        <v>786.9400000000001</v>
      </c>
      <c r="C353">
        <f>C337*CEILING(A353*1024/(C328*C333*C327),1)+A353*1024*C335</f>
        <v/>
      </c>
      <c r="D353">
        <f>B353/C353</f>
        <v/>
      </c>
      <c r="E353" t="n">
        <v>20.99</v>
      </c>
      <c r="F353">
        <f>A353*1024/(C353*0.000001)/1000000000*C336</f>
        <v/>
      </c>
      <c r="G353">
        <f>E353/F353</f>
        <v/>
      </c>
    </row>
    <row r="354">
      <c r="A354" t="n">
        <v>16384</v>
      </c>
      <c r="B354" t="n">
        <v>1058.2</v>
      </c>
      <c r="C354">
        <f>C337*CEILING(A354*1024/(C328*C333*C327),1)+A354*1024*C335</f>
        <v/>
      </c>
      <c r="D354">
        <f>B354/C354</f>
        <v/>
      </c>
      <c r="E354" t="n">
        <v>31.21</v>
      </c>
      <c r="F354">
        <f>A354*1024/(C354*0.000001)/1000000000*C336</f>
        <v/>
      </c>
      <c r="G354">
        <f>E354/F354</f>
        <v/>
      </c>
    </row>
    <row r="355">
      <c r="A355" t="n">
        <v>32768</v>
      </c>
      <c r="B355" t="n">
        <v>2094.89</v>
      </c>
      <c r="C355">
        <f>C337*CEILING(A355*1024/(C328*C333*C327),1)+A355*1024*C335</f>
        <v/>
      </c>
      <c r="D355">
        <f>B355/C355</f>
        <v/>
      </c>
      <c r="E355" t="n">
        <v>31.53</v>
      </c>
      <c r="F355">
        <f>A355*1024/(C355*0.000001)/1000000000*C336</f>
        <v/>
      </c>
      <c r="G355">
        <f>E355/F355</f>
        <v/>
      </c>
    </row>
    <row r="356">
      <c r="A356" t="n">
        <v>65536</v>
      </c>
      <c r="B356" t="n">
        <v>4181.27</v>
      </c>
      <c r="C356">
        <f>C337*CEILING(A356*1024/(C328*C333*C327),1)+A356*1024*C335</f>
        <v/>
      </c>
      <c r="D356">
        <f>B356/C356</f>
        <v/>
      </c>
      <c r="E356" t="n">
        <v>31.6</v>
      </c>
      <c r="F356">
        <f>A356*1024/(C356*0.000001)/1000000000*C336</f>
        <v/>
      </c>
      <c r="G356">
        <f>E356/F356</f>
        <v/>
      </c>
    </row>
    <row r="357">
      <c r="A357" t="n">
        <v>131072</v>
      </c>
      <c r="B357" t="n">
        <v>8248.41</v>
      </c>
      <c r="C357">
        <f>C337*CEILING(A357*1024/(C328*C333*C327),1)+A357*1024*C335</f>
        <v/>
      </c>
      <c r="D357">
        <f>B357/C357</f>
        <v/>
      </c>
      <c r="E357" t="n">
        <v>32.04</v>
      </c>
      <c r="F357">
        <f>A357*1024/(C357*0.000001)/1000000000*C336</f>
        <v/>
      </c>
      <c r="G357">
        <f>E357/F357</f>
        <v/>
      </c>
    </row>
    <row r="358">
      <c r="A358" t="n">
        <v>262144</v>
      </c>
      <c r="B358" t="n">
        <v>16466.2</v>
      </c>
      <c r="C358">
        <f>C337*CEILING(A358*1024/(C328*C333*C327),1)+A358*1024*C335</f>
        <v/>
      </c>
      <c r="D358">
        <f>B358/C358</f>
        <v/>
      </c>
      <c r="E358" t="n">
        <v>32.09</v>
      </c>
      <c r="F358">
        <f>A358*1024/(C358*0.000001)/1000000000*C336</f>
        <v/>
      </c>
      <c r="G358">
        <f>E358/F358</f>
        <v/>
      </c>
    </row>
    <row r="359">
      <c r="A359" t="n">
        <v>524288</v>
      </c>
      <c r="B359" t="n">
        <v>32812.3</v>
      </c>
      <c r="C359">
        <f>C337*CEILING(A359*1024/(C328*C333*C327),1)+A359*1024*C335</f>
        <v/>
      </c>
      <c r="D359">
        <f>B359/C359</f>
        <v/>
      </c>
      <c r="E359" t="n">
        <v>32.21</v>
      </c>
      <c r="F359">
        <f>A359*1024/(C359*0.000001)/1000000000*C336</f>
        <v/>
      </c>
      <c r="G359">
        <f>E359/F359</f>
        <v/>
      </c>
    </row>
    <row r="360">
      <c r="A360" t="n">
        <v>1048576</v>
      </c>
      <c r="B360" t="n">
        <v>65567.2</v>
      </c>
      <c r="C360">
        <f>C337*CEILING(A360*1024/(C328*C333*C327),1)+A360*1024*C335</f>
        <v/>
      </c>
      <c r="D360">
        <f>B360/C360</f>
        <v/>
      </c>
      <c r="E360" t="n">
        <v>32.24</v>
      </c>
      <c r="F360">
        <f>A360*1024/(C360*0.000001)/1000000000*C336</f>
        <v/>
      </c>
      <c r="G360">
        <f>E360/F360</f>
        <v/>
      </c>
    </row>
    <row r="361"/>
    <row r="362">
      <c r="A362" t="inlineStr">
        <is>
          <t>Nodes: 8, Protocol: LL, Channels: 16</t>
        </is>
      </c>
    </row>
    <row r="363">
      <c r="A363" t="inlineStr">
        <is>
          <t>Parameter</t>
        </is>
      </c>
      <c r="B363" t="inlineStr">
        <is>
          <t>Formula</t>
        </is>
      </c>
      <c r="C363" t="inlineStr">
        <is>
          <t>Value</t>
        </is>
      </c>
    </row>
    <row r="364">
      <c r="A364" t="inlineStr">
        <is>
          <t>N</t>
        </is>
      </c>
      <c r="B364" t="inlineStr">
        <is>
          <t>nodes</t>
        </is>
      </c>
      <c r="C364" t="n">
        <v>8</v>
      </c>
    </row>
    <row r="365">
      <c r="A365" t="inlineStr">
        <is>
          <t>n</t>
        </is>
      </c>
      <c r="B365" t="inlineStr">
        <is>
          <t>GPUs/node</t>
        </is>
      </c>
      <c r="C365" t="n">
        <v>8</v>
      </c>
    </row>
    <row r="366">
      <c r="A366" t="inlineStr">
        <is>
          <t>n_total</t>
        </is>
      </c>
      <c r="B366" t="inlineStr">
        <is>
          <t>N*n</t>
        </is>
      </c>
      <c r="C366" t="n">
        <v>64</v>
      </c>
    </row>
    <row r="367">
      <c r="A367" t="inlineStr">
        <is>
          <t>nch_raw</t>
        </is>
      </c>
      <c r="B367" t="inlineStr">
        <is>
          <t>raw channels</t>
        </is>
      </c>
      <c r="C367" t="n">
        <v>16</v>
      </c>
    </row>
    <row r="368">
      <c r="A368" t="inlineStr">
        <is>
          <t>nch</t>
        </is>
      </c>
      <c r="B368" t="inlineStr">
        <is>
          <t>min(nch_raw,8)</t>
        </is>
      </c>
      <c r="C368" t="n">
        <v>8</v>
      </c>
    </row>
    <row r="369">
      <c r="A369" t="inlineStr">
        <is>
          <t>a</t>
        </is>
      </c>
      <c r="B369" t="inlineStr">
        <is>
          <t>RTT (us)</t>
        </is>
      </c>
      <c r="C369" t="n">
        <v>24.92</v>
      </c>
    </row>
    <row r="370">
      <c r="A370" t="inlineStr">
        <is>
          <t>NIC_BW</t>
        </is>
      </c>
      <c r="B370" t="inlineStr">
        <is>
          <t>bytes/us</t>
        </is>
      </c>
      <c r="C370" t="n">
        <v>48750</v>
      </c>
    </row>
    <row r="371">
      <c r="A371" t="inlineStr">
        <is>
          <t>intra_node_latency</t>
        </is>
      </c>
      <c r="B371" t="inlineStr">
        <is>
          <t>us</t>
        </is>
      </c>
      <c r="C371" t="n">
        <v>8.4</v>
      </c>
    </row>
    <row r="372">
      <c r="A372" t="inlineStr">
        <is>
          <t>chunk_size</t>
        </is>
      </c>
      <c r="B372" t="inlineStr">
        <is>
          <t>bytes</t>
        </is>
      </c>
      <c r="C372" t="n">
        <v>32768</v>
      </c>
    </row>
    <row r="373">
      <c r="A373" t="inlineStr">
        <is>
          <t>G_agg</t>
        </is>
      </c>
      <c r="B373" t="inlineStr">
        <is>
          <t>nch*NIC_BW</t>
        </is>
      </c>
      <c r="C373">
        <f>C368*C370</f>
        <v/>
      </c>
    </row>
    <row r="374">
      <c r="A374" t="inlineStr">
        <is>
          <t>G</t>
        </is>
      </c>
      <c r="B374" t="inlineStr">
        <is>
          <t>2*2*(n_total-1)/(n_total*G_agg)</t>
        </is>
      </c>
      <c r="C374">
        <f>2*2*(C366-1)/(C366*C373)</f>
        <v/>
      </c>
    </row>
    <row r="375">
      <c r="A375" t="inlineStr">
        <is>
          <t>busbw_factor</t>
        </is>
      </c>
      <c r="B375" t="inlineStr">
        <is>
          <t>2*(n_total-1)/n_total</t>
        </is>
      </c>
      <c r="C375">
        <f>2*(C366-1)/C366</f>
        <v/>
      </c>
    </row>
    <row r="376">
      <c r="A376" t="inlineStr">
        <is>
          <t>fixed_per_step</t>
        </is>
      </c>
      <c r="B376" t="inlineStr">
        <is>
          <t>(2*N-1)*(a/2+intra)</t>
        </is>
      </c>
      <c r="C376">
        <f>(2*C364-1)*(C369/2+C371)</f>
        <v/>
      </c>
    </row>
    <row r="377"/>
    <row r="378">
      <c r="A378" t="inlineStr">
        <is>
          <t>size_KB</t>
        </is>
      </c>
      <c r="B378" t="inlineStr">
        <is>
          <t>Actual Time (us)</t>
        </is>
      </c>
      <c r="C378" t="inlineStr">
        <is>
          <t>Roofline Time (us)</t>
        </is>
      </c>
      <c r="D378" t="inlineStr">
        <is>
          <t>Actual/Roofline</t>
        </is>
      </c>
      <c r="E378" t="inlineStr">
        <is>
          <t>Actual busBW (GB/s)</t>
        </is>
      </c>
      <c r="F378" t="inlineStr">
        <is>
          <t>Roofline busBW (GB/s)</t>
        </is>
      </c>
      <c r="G378" t="inlineStr">
        <is>
          <t>Meas/Roof busBW</t>
        </is>
      </c>
    </row>
    <row r="379">
      <c r="A379" t="n">
        <v>1</v>
      </c>
      <c r="B379" t="n">
        <v>465.18</v>
      </c>
      <c r="C379">
        <f>C376*CEILING(A379*1024/(C367*C372*C366),1)+A379*1024*C374</f>
        <v/>
      </c>
      <c r="D379">
        <f>B379/C379</f>
        <v/>
      </c>
      <c r="E379" t="n">
        <v>0</v>
      </c>
      <c r="F379">
        <f>A379*1024/(C379*0.000001)/1000000000*C375</f>
        <v/>
      </c>
      <c r="G379">
        <f>E379/F379</f>
        <v/>
      </c>
    </row>
    <row r="380">
      <c r="A380" t="n">
        <v>2</v>
      </c>
      <c r="B380" t="n">
        <v>465.67</v>
      </c>
      <c r="C380">
        <f>C376*CEILING(A380*1024/(C367*C372*C366),1)+A380*1024*C374</f>
        <v/>
      </c>
      <c r="D380">
        <f>B380/C380</f>
        <v/>
      </c>
      <c r="E380" t="n">
        <v>0.01</v>
      </c>
      <c r="F380">
        <f>A380*1024/(C380*0.000001)/1000000000*C375</f>
        <v/>
      </c>
      <c r="G380">
        <f>E380/F380</f>
        <v/>
      </c>
    </row>
    <row r="381">
      <c r="A381" t="n">
        <v>4</v>
      </c>
      <c r="B381" t="n">
        <v>467.01</v>
      </c>
      <c r="C381">
        <f>C376*CEILING(A381*1024/(C367*C372*C366),1)+A381*1024*C374</f>
        <v/>
      </c>
      <c r="D381">
        <f>B381/C381</f>
        <v/>
      </c>
      <c r="E381" t="n">
        <v>0.02</v>
      </c>
      <c r="F381">
        <f>A381*1024/(C381*0.000001)/1000000000*C375</f>
        <v/>
      </c>
      <c r="G381">
        <f>E381/F381</f>
        <v/>
      </c>
    </row>
    <row r="382">
      <c r="A382" t="n">
        <v>8</v>
      </c>
      <c r="B382" t="n">
        <v>467.08</v>
      </c>
      <c r="C382">
        <f>C376*CEILING(A382*1024/(C367*C372*C366),1)+A382*1024*C374</f>
        <v/>
      </c>
      <c r="D382">
        <f>B382/C382</f>
        <v/>
      </c>
      <c r="E382" t="n">
        <v>0.03</v>
      </c>
      <c r="F382">
        <f>A382*1024/(C382*0.000001)/1000000000*C375</f>
        <v/>
      </c>
      <c r="G382">
        <f>E382/F382</f>
        <v/>
      </c>
    </row>
    <row r="383">
      <c r="A383" t="n">
        <v>16</v>
      </c>
      <c r="B383" t="n">
        <v>468.07</v>
      </c>
      <c r="C383">
        <f>C376*CEILING(A383*1024/(C367*C372*C366),1)+A383*1024*C374</f>
        <v/>
      </c>
      <c r="D383">
        <f>B383/C383</f>
        <v/>
      </c>
      <c r="E383" t="n">
        <v>0.07000000000000001</v>
      </c>
      <c r="F383">
        <f>A383*1024/(C383*0.000001)/1000000000*C375</f>
        <v/>
      </c>
      <c r="G383">
        <f>E383/F383</f>
        <v/>
      </c>
    </row>
    <row r="384">
      <c r="A384" t="n">
        <v>32</v>
      </c>
      <c r="B384" t="n">
        <v>471.77</v>
      </c>
      <c r="C384">
        <f>C376*CEILING(A384*1024/(C367*C372*C366),1)+A384*1024*C374</f>
        <v/>
      </c>
      <c r="D384">
        <f>B384/C384</f>
        <v/>
      </c>
      <c r="E384" t="n">
        <v>0.14</v>
      </c>
      <c r="F384">
        <f>A384*1024/(C384*0.000001)/1000000000*C375</f>
        <v/>
      </c>
      <c r="G384">
        <f>E384/F384</f>
        <v/>
      </c>
    </row>
    <row r="385">
      <c r="A385" t="n">
        <v>64</v>
      </c>
      <c r="B385" t="n">
        <v>474.92</v>
      </c>
      <c r="C385">
        <f>C376*CEILING(A385*1024/(C367*C372*C366),1)+A385*1024*C374</f>
        <v/>
      </c>
      <c r="D385">
        <f>B385/C385</f>
        <v/>
      </c>
      <c r="E385" t="n">
        <v>0.27</v>
      </c>
      <c r="F385">
        <f>A385*1024/(C385*0.000001)/1000000000*C375</f>
        <v/>
      </c>
      <c r="G385">
        <f>E385/F385</f>
        <v/>
      </c>
    </row>
    <row r="386">
      <c r="A386" t="n">
        <v>128</v>
      </c>
      <c r="B386" t="n">
        <v>490.78</v>
      </c>
      <c r="C386">
        <f>C376*CEILING(A386*1024/(C367*C372*C366),1)+A386*1024*C374</f>
        <v/>
      </c>
      <c r="D386">
        <f>B386/C386</f>
        <v/>
      </c>
      <c r="E386" t="n">
        <v>0.53</v>
      </c>
      <c r="F386">
        <f>A386*1024/(C386*0.000001)/1000000000*C375</f>
        <v/>
      </c>
      <c r="G386">
        <f>E386/F386</f>
        <v/>
      </c>
    </row>
    <row r="387">
      <c r="A387" t="n">
        <v>256</v>
      </c>
      <c r="B387" t="n">
        <v>534.09</v>
      </c>
      <c r="C387">
        <f>C376*CEILING(A387*1024/(C367*C372*C366),1)+A387*1024*C374</f>
        <v/>
      </c>
      <c r="D387">
        <f>B387/C387</f>
        <v/>
      </c>
      <c r="E387" t="n">
        <v>0.97</v>
      </c>
      <c r="F387">
        <f>A387*1024/(C387*0.000001)/1000000000*C375</f>
        <v/>
      </c>
      <c r="G387">
        <f>E387/F387</f>
        <v/>
      </c>
    </row>
    <row r="388">
      <c r="A388" t="n">
        <v>512</v>
      </c>
      <c r="B388" t="n">
        <v>553.46</v>
      </c>
      <c r="C388">
        <f>C376*CEILING(A388*1024/(C367*C372*C366),1)+A388*1024*C374</f>
        <v/>
      </c>
      <c r="D388">
        <f>B388/C388</f>
        <v/>
      </c>
      <c r="E388" t="n">
        <v>1.86</v>
      </c>
      <c r="F388">
        <f>A388*1024/(C388*0.000001)/1000000000*C375</f>
        <v/>
      </c>
      <c r="G388">
        <f>E388/F388</f>
        <v/>
      </c>
    </row>
    <row r="389">
      <c r="A389" t="n">
        <v>1024</v>
      </c>
      <c r="B389" t="n">
        <v>556.95</v>
      </c>
      <c r="C389">
        <f>C376*CEILING(A389*1024/(C367*C372*C366),1)+A389*1024*C374</f>
        <v/>
      </c>
      <c r="D389">
        <f>B389/C389</f>
        <v/>
      </c>
      <c r="E389" t="n">
        <v>3.71</v>
      </c>
      <c r="F389">
        <f>A389*1024/(C389*0.000001)/1000000000*C375</f>
        <v/>
      </c>
      <c r="G389">
        <f>E389/F389</f>
        <v/>
      </c>
    </row>
    <row r="390">
      <c r="A390" t="n">
        <v>2048</v>
      </c>
      <c r="B390" t="n">
        <v>558.0599999999999</v>
      </c>
      <c r="C390">
        <f>C376*CEILING(A390*1024/(C367*C372*C366),1)+A390*1024*C374</f>
        <v/>
      </c>
      <c r="D390">
        <f>B390/C390</f>
        <v/>
      </c>
      <c r="E390" t="n">
        <v>7.4</v>
      </c>
      <c r="F390">
        <f>A390*1024/(C390*0.000001)/1000000000*C375</f>
        <v/>
      </c>
      <c r="G390">
        <f>E390/F390</f>
        <v/>
      </c>
    </row>
    <row r="391">
      <c r="A391" t="n">
        <v>4096</v>
      </c>
      <c r="B391" t="n">
        <v>924.14</v>
      </c>
      <c r="C391">
        <f>C376*CEILING(A391*1024/(C367*C372*C366),1)+A391*1024*C374</f>
        <v/>
      </c>
      <c r="D391">
        <f>B391/C391</f>
        <v/>
      </c>
      <c r="E391" t="n">
        <v>8.94</v>
      </c>
      <c r="F391">
        <f>A391*1024/(C391*0.000001)/1000000000*C375</f>
        <v/>
      </c>
      <c r="G391">
        <f>E391/F391</f>
        <v/>
      </c>
    </row>
    <row r="392">
      <c r="A392" t="n">
        <v>8192</v>
      </c>
      <c r="B392" t="n">
        <v>1007.32</v>
      </c>
      <c r="C392">
        <f>C376*CEILING(A392*1024/(C367*C372*C366),1)+A392*1024*C374</f>
        <v/>
      </c>
      <c r="D392">
        <f>B392/C392</f>
        <v/>
      </c>
      <c r="E392" t="n">
        <v>16.39</v>
      </c>
      <c r="F392">
        <f>A392*1024/(C392*0.000001)/1000000000*C375</f>
        <v/>
      </c>
      <c r="G392">
        <f>E392/F392</f>
        <v/>
      </c>
    </row>
    <row r="393">
      <c r="A393" t="n">
        <v>16384</v>
      </c>
      <c r="B393" t="n">
        <v>1323.8</v>
      </c>
      <c r="C393">
        <f>C376*CEILING(A393*1024/(C367*C372*C366),1)+A393*1024*C374</f>
        <v/>
      </c>
      <c r="D393">
        <f>B393/C393</f>
        <v/>
      </c>
      <c r="E393" t="n">
        <v>24.95</v>
      </c>
      <c r="F393">
        <f>A393*1024/(C393*0.000001)/1000000000*C375</f>
        <v/>
      </c>
      <c r="G393">
        <f>E393/F393</f>
        <v/>
      </c>
    </row>
    <row r="394">
      <c r="A394" t="n">
        <v>32768</v>
      </c>
      <c r="B394" t="n">
        <v>2011.94</v>
      </c>
      <c r="C394">
        <f>C376*CEILING(A394*1024/(C367*C372*C366),1)+A394*1024*C374</f>
        <v/>
      </c>
      <c r="D394">
        <f>B394/C394</f>
        <v/>
      </c>
      <c r="E394" t="n">
        <v>32.83</v>
      </c>
      <c r="F394">
        <f>A394*1024/(C394*0.000001)/1000000000*C375</f>
        <v/>
      </c>
      <c r="G394">
        <f>E394/F394</f>
        <v/>
      </c>
    </row>
    <row r="395">
      <c r="A395" t="n">
        <v>65536</v>
      </c>
      <c r="B395" t="n">
        <v>4030.88</v>
      </c>
      <c r="C395">
        <f>C376*CEILING(A395*1024/(C367*C372*C366),1)+A395*1024*C374</f>
        <v/>
      </c>
      <c r="D395">
        <f>B395/C395</f>
        <v/>
      </c>
      <c r="E395" t="n">
        <v>32.78</v>
      </c>
      <c r="F395">
        <f>A395*1024/(C395*0.000001)/1000000000*C375</f>
        <v/>
      </c>
      <c r="G395">
        <f>E395/F395</f>
        <v/>
      </c>
    </row>
    <row r="396">
      <c r="A396" t="n">
        <v>131072</v>
      </c>
      <c r="B396" t="n">
        <v>8003.5</v>
      </c>
      <c r="C396">
        <f>C376*CEILING(A396*1024/(C367*C372*C366),1)+A396*1024*C374</f>
        <v/>
      </c>
      <c r="D396">
        <f>B396/C396</f>
        <v/>
      </c>
      <c r="E396" t="n">
        <v>33.02</v>
      </c>
      <c r="F396">
        <f>A396*1024/(C396*0.000001)/1000000000*C375</f>
        <v/>
      </c>
      <c r="G396">
        <f>E396/F396</f>
        <v/>
      </c>
    </row>
    <row r="397">
      <c r="A397" t="n">
        <v>262144</v>
      </c>
      <c r="B397" t="n">
        <v>15934.6</v>
      </c>
      <c r="C397">
        <f>C376*CEILING(A397*1024/(C367*C372*C366),1)+A397*1024*C374</f>
        <v/>
      </c>
      <c r="D397">
        <f>B397/C397</f>
        <v/>
      </c>
      <c r="E397" t="n">
        <v>33.17</v>
      </c>
      <c r="F397">
        <f>A397*1024/(C397*0.000001)/1000000000*C375</f>
        <v/>
      </c>
      <c r="G397">
        <f>E397/F397</f>
        <v/>
      </c>
    </row>
    <row r="398">
      <c r="A398" t="n">
        <v>524288</v>
      </c>
      <c r="B398" t="n">
        <v>31810.8</v>
      </c>
      <c r="C398">
        <f>C376*CEILING(A398*1024/(C367*C372*C366),1)+A398*1024*C374</f>
        <v/>
      </c>
      <c r="D398">
        <f>B398/C398</f>
        <v/>
      </c>
      <c r="E398" t="n">
        <v>33.23</v>
      </c>
      <c r="F398">
        <f>A398*1024/(C398*0.000001)/1000000000*C375</f>
        <v/>
      </c>
      <c r="G398">
        <f>E398/F398</f>
        <v/>
      </c>
    </row>
    <row r="399">
      <c r="A399" t="n">
        <v>1048576</v>
      </c>
      <c r="B399" t="n">
        <v>63035.9</v>
      </c>
      <c r="C399">
        <f>C376*CEILING(A399*1024/(C367*C372*C366),1)+A399*1024*C374</f>
        <v/>
      </c>
      <c r="D399">
        <f>B399/C399</f>
        <v/>
      </c>
      <c r="E399" t="n">
        <v>33.54</v>
      </c>
      <c r="F399">
        <f>A399*1024/(C399*0.000001)/1000000000*C375</f>
        <v/>
      </c>
      <c r="G399">
        <f>E399/F399</f>
        <v/>
      </c>
    </row>
    <row r="400"/>
    <row r="401">
      <c r="A401" t="inlineStr">
        <is>
          <t>Nodes: 8, Protocol: LL128, Channels: 1</t>
        </is>
      </c>
    </row>
    <row r="402">
      <c r="A402" t="inlineStr">
        <is>
          <t>Parameter</t>
        </is>
      </c>
      <c r="B402" t="inlineStr">
        <is>
          <t>Formula</t>
        </is>
      </c>
      <c r="C402" t="inlineStr">
        <is>
          <t>Value</t>
        </is>
      </c>
    </row>
    <row r="403">
      <c r="A403" t="inlineStr">
        <is>
          <t>N</t>
        </is>
      </c>
      <c r="B403" t="inlineStr">
        <is>
          <t>nodes</t>
        </is>
      </c>
      <c r="C403" t="n">
        <v>8</v>
      </c>
    </row>
    <row r="404">
      <c r="A404" t="inlineStr">
        <is>
          <t>n</t>
        </is>
      </c>
      <c r="B404" t="inlineStr">
        <is>
          <t>GPUs/node</t>
        </is>
      </c>
      <c r="C404" t="n">
        <v>8</v>
      </c>
    </row>
    <row r="405">
      <c r="A405" t="inlineStr">
        <is>
          <t>n_total</t>
        </is>
      </c>
      <c r="B405" t="inlineStr">
        <is>
          <t>N*n</t>
        </is>
      </c>
      <c r="C405" t="n">
        <v>64</v>
      </c>
    </row>
    <row r="406">
      <c r="A406" t="inlineStr">
        <is>
          <t>nch_raw</t>
        </is>
      </c>
      <c r="B406" t="inlineStr">
        <is>
          <t>raw channels</t>
        </is>
      </c>
      <c r="C406" t="n">
        <v>1</v>
      </c>
    </row>
    <row r="407">
      <c r="A407" t="inlineStr">
        <is>
          <t>nch</t>
        </is>
      </c>
      <c r="B407" t="inlineStr">
        <is>
          <t>min(nch_raw,8)</t>
        </is>
      </c>
      <c r="C407" t="n">
        <v>1</v>
      </c>
    </row>
    <row r="408">
      <c r="A408" t="inlineStr">
        <is>
          <t>a</t>
        </is>
      </c>
      <c r="B408" t="inlineStr">
        <is>
          <t>RTT (us)</t>
        </is>
      </c>
      <c r="C408" t="n">
        <v>24.92</v>
      </c>
    </row>
    <row r="409">
      <c r="A409" t="inlineStr">
        <is>
          <t>NIC_BW</t>
        </is>
      </c>
      <c r="B409" t="inlineStr">
        <is>
          <t>bytes/us</t>
        </is>
      </c>
      <c r="C409" t="n">
        <v>48750</v>
      </c>
    </row>
    <row r="410">
      <c r="A410" t="inlineStr">
        <is>
          <t>intra_node_latency</t>
        </is>
      </c>
      <c r="B410" t="inlineStr">
        <is>
          <t>us</t>
        </is>
      </c>
      <c r="C410" t="n">
        <v>8.4</v>
      </c>
    </row>
    <row r="411">
      <c r="A411" t="inlineStr">
        <is>
          <t>chunk_size</t>
        </is>
      </c>
      <c r="B411" t="inlineStr">
        <is>
          <t>bytes</t>
        </is>
      </c>
      <c r="C411" t="n">
        <v>576000</v>
      </c>
    </row>
    <row r="412">
      <c r="A412" t="inlineStr">
        <is>
          <t>G_agg</t>
        </is>
      </c>
      <c r="B412" t="inlineStr">
        <is>
          <t>nch*NIC_BW</t>
        </is>
      </c>
      <c r="C412">
        <f>C407*C409</f>
        <v/>
      </c>
    </row>
    <row r="413">
      <c r="A413" t="inlineStr">
        <is>
          <t>G</t>
        </is>
      </c>
      <c r="B413" t="inlineStr">
        <is>
          <t>(16/15)*2*(n_total-1)/(n_total*G_agg)</t>
        </is>
      </c>
      <c r="C413">
        <f>(16/15)*2*(C405-1)/(C405*C412)</f>
        <v/>
      </c>
    </row>
    <row r="414">
      <c r="A414" t="inlineStr">
        <is>
          <t>busbw_factor</t>
        </is>
      </c>
      <c r="B414" t="inlineStr">
        <is>
          <t>2*(n_total-1)/n_total</t>
        </is>
      </c>
      <c r="C414">
        <f>2*(C405-1)/C405</f>
        <v/>
      </c>
    </row>
    <row r="415">
      <c r="A415" t="inlineStr">
        <is>
          <t>fixed_per_step</t>
        </is>
      </c>
      <c r="B415" t="inlineStr">
        <is>
          <t>(2*N-1)*(a/2+intra)</t>
        </is>
      </c>
      <c r="C415">
        <f>(2*C403-1)*(C408/2+C410)</f>
        <v/>
      </c>
    </row>
    <row r="416"/>
    <row r="417">
      <c r="A417" t="inlineStr">
        <is>
          <t>size_KB</t>
        </is>
      </c>
      <c r="B417" t="inlineStr">
        <is>
          <t>Actual Time (us)</t>
        </is>
      </c>
      <c r="C417" t="inlineStr">
        <is>
          <t>Roofline Time (us)</t>
        </is>
      </c>
      <c r="D417" t="inlineStr">
        <is>
          <t>Actual/Roofline</t>
        </is>
      </c>
      <c r="E417" t="inlineStr">
        <is>
          <t>Actual busBW (GB/s)</t>
        </is>
      </c>
      <c r="F417" t="inlineStr">
        <is>
          <t>Roofline busBW (GB/s)</t>
        </is>
      </c>
      <c r="G417" t="inlineStr">
        <is>
          <t>Meas/Roof busBW</t>
        </is>
      </c>
    </row>
    <row r="418">
      <c r="A418" t="n">
        <v>1</v>
      </c>
      <c r="B418" t="n">
        <v>523.5599999999999</v>
      </c>
      <c r="C418">
        <f>C415*CEILING(A418*1024/(C406*C411*C405),1)+A418*1024*C413</f>
        <v/>
      </c>
      <c r="D418">
        <f>B418/C418</f>
        <v/>
      </c>
      <c r="E418" t="n">
        <v>0</v>
      </c>
      <c r="F418">
        <f>A418*1024/(C418*0.000001)/1000000000*C414</f>
        <v/>
      </c>
      <c r="G418">
        <f>E418/F418</f>
        <v/>
      </c>
    </row>
    <row r="419">
      <c r="A419" t="n">
        <v>2</v>
      </c>
      <c r="B419" t="n">
        <v>513.65</v>
      </c>
      <c r="C419">
        <f>C415*CEILING(A419*1024/(C406*C411*C405),1)+A419*1024*C413</f>
        <v/>
      </c>
      <c r="D419">
        <f>B419/C419</f>
        <v/>
      </c>
      <c r="E419" t="n">
        <v>0.01</v>
      </c>
      <c r="F419">
        <f>A419*1024/(C419*0.000001)/1000000000*C414</f>
        <v/>
      </c>
      <c r="G419">
        <f>E419/F419</f>
        <v/>
      </c>
    </row>
    <row r="420">
      <c r="A420" t="n">
        <v>4</v>
      </c>
      <c r="B420" t="n">
        <v>514.97</v>
      </c>
      <c r="C420">
        <f>C415*CEILING(A420*1024/(C406*C411*C405),1)+A420*1024*C413</f>
        <v/>
      </c>
      <c r="D420">
        <f>B420/C420</f>
        <v/>
      </c>
      <c r="E420" t="n">
        <v>0.02</v>
      </c>
      <c r="F420">
        <f>A420*1024/(C420*0.000001)/1000000000*C414</f>
        <v/>
      </c>
      <c r="G420">
        <f>E420/F420</f>
        <v/>
      </c>
    </row>
    <row r="421">
      <c r="A421" t="n">
        <v>8</v>
      </c>
      <c r="B421" t="n">
        <v>516.1799999999999</v>
      </c>
      <c r="C421">
        <f>C415*CEILING(A421*1024/(C406*C411*C405),1)+A421*1024*C413</f>
        <v/>
      </c>
      <c r="D421">
        <f>B421/C421</f>
        <v/>
      </c>
      <c r="E421" t="n">
        <v>0.03</v>
      </c>
      <c r="F421">
        <f>A421*1024/(C421*0.000001)/1000000000*C414</f>
        <v/>
      </c>
      <c r="G421">
        <f>E421/F421</f>
        <v/>
      </c>
    </row>
    <row r="422">
      <c r="A422" t="n">
        <v>16</v>
      </c>
      <c r="B422" t="n">
        <v>517.42</v>
      </c>
      <c r="C422">
        <f>C415*CEILING(A422*1024/(C406*C411*C405),1)+A422*1024*C413</f>
        <v/>
      </c>
      <c r="D422">
        <f>B422/C422</f>
        <v/>
      </c>
      <c r="E422" t="n">
        <v>0.06</v>
      </c>
      <c r="F422">
        <f>A422*1024/(C422*0.000001)/1000000000*C414</f>
        <v/>
      </c>
      <c r="G422">
        <f>E422/F422</f>
        <v/>
      </c>
    </row>
    <row r="423">
      <c r="A423" t="n">
        <v>32</v>
      </c>
      <c r="B423" t="n">
        <v>516.34</v>
      </c>
      <c r="C423">
        <f>C415*CEILING(A423*1024/(C406*C411*C405),1)+A423*1024*C413</f>
        <v/>
      </c>
      <c r="D423">
        <f>B423/C423</f>
        <v/>
      </c>
      <c r="E423" t="n">
        <v>0.12</v>
      </c>
      <c r="F423">
        <f>A423*1024/(C423*0.000001)/1000000000*C414</f>
        <v/>
      </c>
      <c r="G423">
        <f>E423/F423</f>
        <v/>
      </c>
    </row>
    <row r="424">
      <c r="A424" t="n">
        <v>64</v>
      </c>
      <c r="B424" t="n">
        <v>517.27</v>
      </c>
      <c r="C424">
        <f>C415*CEILING(A424*1024/(C406*C411*C405),1)+A424*1024*C413</f>
        <v/>
      </c>
      <c r="D424">
        <f>B424/C424</f>
        <v/>
      </c>
      <c r="E424" t="n">
        <v>0.25</v>
      </c>
      <c r="F424">
        <f>A424*1024/(C424*0.000001)/1000000000*C414</f>
        <v/>
      </c>
      <c r="G424">
        <f>E424/F424</f>
        <v/>
      </c>
    </row>
    <row r="425">
      <c r="A425" t="n">
        <v>128</v>
      </c>
      <c r="B425" t="n">
        <v>530.86</v>
      </c>
      <c r="C425">
        <f>C415*CEILING(A425*1024/(C406*C411*C405),1)+A425*1024*C413</f>
        <v/>
      </c>
      <c r="D425">
        <f>B425/C425</f>
        <v/>
      </c>
      <c r="E425" t="n">
        <v>0.49</v>
      </c>
      <c r="F425">
        <f>A425*1024/(C425*0.000001)/1000000000*C414</f>
        <v/>
      </c>
      <c r="G425">
        <f>E425/F425</f>
        <v/>
      </c>
    </row>
    <row r="426">
      <c r="A426" t="n">
        <v>256</v>
      </c>
      <c r="B426" t="n">
        <v>548.99</v>
      </c>
      <c r="C426">
        <f>C415*CEILING(A426*1024/(C406*C411*C405),1)+A426*1024*C413</f>
        <v/>
      </c>
      <c r="D426">
        <f>B426/C426</f>
        <v/>
      </c>
      <c r="E426" t="n">
        <v>0.9399999999999999</v>
      </c>
      <c r="F426">
        <f>A426*1024/(C426*0.000001)/1000000000*C414</f>
        <v/>
      </c>
      <c r="G426">
        <f>E426/F426</f>
        <v/>
      </c>
    </row>
    <row r="427">
      <c r="A427" t="n">
        <v>512</v>
      </c>
      <c r="B427" t="n">
        <v>591.0700000000001</v>
      </c>
      <c r="C427">
        <f>C415*CEILING(A427*1024/(C406*C411*C405),1)+A427*1024*C413</f>
        <v/>
      </c>
      <c r="D427">
        <f>B427/C427</f>
        <v/>
      </c>
      <c r="E427" t="n">
        <v>1.75</v>
      </c>
      <c r="F427">
        <f>A427*1024/(C427*0.000001)/1000000000*C414</f>
        <v/>
      </c>
      <c r="G427">
        <f>E427/F427</f>
        <v/>
      </c>
    </row>
    <row r="428">
      <c r="A428" t="n">
        <v>1024</v>
      </c>
      <c r="B428" t="n">
        <v>620.55</v>
      </c>
      <c r="C428">
        <f>C415*CEILING(A428*1024/(C406*C411*C405),1)+A428*1024*C413</f>
        <v/>
      </c>
      <c r="D428">
        <f>B428/C428</f>
        <v/>
      </c>
      <c r="E428" t="n">
        <v>3.33</v>
      </c>
      <c r="F428">
        <f>A428*1024/(C428*0.000001)/1000000000*C414</f>
        <v/>
      </c>
      <c r="G428">
        <f>E428/F428</f>
        <v/>
      </c>
    </row>
    <row r="429">
      <c r="A429" t="n">
        <v>2048</v>
      </c>
      <c r="B429" t="n">
        <v>706.8</v>
      </c>
      <c r="C429">
        <f>C415*CEILING(A429*1024/(C406*C411*C405),1)+A429*1024*C413</f>
        <v/>
      </c>
      <c r="D429">
        <f>B429/C429</f>
        <v/>
      </c>
      <c r="E429" t="n">
        <v>5.84</v>
      </c>
      <c r="F429">
        <f>A429*1024/(C429*0.000001)/1000000000*C414</f>
        <v/>
      </c>
      <c r="G429">
        <f>E429/F429</f>
        <v/>
      </c>
    </row>
    <row r="430">
      <c r="A430" t="n">
        <v>4096</v>
      </c>
      <c r="B430" t="n">
        <v>807.05</v>
      </c>
      <c r="C430">
        <f>C415*CEILING(A430*1024/(C406*C411*C405),1)+A430*1024*C413</f>
        <v/>
      </c>
      <c r="D430">
        <f>B430/C430</f>
        <v/>
      </c>
      <c r="E430" t="n">
        <v>10.23</v>
      </c>
      <c r="F430">
        <f>A430*1024/(C430*0.000001)/1000000000*C414</f>
        <v/>
      </c>
      <c r="G430">
        <f>E430/F430</f>
        <v/>
      </c>
    </row>
    <row r="431">
      <c r="A431" t="n">
        <v>8192</v>
      </c>
      <c r="B431" t="n">
        <v>1164.95</v>
      </c>
      <c r="C431">
        <f>C415*CEILING(A431*1024/(C406*C411*C405),1)+A431*1024*C413</f>
        <v/>
      </c>
      <c r="D431">
        <f>B431/C431</f>
        <v/>
      </c>
      <c r="E431" t="n">
        <v>14.18</v>
      </c>
      <c r="F431">
        <f>A431*1024/(C431*0.000001)/1000000000*C414</f>
        <v/>
      </c>
      <c r="G431">
        <f>E431/F431</f>
        <v/>
      </c>
    </row>
    <row r="432">
      <c r="A432" t="n">
        <v>16384</v>
      </c>
      <c r="B432" t="n">
        <v>1839.21</v>
      </c>
      <c r="C432">
        <f>C415*CEILING(A432*1024/(C406*C411*C405),1)+A432*1024*C413</f>
        <v/>
      </c>
      <c r="D432">
        <f>B432/C432</f>
        <v/>
      </c>
      <c r="E432" t="n">
        <v>17.96</v>
      </c>
      <c r="F432">
        <f>A432*1024/(C432*0.000001)/1000000000*C414</f>
        <v/>
      </c>
      <c r="G432">
        <f>E432/F432</f>
        <v/>
      </c>
    </row>
    <row r="433">
      <c r="A433" t="n">
        <v>32768</v>
      </c>
      <c r="B433" t="n">
        <v>3241.1</v>
      </c>
      <c r="C433">
        <f>C415*CEILING(A433*1024/(C406*C411*C405),1)+A433*1024*C413</f>
        <v/>
      </c>
      <c r="D433">
        <f>B433/C433</f>
        <v/>
      </c>
      <c r="E433" t="n">
        <v>20.38</v>
      </c>
      <c r="F433">
        <f>A433*1024/(C433*0.000001)/1000000000*C414</f>
        <v/>
      </c>
      <c r="G433">
        <f>E433/F433</f>
        <v/>
      </c>
    </row>
    <row r="434">
      <c r="A434" t="n">
        <v>65536</v>
      </c>
      <c r="B434" t="n">
        <v>6470.54</v>
      </c>
      <c r="C434">
        <f>C415*CEILING(A434*1024/(C406*C411*C405),1)+A434*1024*C413</f>
        <v/>
      </c>
      <c r="D434">
        <f>B434/C434</f>
        <v/>
      </c>
      <c r="E434" t="n">
        <v>20.42</v>
      </c>
      <c r="F434">
        <f>A434*1024/(C434*0.000001)/1000000000*C414</f>
        <v/>
      </c>
      <c r="G434">
        <f>E434/F434</f>
        <v/>
      </c>
    </row>
    <row r="435">
      <c r="A435" t="n">
        <v>131072</v>
      </c>
      <c r="B435" t="n">
        <v>12878.5</v>
      </c>
      <c r="C435">
        <f>C415*CEILING(A435*1024/(C406*C411*C405),1)+A435*1024*C413</f>
        <v/>
      </c>
      <c r="D435">
        <f>B435/C435</f>
        <v/>
      </c>
      <c r="E435" t="n">
        <v>20.52</v>
      </c>
      <c r="F435">
        <f>A435*1024/(C435*0.000001)/1000000000*C414</f>
        <v/>
      </c>
      <c r="G435">
        <f>E435/F435</f>
        <v/>
      </c>
    </row>
    <row r="436">
      <c r="A436" t="n">
        <v>262144</v>
      </c>
      <c r="B436" t="n">
        <v>25721.8</v>
      </c>
      <c r="C436">
        <f>C415*CEILING(A436*1024/(C406*C411*C405),1)+A436*1024*C413</f>
        <v/>
      </c>
      <c r="D436">
        <f>B436/C436</f>
        <v/>
      </c>
      <c r="E436" t="n">
        <v>20.55</v>
      </c>
      <c r="F436">
        <f>A436*1024/(C436*0.000001)/1000000000*C414</f>
        <v/>
      </c>
      <c r="G436">
        <f>E436/F436</f>
        <v/>
      </c>
    </row>
    <row r="437">
      <c r="A437" t="n">
        <v>524288</v>
      </c>
      <c r="B437" t="n">
        <v>50956.3</v>
      </c>
      <c r="C437">
        <f>C415*CEILING(A437*1024/(C406*C411*C405),1)+A437*1024*C413</f>
        <v/>
      </c>
      <c r="D437">
        <f>B437/C437</f>
        <v/>
      </c>
      <c r="E437" t="n">
        <v>20.74</v>
      </c>
      <c r="F437">
        <f>A437*1024/(C437*0.000001)/1000000000*C414</f>
        <v/>
      </c>
      <c r="G437">
        <f>E437/F437</f>
        <v/>
      </c>
    </row>
    <row r="438">
      <c r="A438" t="n">
        <v>1048576</v>
      </c>
      <c r="B438" t="n">
        <v>101873</v>
      </c>
      <c r="C438">
        <f>C415*CEILING(A438*1024/(C406*C411*C405),1)+A438*1024*C413</f>
        <v/>
      </c>
      <c r="D438">
        <f>B438/C438</f>
        <v/>
      </c>
      <c r="E438" t="n">
        <v>20.75</v>
      </c>
      <c r="F438">
        <f>A438*1024/(C438*0.000001)/1000000000*C414</f>
        <v/>
      </c>
      <c r="G438">
        <f>E438/F438</f>
        <v/>
      </c>
    </row>
    <row r="439"/>
    <row r="440">
      <c r="A440" t="inlineStr">
        <is>
          <t>Nodes: 8, Protocol: LL128, Channels: 2</t>
        </is>
      </c>
    </row>
    <row r="441">
      <c r="A441" t="inlineStr">
        <is>
          <t>Parameter</t>
        </is>
      </c>
      <c r="B441" t="inlineStr">
        <is>
          <t>Formula</t>
        </is>
      </c>
      <c r="C441" t="inlineStr">
        <is>
          <t>Value</t>
        </is>
      </c>
    </row>
    <row r="442">
      <c r="A442" t="inlineStr">
        <is>
          <t>N</t>
        </is>
      </c>
      <c r="B442" t="inlineStr">
        <is>
          <t>nodes</t>
        </is>
      </c>
      <c r="C442" t="n">
        <v>8</v>
      </c>
    </row>
    <row r="443">
      <c r="A443" t="inlineStr">
        <is>
          <t>n</t>
        </is>
      </c>
      <c r="B443" t="inlineStr">
        <is>
          <t>GPUs/node</t>
        </is>
      </c>
      <c r="C443" t="n">
        <v>8</v>
      </c>
    </row>
    <row r="444">
      <c r="A444" t="inlineStr">
        <is>
          <t>n_total</t>
        </is>
      </c>
      <c r="B444" t="inlineStr">
        <is>
          <t>N*n</t>
        </is>
      </c>
      <c r="C444" t="n">
        <v>64</v>
      </c>
    </row>
    <row r="445">
      <c r="A445" t="inlineStr">
        <is>
          <t>nch_raw</t>
        </is>
      </c>
      <c r="B445" t="inlineStr">
        <is>
          <t>raw channels</t>
        </is>
      </c>
      <c r="C445" t="n">
        <v>2</v>
      </c>
    </row>
    <row r="446">
      <c r="A446" t="inlineStr">
        <is>
          <t>nch</t>
        </is>
      </c>
      <c r="B446" t="inlineStr">
        <is>
          <t>min(nch_raw,8)</t>
        </is>
      </c>
      <c r="C446" t="n">
        <v>2</v>
      </c>
    </row>
    <row r="447">
      <c r="A447" t="inlineStr">
        <is>
          <t>a</t>
        </is>
      </c>
      <c r="B447" t="inlineStr">
        <is>
          <t>RTT (us)</t>
        </is>
      </c>
      <c r="C447" t="n">
        <v>24.92</v>
      </c>
    </row>
    <row r="448">
      <c r="A448" t="inlineStr">
        <is>
          <t>NIC_BW</t>
        </is>
      </c>
      <c r="B448" t="inlineStr">
        <is>
          <t>bytes/us</t>
        </is>
      </c>
      <c r="C448" t="n">
        <v>48750</v>
      </c>
    </row>
    <row r="449">
      <c r="A449" t="inlineStr">
        <is>
          <t>intra_node_latency</t>
        </is>
      </c>
      <c r="B449" t="inlineStr">
        <is>
          <t>us</t>
        </is>
      </c>
      <c r="C449" t="n">
        <v>8.4</v>
      </c>
    </row>
    <row r="450">
      <c r="A450" t="inlineStr">
        <is>
          <t>chunk_size</t>
        </is>
      </c>
      <c r="B450" t="inlineStr">
        <is>
          <t>bytes</t>
        </is>
      </c>
      <c r="C450" t="n">
        <v>576000</v>
      </c>
    </row>
    <row r="451">
      <c r="A451" t="inlineStr">
        <is>
          <t>G_agg</t>
        </is>
      </c>
      <c r="B451" t="inlineStr">
        <is>
          <t>nch*NIC_BW</t>
        </is>
      </c>
      <c r="C451">
        <f>C446*C448</f>
        <v/>
      </c>
    </row>
    <row r="452">
      <c r="A452" t="inlineStr">
        <is>
          <t>G</t>
        </is>
      </c>
      <c r="B452" t="inlineStr">
        <is>
          <t>(16/15)*2*(n_total-1)/(n_total*G_agg)</t>
        </is>
      </c>
      <c r="C452">
        <f>(16/15)*2*(C444-1)/(C444*C451)</f>
        <v/>
      </c>
    </row>
    <row r="453">
      <c r="A453" t="inlineStr">
        <is>
          <t>busbw_factor</t>
        </is>
      </c>
      <c r="B453" t="inlineStr">
        <is>
          <t>2*(n_total-1)/n_total</t>
        </is>
      </c>
      <c r="C453">
        <f>2*(C444-1)/C444</f>
        <v/>
      </c>
    </row>
    <row r="454">
      <c r="A454" t="inlineStr">
        <is>
          <t>fixed_per_step</t>
        </is>
      </c>
      <c r="B454" t="inlineStr">
        <is>
          <t>(2*N-1)*(a/2+intra)</t>
        </is>
      </c>
      <c r="C454">
        <f>(2*C442-1)*(C447/2+C449)</f>
        <v/>
      </c>
    </row>
    <row r="455"/>
    <row r="456">
      <c r="A456" t="inlineStr">
        <is>
          <t>size_KB</t>
        </is>
      </c>
      <c r="B456" t="inlineStr">
        <is>
          <t>Actual Time (us)</t>
        </is>
      </c>
      <c r="C456" t="inlineStr">
        <is>
          <t>Roofline Time (us)</t>
        </is>
      </c>
      <c r="D456" t="inlineStr">
        <is>
          <t>Actual/Roofline</t>
        </is>
      </c>
      <c r="E456" t="inlineStr">
        <is>
          <t>Actual busBW (GB/s)</t>
        </is>
      </c>
      <c r="F456" t="inlineStr">
        <is>
          <t>Roofline busBW (GB/s)</t>
        </is>
      </c>
      <c r="G456" t="inlineStr">
        <is>
          <t>Meas/Roof busBW</t>
        </is>
      </c>
    </row>
    <row r="457">
      <c r="A457" t="n">
        <v>1</v>
      </c>
      <c r="B457" t="n">
        <v>520.34</v>
      </c>
      <c r="C457">
        <f>C454*CEILING(A457*1024/(C445*C450*C444),1)+A457*1024*C452</f>
        <v/>
      </c>
      <c r="D457">
        <f>B457/C457</f>
        <v/>
      </c>
      <c r="E457" t="n">
        <v>0</v>
      </c>
      <c r="F457">
        <f>A457*1024/(C457*0.000001)/1000000000*C453</f>
        <v/>
      </c>
      <c r="G457">
        <f>E457/F457</f>
        <v/>
      </c>
    </row>
    <row r="458">
      <c r="A458" t="n">
        <v>2</v>
      </c>
      <c r="B458" t="n">
        <v>517.12</v>
      </c>
      <c r="C458">
        <f>C454*CEILING(A458*1024/(C445*C450*C444),1)+A458*1024*C452</f>
        <v/>
      </c>
      <c r="D458">
        <f>B458/C458</f>
        <v/>
      </c>
      <c r="E458" t="n">
        <v>0.01</v>
      </c>
      <c r="F458">
        <f>A458*1024/(C458*0.000001)/1000000000*C453</f>
        <v/>
      </c>
      <c r="G458">
        <f>E458/F458</f>
        <v/>
      </c>
    </row>
    <row r="459">
      <c r="A459" t="n">
        <v>4</v>
      </c>
      <c r="B459" t="n">
        <v>517.86</v>
      </c>
      <c r="C459">
        <f>C454*CEILING(A459*1024/(C445*C450*C444),1)+A459*1024*C452</f>
        <v/>
      </c>
      <c r="D459">
        <f>B459/C459</f>
        <v/>
      </c>
      <c r="E459" t="n">
        <v>0.02</v>
      </c>
      <c r="F459">
        <f>A459*1024/(C459*0.000001)/1000000000*C453</f>
        <v/>
      </c>
      <c r="G459">
        <f>E459/F459</f>
        <v/>
      </c>
    </row>
    <row r="460">
      <c r="A460" t="n">
        <v>8</v>
      </c>
      <c r="B460" t="n">
        <v>518.99</v>
      </c>
      <c r="C460">
        <f>C454*CEILING(A460*1024/(C445*C450*C444),1)+A460*1024*C452</f>
        <v/>
      </c>
      <c r="D460">
        <f>B460/C460</f>
        <v/>
      </c>
      <c r="E460" t="n">
        <v>0.03</v>
      </c>
      <c r="F460">
        <f>A460*1024/(C460*0.000001)/1000000000*C453</f>
        <v/>
      </c>
      <c r="G460">
        <f>E460/F460</f>
        <v/>
      </c>
    </row>
    <row r="461">
      <c r="A461" t="n">
        <v>16</v>
      </c>
      <c r="B461" t="n">
        <v>518.8099999999999</v>
      </c>
      <c r="C461">
        <f>C454*CEILING(A461*1024/(C445*C450*C444),1)+A461*1024*C452</f>
        <v/>
      </c>
      <c r="D461">
        <f>B461/C461</f>
        <v/>
      </c>
      <c r="E461" t="n">
        <v>0.06</v>
      </c>
      <c r="F461">
        <f>A461*1024/(C461*0.000001)/1000000000*C453</f>
        <v/>
      </c>
      <c r="G461">
        <f>E461/F461</f>
        <v/>
      </c>
    </row>
    <row r="462">
      <c r="A462" t="n">
        <v>32</v>
      </c>
      <c r="B462" t="n">
        <v>536.41</v>
      </c>
      <c r="C462">
        <f>C454*CEILING(A462*1024/(C445*C450*C444),1)+A462*1024*C452</f>
        <v/>
      </c>
      <c r="D462">
        <f>B462/C462</f>
        <v/>
      </c>
      <c r="E462" t="n">
        <v>0.12</v>
      </c>
      <c r="F462">
        <f>A462*1024/(C462*0.000001)/1000000000*C453</f>
        <v/>
      </c>
      <c r="G462">
        <f>E462/F462</f>
        <v/>
      </c>
    </row>
    <row r="463">
      <c r="A463" t="n">
        <v>64</v>
      </c>
      <c r="B463" t="n">
        <v>529.75</v>
      </c>
      <c r="C463">
        <f>C454*CEILING(A463*1024/(C445*C450*C444),1)+A463*1024*C452</f>
        <v/>
      </c>
      <c r="D463">
        <f>B463/C463</f>
        <v/>
      </c>
      <c r="E463" t="n">
        <v>0.24</v>
      </c>
      <c r="F463">
        <f>A463*1024/(C463*0.000001)/1000000000*C453</f>
        <v/>
      </c>
      <c r="G463">
        <f>E463/F463</f>
        <v/>
      </c>
    </row>
    <row r="464">
      <c r="A464" t="n">
        <v>128</v>
      </c>
      <c r="B464" t="n">
        <v>527.1900000000001</v>
      </c>
      <c r="C464">
        <f>C454*CEILING(A464*1024/(C445*C450*C444),1)+A464*1024*C452</f>
        <v/>
      </c>
      <c r="D464">
        <f>B464/C464</f>
        <v/>
      </c>
      <c r="E464" t="n">
        <v>0.49</v>
      </c>
      <c r="F464">
        <f>A464*1024/(C464*0.000001)/1000000000*C453</f>
        <v/>
      </c>
      <c r="G464">
        <f>E464/F464</f>
        <v/>
      </c>
    </row>
    <row r="465">
      <c r="A465" t="n">
        <v>256</v>
      </c>
      <c r="B465" t="n">
        <v>541.0700000000001</v>
      </c>
      <c r="C465">
        <f>C454*CEILING(A465*1024/(C445*C450*C444),1)+A465*1024*C452</f>
        <v/>
      </c>
      <c r="D465">
        <f>B465/C465</f>
        <v/>
      </c>
      <c r="E465" t="n">
        <v>0.95</v>
      </c>
      <c r="F465">
        <f>A465*1024/(C465*0.000001)/1000000000*C453</f>
        <v/>
      </c>
      <c r="G465">
        <f>E465/F465</f>
        <v/>
      </c>
    </row>
    <row r="466">
      <c r="A466" t="n">
        <v>512</v>
      </c>
      <c r="B466" t="n">
        <v>557.47</v>
      </c>
      <c r="C466">
        <f>C454*CEILING(A466*1024/(C445*C450*C444),1)+A466*1024*C452</f>
        <v/>
      </c>
      <c r="D466">
        <f>B466/C466</f>
        <v/>
      </c>
      <c r="E466" t="n">
        <v>1.85</v>
      </c>
      <c r="F466">
        <f>A466*1024/(C466*0.000001)/1000000000*C453</f>
        <v/>
      </c>
      <c r="G466">
        <f>E466/F466</f>
        <v/>
      </c>
    </row>
    <row r="467">
      <c r="A467" t="n">
        <v>1024</v>
      </c>
      <c r="B467" t="n">
        <v>601.97</v>
      </c>
      <c r="C467">
        <f>C454*CEILING(A467*1024/(C445*C450*C444),1)+A467*1024*C452</f>
        <v/>
      </c>
      <c r="D467">
        <f>B467/C467</f>
        <v/>
      </c>
      <c r="E467" t="n">
        <v>3.43</v>
      </c>
      <c r="F467">
        <f>A467*1024/(C467*0.000001)/1000000000*C453</f>
        <v/>
      </c>
      <c r="G467">
        <f>E467/F467</f>
        <v/>
      </c>
    </row>
    <row r="468">
      <c r="A468" t="n">
        <v>2048</v>
      </c>
      <c r="B468" t="n">
        <v>692.61</v>
      </c>
      <c r="C468">
        <f>C454*CEILING(A468*1024/(C445*C450*C444),1)+A468*1024*C452</f>
        <v/>
      </c>
      <c r="D468">
        <f>B468/C468</f>
        <v/>
      </c>
      <c r="E468" t="n">
        <v>5.96</v>
      </c>
      <c r="F468">
        <f>A468*1024/(C468*0.000001)/1000000000*C453</f>
        <v/>
      </c>
      <c r="G468">
        <f>E468/F468</f>
        <v/>
      </c>
    </row>
    <row r="469">
      <c r="A469" t="n">
        <v>4096</v>
      </c>
      <c r="B469" t="n">
        <v>735.04</v>
      </c>
      <c r="C469">
        <f>C454*CEILING(A469*1024/(C445*C450*C444),1)+A469*1024*C452</f>
        <v/>
      </c>
      <c r="D469">
        <f>B469/C469</f>
        <v/>
      </c>
      <c r="E469" t="n">
        <v>11.23</v>
      </c>
      <c r="F469">
        <f>A469*1024/(C469*0.000001)/1000000000*C453</f>
        <v/>
      </c>
      <c r="G469">
        <f>E469/F469</f>
        <v/>
      </c>
    </row>
    <row r="470">
      <c r="A470" t="n">
        <v>8192</v>
      </c>
      <c r="B470" t="n">
        <v>826.29</v>
      </c>
      <c r="C470">
        <f>C454*CEILING(A470*1024/(C445*C450*C444),1)+A470*1024*C452</f>
        <v/>
      </c>
      <c r="D470">
        <f>B470/C470</f>
        <v/>
      </c>
      <c r="E470" t="n">
        <v>19.99</v>
      </c>
      <c r="F470">
        <f>A470*1024/(C470*0.000001)/1000000000*C453</f>
        <v/>
      </c>
      <c r="G470">
        <f>E470/F470</f>
        <v/>
      </c>
    </row>
    <row r="471">
      <c r="A471" t="n">
        <v>16384</v>
      </c>
      <c r="B471" t="n">
        <v>1192.83</v>
      </c>
      <c r="C471">
        <f>C454*CEILING(A471*1024/(C445*C450*C444),1)+A471*1024*C452</f>
        <v/>
      </c>
      <c r="D471">
        <f>B471/C471</f>
        <v/>
      </c>
      <c r="E471" t="n">
        <v>27.69</v>
      </c>
      <c r="F471">
        <f>A471*1024/(C471*0.000001)/1000000000*C453</f>
        <v/>
      </c>
      <c r="G471">
        <f>E471/F471</f>
        <v/>
      </c>
    </row>
    <row r="472">
      <c r="A472" t="n">
        <v>32768</v>
      </c>
      <c r="B472" t="n">
        <v>1891.24</v>
      </c>
      <c r="C472">
        <f>C454*CEILING(A472*1024/(C445*C450*C444),1)+A472*1024*C452</f>
        <v/>
      </c>
      <c r="D472">
        <f>B472/C472</f>
        <v/>
      </c>
      <c r="E472" t="n">
        <v>34.93</v>
      </c>
      <c r="F472">
        <f>A472*1024/(C472*0.000001)/1000000000*C453</f>
        <v/>
      </c>
      <c r="G472">
        <f>E472/F472</f>
        <v/>
      </c>
    </row>
    <row r="473">
      <c r="A473" t="n">
        <v>65536</v>
      </c>
      <c r="B473" t="n">
        <v>3291.09</v>
      </c>
      <c r="C473">
        <f>C454*CEILING(A473*1024/(C445*C450*C444),1)+A473*1024*C452</f>
        <v/>
      </c>
      <c r="D473">
        <f>B473/C473</f>
        <v/>
      </c>
      <c r="E473" t="n">
        <v>40.14</v>
      </c>
      <c r="F473">
        <f>A473*1024/(C473*0.000001)/1000000000*C453</f>
        <v/>
      </c>
      <c r="G473">
        <f>E473/F473</f>
        <v/>
      </c>
    </row>
    <row r="474">
      <c r="A474" t="n">
        <v>131072</v>
      </c>
      <c r="B474" t="n">
        <v>6541.81</v>
      </c>
      <c r="C474">
        <f>C454*CEILING(A474*1024/(C445*C450*C444),1)+A474*1024*C452</f>
        <v/>
      </c>
      <c r="D474">
        <f>B474/C474</f>
        <v/>
      </c>
      <c r="E474" t="n">
        <v>40.39</v>
      </c>
      <c r="F474">
        <f>A474*1024/(C474*0.000001)/1000000000*C453</f>
        <v/>
      </c>
      <c r="G474">
        <f>E474/F474</f>
        <v/>
      </c>
    </row>
    <row r="475">
      <c r="A475" t="n">
        <v>262144</v>
      </c>
      <c r="B475" t="n">
        <v>13036.6</v>
      </c>
      <c r="C475">
        <f>C454*CEILING(A475*1024/(C445*C450*C444),1)+A475*1024*C452</f>
        <v/>
      </c>
      <c r="D475">
        <f>B475/C475</f>
        <v/>
      </c>
      <c r="E475" t="n">
        <v>40.54</v>
      </c>
      <c r="F475">
        <f>A475*1024/(C475*0.000001)/1000000000*C453</f>
        <v/>
      </c>
      <c r="G475">
        <f>E475/F475</f>
        <v/>
      </c>
    </row>
    <row r="476">
      <c r="A476" t="n">
        <v>524288</v>
      </c>
      <c r="B476" t="n">
        <v>26137.4</v>
      </c>
      <c r="C476">
        <f>C454*CEILING(A476*1024/(C445*C450*C444),1)+A476*1024*C452</f>
        <v/>
      </c>
      <c r="D476">
        <f>B476/C476</f>
        <v/>
      </c>
      <c r="E476" t="n">
        <v>40.44</v>
      </c>
      <c r="F476">
        <f>A476*1024/(C476*0.000001)/1000000000*C453</f>
        <v/>
      </c>
      <c r="G476">
        <f>E476/F476</f>
        <v/>
      </c>
    </row>
    <row r="477">
      <c r="A477" t="n">
        <v>1048576</v>
      </c>
      <c r="B477" t="n">
        <v>51757.5</v>
      </c>
      <c r="C477">
        <f>C454*CEILING(A477*1024/(C445*C450*C444),1)+A477*1024*C452</f>
        <v/>
      </c>
      <c r="D477">
        <f>B477/C477</f>
        <v/>
      </c>
      <c r="E477" t="n">
        <v>40.84</v>
      </c>
      <c r="F477">
        <f>A477*1024/(C477*0.000001)/1000000000*C453</f>
        <v/>
      </c>
      <c r="G477">
        <f>E477/F477</f>
        <v/>
      </c>
    </row>
    <row r="478"/>
    <row r="479">
      <c r="A479" t="inlineStr">
        <is>
          <t>Nodes: 8, Protocol: LL128, Channels: 4</t>
        </is>
      </c>
    </row>
    <row r="480">
      <c r="A480" t="inlineStr">
        <is>
          <t>Parameter</t>
        </is>
      </c>
      <c r="B480" t="inlineStr">
        <is>
          <t>Formula</t>
        </is>
      </c>
      <c r="C480" t="inlineStr">
        <is>
          <t>Value</t>
        </is>
      </c>
    </row>
    <row r="481">
      <c r="A481" t="inlineStr">
        <is>
          <t>N</t>
        </is>
      </c>
      <c r="B481" t="inlineStr">
        <is>
          <t>nodes</t>
        </is>
      </c>
      <c r="C481" t="n">
        <v>8</v>
      </c>
    </row>
    <row r="482">
      <c r="A482" t="inlineStr">
        <is>
          <t>n</t>
        </is>
      </c>
      <c r="B482" t="inlineStr">
        <is>
          <t>GPUs/node</t>
        </is>
      </c>
      <c r="C482" t="n">
        <v>8</v>
      </c>
    </row>
    <row r="483">
      <c r="A483" t="inlineStr">
        <is>
          <t>n_total</t>
        </is>
      </c>
      <c r="B483" t="inlineStr">
        <is>
          <t>N*n</t>
        </is>
      </c>
      <c r="C483" t="n">
        <v>64</v>
      </c>
    </row>
    <row r="484">
      <c r="A484" t="inlineStr">
        <is>
          <t>nch_raw</t>
        </is>
      </c>
      <c r="B484" t="inlineStr">
        <is>
          <t>raw channels</t>
        </is>
      </c>
      <c r="C484" t="n">
        <v>4</v>
      </c>
    </row>
    <row r="485">
      <c r="A485" t="inlineStr">
        <is>
          <t>nch</t>
        </is>
      </c>
      <c r="B485" t="inlineStr">
        <is>
          <t>min(nch_raw,8)</t>
        </is>
      </c>
      <c r="C485" t="n">
        <v>4</v>
      </c>
    </row>
    <row r="486">
      <c r="A486" t="inlineStr">
        <is>
          <t>a</t>
        </is>
      </c>
      <c r="B486" t="inlineStr">
        <is>
          <t>RTT (us)</t>
        </is>
      </c>
      <c r="C486" t="n">
        <v>24.92</v>
      </c>
    </row>
    <row r="487">
      <c r="A487" t="inlineStr">
        <is>
          <t>NIC_BW</t>
        </is>
      </c>
      <c r="B487" t="inlineStr">
        <is>
          <t>bytes/us</t>
        </is>
      </c>
      <c r="C487" t="n">
        <v>48750</v>
      </c>
    </row>
    <row r="488">
      <c r="A488" t="inlineStr">
        <is>
          <t>intra_node_latency</t>
        </is>
      </c>
      <c r="B488" t="inlineStr">
        <is>
          <t>us</t>
        </is>
      </c>
      <c r="C488" t="n">
        <v>8.4</v>
      </c>
    </row>
    <row r="489">
      <c r="A489" t="inlineStr">
        <is>
          <t>chunk_size</t>
        </is>
      </c>
      <c r="B489" t="inlineStr">
        <is>
          <t>bytes</t>
        </is>
      </c>
      <c r="C489" t="n">
        <v>576000</v>
      </c>
    </row>
    <row r="490">
      <c r="A490" t="inlineStr">
        <is>
          <t>G_agg</t>
        </is>
      </c>
      <c r="B490" t="inlineStr">
        <is>
          <t>nch*NIC_BW</t>
        </is>
      </c>
      <c r="C490">
        <f>C485*C487</f>
        <v/>
      </c>
    </row>
    <row r="491">
      <c r="A491" t="inlineStr">
        <is>
          <t>G</t>
        </is>
      </c>
      <c r="B491" t="inlineStr">
        <is>
          <t>(16/15)*2*(n_total-1)/(n_total*G_agg)</t>
        </is>
      </c>
      <c r="C491">
        <f>(16/15)*2*(C483-1)/(C483*C490)</f>
        <v/>
      </c>
    </row>
    <row r="492">
      <c r="A492" t="inlineStr">
        <is>
          <t>busbw_factor</t>
        </is>
      </c>
      <c r="B492" t="inlineStr">
        <is>
          <t>2*(n_total-1)/n_total</t>
        </is>
      </c>
      <c r="C492">
        <f>2*(C483-1)/C483</f>
        <v/>
      </c>
    </row>
    <row r="493">
      <c r="A493" t="inlineStr">
        <is>
          <t>fixed_per_step</t>
        </is>
      </c>
      <c r="B493" t="inlineStr">
        <is>
          <t>(2*N-1)*(a/2+intra)</t>
        </is>
      </c>
      <c r="C493">
        <f>(2*C481-1)*(C486/2+C488)</f>
        <v/>
      </c>
    </row>
    <row r="494"/>
    <row r="495">
      <c r="A495" t="inlineStr">
        <is>
          <t>size_KB</t>
        </is>
      </c>
      <c r="B495" t="inlineStr">
        <is>
          <t>Actual Time (us)</t>
        </is>
      </c>
      <c r="C495" t="inlineStr">
        <is>
          <t>Roofline Time (us)</t>
        </is>
      </c>
      <c r="D495" t="inlineStr">
        <is>
          <t>Actual/Roofline</t>
        </is>
      </c>
      <c r="E495" t="inlineStr">
        <is>
          <t>Actual busBW (GB/s)</t>
        </is>
      </c>
      <c r="F495" t="inlineStr">
        <is>
          <t>Roofline busBW (GB/s)</t>
        </is>
      </c>
      <c r="G495" t="inlineStr">
        <is>
          <t>Meas/Roof busBW</t>
        </is>
      </c>
    </row>
    <row r="496">
      <c r="A496" t="n">
        <v>1</v>
      </c>
      <c r="B496" t="n">
        <v>528.01</v>
      </c>
      <c r="C496">
        <f>C493*CEILING(A496*1024/(C484*C489*C483),1)+A496*1024*C491</f>
        <v/>
      </c>
      <c r="D496">
        <f>B496/C496</f>
        <v/>
      </c>
      <c r="E496" t="n">
        <v>0</v>
      </c>
      <c r="F496">
        <f>A496*1024/(C496*0.000001)/1000000000*C492</f>
        <v/>
      </c>
      <c r="G496">
        <f>E496/F496</f>
        <v/>
      </c>
    </row>
    <row r="497">
      <c r="A497" t="n">
        <v>2</v>
      </c>
      <c r="B497" t="n">
        <v>523.13</v>
      </c>
      <c r="C497">
        <f>C493*CEILING(A497*1024/(C484*C489*C483),1)+A497*1024*C491</f>
        <v/>
      </c>
      <c r="D497">
        <f>B497/C497</f>
        <v/>
      </c>
      <c r="E497" t="n">
        <v>0.01</v>
      </c>
      <c r="F497">
        <f>A497*1024/(C497*0.000001)/1000000000*C492</f>
        <v/>
      </c>
      <c r="G497">
        <f>E497/F497</f>
        <v/>
      </c>
    </row>
    <row r="498">
      <c r="A498" t="n">
        <v>4</v>
      </c>
      <c r="B498" t="n">
        <v>515.52</v>
      </c>
      <c r="C498">
        <f>C493*CEILING(A498*1024/(C484*C489*C483),1)+A498*1024*C491</f>
        <v/>
      </c>
      <c r="D498">
        <f>B498/C498</f>
        <v/>
      </c>
      <c r="E498" t="n">
        <v>0.02</v>
      </c>
      <c r="F498">
        <f>A498*1024/(C498*0.000001)/1000000000*C492</f>
        <v/>
      </c>
      <c r="G498">
        <f>E498/F498</f>
        <v/>
      </c>
    </row>
    <row r="499">
      <c r="A499" t="n">
        <v>8</v>
      </c>
      <c r="B499" t="n">
        <v>518.86</v>
      </c>
      <c r="C499">
        <f>C493*CEILING(A499*1024/(C484*C489*C483),1)+A499*1024*C491</f>
        <v/>
      </c>
      <c r="D499">
        <f>B499/C499</f>
        <v/>
      </c>
      <c r="E499" t="n">
        <v>0.03</v>
      </c>
      <c r="F499">
        <f>A499*1024/(C499*0.000001)/1000000000*C492</f>
        <v/>
      </c>
      <c r="G499">
        <f>E499/F499</f>
        <v/>
      </c>
    </row>
    <row r="500">
      <c r="A500" t="n">
        <v>16</v>
      </c>
      <c r="B500" t="n">
        <v>517.6799999999999</v>
      </c>
      <c r="C500">
        <f>C493*CEILING(A500*1024/(C484*C489*C483),1)+A500*1024*C491</f>
        <v/>
      </c>
      <c r="D500">
        <f>B500/C500</f>
        <v/>
      </c>
      <c r="E500" t="n">
        <v>0.06</v>
      </c>
      <c r="F500">
        <f>A500*1024/(C500*0.000001)/1000000000*C492</f>
        <v/>
      </c>
      <c r="G500">
        <f>E500/F500</f>
        <v/>
      </c>
    </row>
    <row r="501">
      <c r="A501" t="n">
        <v>32</v>
      </c>
      <c r="B501" t="n">
        <v>526.7</v>
      </c>
      <c r="C501">
        <f>C493*CEILING(A501*1024/(C484*C489*C483),1)+A501*1024*C491</f>
        <v/>
      </c>
      <c r="D501">
        <f>B501/C501</f>
        <v/>
      </c>
      <c r="E501" t="n">
        <v>0.12</v>
      </c>
      <c r="F501">
        <f>A501*1024/(C501*0.000001)/1000000000*C492</f>
        <v/>
      </c>
      <c r="G501">
        <f>E501/F501</f>
        <v/>
      </c>
    </row>
    <row r="502">
      <c r="A502" t="n">
        <v>64</v>
      </c>
      <c r="B502" t="n">
        <v>528.61</v>
      </c>
      <c r="C502">
        <f>C493*CEILING(A502*1024/(C484*C489*C483),1)+A502*1024*C491</f>
        <v/>
      </c>
      <c r="D502">
        <f>B502/C502</f>
        <v/>
      </c>
      <c r="E502" t="n">
        <v>0.24</v>
      </c>
      <c r="F502">
        <f>A502*1024/(C502*0.000001)/1000000000*C492</f>
        <v/>
      </c>
      <c r="G502">
        <f>E502/F502</f>
        <v/>
      </c>
    </row>
    <row r="503">
      <c r="A503" t="n">
        <v>128</v>
      </c>
      <c r="B503" t="n">
        <v>527.91</v>
      </c>
      <c r="C503">
        <f>C493*CEILING(A503*1024/(C484*C489*C483),1)+A503*1024*C491</f>
        <v/>
      </c>
      <c r="D503">
        <f>B503/C503</f>
        <v/>
      </c>
      <c r="E503" t="n">
        <v>0.49</v>
      </c>
      <c r="F503">
        <f>A503*1024/(C503*0.000001)/1000000000*C492</f>
        <v/>
      </c>
      <c r="G503">
        <f>E503/F503</f>
        <v/>
      </c>
    </row>
    <row r="504">
      <c r="A504" t="n">
        <v>256</v>
      </c>
      <c r="B504" t="n">
        <v>528.49</v>
      </c>
      <c r="C504">
        <f>C493*CEILING(A504*1024/(C484*C489*C483),1)+A504*1024*C491</f>
        <v/>
      </c>
      <c r="D504">
        <f>B504/C504</f>
        <v/>
      </c>
      <c r="E504" t="n">
        <v>0.98</v>
      </c>
      <c r="F504">
        <f>A504*1024/(C504*0.000001)/1000000000*C492</f>
        <v/>
      </c>
      <c r="G504">
        <f>E504/F504</f>
        <v/>
      </c>
    </row>
    <row r="505">
      <c r="A505" t="n">
        <v>512</v>
      </c>
      <c r="B505" t="n">
        <v>542.53</v>
      </c>
      <c r="C505">
        <f>C493*CEILING(A505*1024/(C484*C489*C483),1)+A505*1024*C491</f>
        <v/>
      </c>
      <c r="D505">
        <f>B505/C505</f>
        <v/>
      </c>
      <c r="E505" t="n">
        <v>1.9</v>
      </c>
      <c r="F505">
        <f>A505*1024/(C505*0.000001)/1000000000*C492</f>
        <v/>
      </c>
      <c r="G505">
        <f>E505/F505</f>
        <v/>
      </c>
    </row>
    <row r="506">
      <c r="A506" t="n">
        <v>1024</v>
      </c>
      <c r="B506" t="n">
        <v>558.41</v>
      </c>
      <c r="C506">
        <f>C493*CEILING(A506*1024/(C484*C489*C483),1)+A506*1024*C491</f>
        <v/>
      </c>
      <c r="D506">
        <f>B506/C506</f>
        <v/>
      </c>
      <c r="E506" t="n">
        <v>3.7</v>
      </c>
      <c r="F506">
        <f>A506*1024/(C506*0.000001)/1000000000*C492</f>
        <v/>
      </c>
      <c r="G506">
        <f>E506/F506</f>
        <v/>
      </c>
    </row>
    <row r="507">
      <c r="A507" t="n">
        <v>2048</v>
      </c>
      <c r="B507" t="n">
        <v>601.8</v>
      </c>
      <c r="C507">
        <f>C493*CEILING(A507*1024/(C484*C489*C483),1)+A507*1024*C491</f>
        <v/>
      </c>
      <c r="D507">
        <f>B507/C507</f>
        <v/>
      </c>
      <c r="E507" t="n">
        <v>6.86</v>
      </c>
      <c r="F507">
        <f>A507*1024/(C507*0.000001)/1000000000*C492</f>
        <v/>
      </c>
      <c r="G507">
        <f>E507/F507</f>
        <v/>
      </c>
    </row>
    <row r="508">
      <c r="A508" t="n">
        <v>4096</v>
      </c>
      <c r="B508" t="n">
        <v>634.0700000000001</v>
      </c>
      <c r="C508">
        <f>C493*CEILING(A508*1024/(C484*C489*C483),1)+A508*1024*C491</f>
        <v/>
      </c>
      <c r="D508">
        <f>B508/C508</f>
        <v/>
      </c>
      <c r="E508" t="n">
        <v>13.02</v>
      </c>
      <c r="F508">
        <f>A508*1024/(C508*0.000001)/1000000000*C492</f>
        <v/>
      </c>
      <c r="G508">
        <f>E508/F508</f>
        <v/>
      </c>
    </row>
    <row r="509">
      <c r="A509" t="n">
        <v>8192</v>
      </c>
      <c r="B509" t="n">
        <v>731.97</v>
      </c>
      <c r="C509">
        <f>C493*CEILING(A509*1024/(C484*C489*C483),1)+A509*1024*C491</f>
        <v/>
      </c>
      <c r="D509">
        <f>B509/C509</f>
        <v/>
      </c>
      <c r="E509" t="n">
        <v>22.56</v>
      </c>
      <c r="F509">
        <f>A509*1024/(C509*0.000001)/1000000000*C492</f>
        <v/>
      </c>
      <c r="G509">
        <f>E509/F509</f>
        <v/>
      </c>
    </row>
    <row r="510">
      <c r="A510" t="n">
        <v>16384</v>
      </c>
      <c r="B510" t="n">
        <v>829.7</v>
      </c>
      <c r="C510">
        <f>C493*CEILING(A510*1024/(C484*C489*C483),1)+A510*1024*C491</f>
        <v/>
      </c>
      <c r="D510">
        <f>B510/C510</f>
        <v/>
      </c>
      <c r="E510" t="n">
        <v>39.81</v>
      </c>
      <c r="F510">
        <f>A510*1024/(C510*0.000001)/1000000000*C492</f>
        <v/>
      </c>
      <c r="G510">
        <f>E510/F510</f>
        <v/>
      </c>
    </row>
    <row r="511">
      <c r="A511" t="n">
        <v>32768</v>
      </c>
      <c r="B511" t="n">
        <v>1202.64</v>
      </c>
      <c r="C511">
        <f>C493*CEILING(A511*1024/(C484*C489*C483),1)+A511*1024*C491</f>
        <v/>
      </c>
      <c r="D511">
        <f>B511/C511</f>
        <v/>
      </c>
      <c r="E511" t="n">
        <v>54.93</v>
      </c>
      <c r="F511">
        <f>A511*1024/(C511*0.000001)/1000000000*C492</f>
        <v/>
      </c>
      <c r="G511">
        <f>E511/F511</f>
        <v/>
      </c>
    </row>
    <row r="512">
      <c r="A512" t="n">
        <v>65536</v>
      </c>
      <c r="B512" t="n">
        <v>1891.64</v>
      </c>
      <c r="C512">
        <f>C493*CEILING(A512*1024/(C484*C489*C483),1)+A512*1024*C491</f>
        <v/>
      </c>
      <c r="D512">
        <f>B512/C512</f>
        <v/>
      </c>
      <c r="E512" t="n">
        <v>69.84</v>
      </c>
      <c r="F512">
        <f>A512*1024/(C512*0.000001)/1000000000*C492</f>
        <v/>
      </c>
      <c r="G512">
        <f>E512/F512</f>
        <v/>
      </c>
    </row>
    <row r="513">
      <c r="A513" t="n">
        <v>131072</v>
      </c>
      <c r="B513" t="n">
        <v>3309.07</v>
      </c>
      <c r="C513">
        <f>C493*CEILING(A513*1024/(C484*C489*C483),1)+A513*1024*C491</f>
        <v/>
      </c>
      <c r="D513">
        <f>B513/C513</f>
        <v/>
      </c>
      <c r="E513" t="n">
        <v>79.84999999999999</v>
      </c>
      <c r="F513">
        <f>A513*1024/(C513*0.000001)/1000000000*C492</f>
        <v/>
      </c>
      <c r="G513">
        <f>E513/F513</f>
        <v/>
      </c>
    </row>
    <row r="514">
      <c r="A514" t="n">
        <v>262144</v>
      </c>
      <c r="B514" t="n">
        <v>6666.41</v>
      </c>
      <c r="C514">
        <f>C493*CEILING(A514*1024/(C484*C489*C483),1)+A514*1024*C491</f>
        <v/>
      </c>
      <c r="D514">
        <f>B514/C514</f>
        <v/>
      </c>
      <c r="E514" t="n">
        <v>79.28</v>
      </c>
      <c r="F514">
        <f>A514*1024/(C514*0.000001)/1000000000*C492</f>
        <v/>
      </c>
      <c r="G514">
        <f>E514/F514</f>
        <v/>
      </c>
    </row>
    <row r="515">
      <c r="A515" t="n">
        <v>524288</v>
      </c>
      <c r="B515" t="n">
        <v>13321.9</v>
      </c>
      <c r="C515">
        <f>C493*CEILING(A515*1024/(C484*C489*C483),1)+A515*1024*C491</f>
        <v/>
      </c>
      <c r="D515">
        <f>B515/C515</f>
        <v/>
      </c>
      <c r="E515" t="n">
        <v>79.34</v>
      </c>
      <c r="F515">
        <f>A515*1024/(C515*0.000001)/1000000000*C492</f>
        <v/>
      </c>
      <c r="G515">
        <f>E515/F515</f>
        <v/>
      </c>
    </row>
    <row r="516">
      <c r="A516" t="n">
        <v>1048576</v>
      </c>
      <c r="B516" t="n">
        <v>26606.4</v>
      </c>
      <c r="C516">
        <f>C493*CEILING(A516*1024/(C484*C489*C483),1)+A516*1024*C491</f>
        <v/>
      </c>
      <c r="D516">
        <f>B516/C516</f>
        <v/>
      </c>
      <c r="E516" t="n">
        <v>79.45</v>
      </c>
      <c r="F516">
        <f>A516*1024/(C516*0.000001)/1000000000*C492</f>
        <v/>
      </c>
      <c r="G516">
        <f>E516/F516</f>
        <v/>
      </c>
    </row>
    <row r="517"/>
    <row r="518">
      <c r="A518" t="inlineStr">
        <is>
          <t>Nodes: 8, Protocol: LL128, Channels: 8</t>
        </is>
      </c>
    </row>
    <row r="519">
      <c r="A519" t="inlineStr">
        <is>
          <t>Parameter</t>
        </is>
      </c>
      <c r="B519" t="inlineStr">
        <is>
          <t>Formula</t>
        </is>
      </c>
      <c r="C519" t="inlineStr">
        <is>
          <t>Value</t>
        </is>
      </c>
    </row>
    <row r="520">
      <c r="A520" t="inlineStr">
        <is>
          <t>N</t>
        </is>
      </c>
      <c r="B520" t="inlineStr">
        <is>
          <t>nodes</t>
        </is>
      </c>
      <c r="C520" t="n">
        <v>8</v>
      </c>
    </row>
    <row r="521">
      <c r="A521" t="inlineStr">
        <is>
          <t>n</t>
        </is>
      </c>
      <c r="B521" t="inlineStr">
        <is>
          <t>GPUs/node</t>
        </is>
      </c>
      <c r="C521" t="n">
        <v>8</v>
      </c>
    </row>
    <row r="522">
      <c r="A522" t="inlineStr">
        <is>
          <t>n_total</t>
        </is>
      </c>
      <c r="B522" t="inlineStr">
        <is>
          <t>N*n</t>
        </is>
      </c>
      <c r="C522" t="n">
        <v>64</v>
      </c>
    </row>
    <row r="523">
      <c r="A523" t="inlineStr">
        <is>
          <t>nch_raw</t>
        </is>
      </c>
      <c r="B523" t="inlineStr">
        <is>
          <t>raw channels</t>
        </is>
      </c>
      <c r="C523" t="n">
        <v>8</v>
      </c>
    </row>
    <row r="524">
      <c r="A524" t="inlineStr">
        <is>
          <t>nch</t>
        </is>
      </c>
      <c r="B524" t="inlineStr">
        <is>
          <t>min(nch_raw,8)</t>
        </is>
      </c>
      <c r="C524" t="n">
        <v>8</v>
      </c>
    </row>
    <row r="525">
      <c r="A525" t="inlineStr">
        <is>
          <t>a</t>
        </is>
      </c>
      <c r="B525" t="inlineStr">
        <is>
          <t>RTT (us)</t>
        </is>
      </c>
      <c r="C525" t="n">
        <v>24.92</v>
      </c>
    </row>
    <row r="526">
      <c r="A526" t="inlineStr">
        <is>
          <t>NIC_BW</t>
        </is>
      </c>
      <c r="B526" t="inlineStr">
        <is>
          <t>bytes/us</t>
        </is>
      </c>
      <c r="C526" t="n">
        <v>48750</v>
      </c>
    </row>
    <row r="527">
      <c r="A527" t="inlineStr">
        <is>
          <t>intra_node_latency</t>
        </is>
      </c>
      <c r="B527" t="inlineStr">
        <is>
          <t>us</t>
        </is>
      </c>
      <c r="C527" t="n">
        <v>8.4</v>
      </c>
    </row>
    <row r="528">
      <c r="A528" t="inlineStr">
        <is>
          <t>chunk_size</t>
        </is>
      </c>
      <c r="B528" t="inlineStr">
        <is>
          <t>bytes</t>
        </is>
      </c>
      <c r="C528" t="n">
        <v>576000</v>
      </c>
    </row>
    <row r="529">
      <c r="A529" t="inlineStr">
        <is>
          <t>G_agg</t>
        </is>
      </c>
      <c r="B529" t="inlineStr">
        <is>
          <t>nch*NIC_BW</t>
        </is>
      </c>
      <c r="C529">
        <f>C524*C526</f>
        <v/>
      </c>
    </row>
    <row r="530">
      <c r="A530" t="inlineStr">
        <is>
          <t>G</t>
        </is>
      </c>
      <c r="B530" t="inlineStr">
        <is>
          <t>(16/15)*2*(n_total-1)/(n_total*G_agg)</t>
        </is>
      </c>
      <c r="C530">
        <f>(16/15)*2*(C522-1)/(C522*C529)</f>
        <v/>
      </c>
    </row>
    <row r="531">
      <c r="A531" t="inlineStr">
        <is>
          <t>busbw_factor</t>
        </is>
      </c>
      <c r="B531" t="inlineStr">
        <is>
          <t>2*(n_total-1)/n_total</t>
        </is>
      </c>
      <c r="C531">
        <f>2*(C522-1)/C522</f>
        <v/>
      </c>
    </row>
    <row r="532">
      <c r="A532" t="inlineStr">
        <is>
          <t>fixed_per_step</t>
        </is>
      </c>
      <c r="B532" t="inlineStr">
        <is>
          <t>(2*N-1)*(a/2+intra)</t>
        </is>
      </c>
      <c r="C532">
        <f>(2*C520-1)*(C525/2+C527)</f>
        <v/>
      </c>
    </row>
    <row r="533"/>
    <row r="534">
      <c r="A534" t="inlineStr">
        <is>
          <t>size_KB</t>
        </is>
      </c>
      <c r="B534" t="inlineStr">
        <is>
          <t>Actual Time (us)</t>
        </is>
      </c>
      <c r="C534" t="inlineStr">
        <is>
          <t>Roofline Time (us)</t>
        </is>
      </c>
      <c r="D534" t="inlineStr">
        <is>
          <t>Actual/Roofline</t>
        </is>
      </c>
      <c r="E534" t="inlineStr">
        <is>
          <t>Actual busBW (GB/s)</t>
        </is>
      </c>
      <c r="F534" t="inlineStr">
        <is>
          <t>Roofline busBW (GB/s)</t>
        </is>
      </c>
      <c r="G534" t="inlineStr">
        <is>
          <t>Meas/Roof busBW</t>
        </is>
      </c>
    </row>
    <row r="535">
      <c r="A535" t="n">
        <v>1</v>
      </c>
      <c r="B535" t="n">
        <v>521.8200000000001</v>
      </c>
      <c r="C535">
        <f>C532*CEILING(A535*1024/(C523*C528*C522),1)+A535*1024*C530</f>
        <v/>
      </c>
      <c r="D535">
        <f>B535/C535</f>
        <v/>
      </c>
      <c r="E535" t="n">
        <v>0</v>
      </c>
      <c r="F535">
        <f>A535*1024/(C535*0.000001)/1000000000*C531</f>
        <v/>
      </c>
      <c r="G535">
        <f>E535/F535</f>
        <v/>
      </c>
    </row>
    <row r="536">
      <c r="A536" t="n">
        <v>2</v>
      </c>
      <c r="B536" t="n">
        <v>517.22</v>
      </c>
      <c r="C536">
        <f>C532*CEILING(A536*1024/(C523*C528*C522),1)+A536*1024*C530</f>
        <v/>
      </c>
      <c r="D536">
        <f>B536/C536</f>
        <v/>
      </c>
      <c r="E536" t="n">
        <v>0.01</v>
      </c>
      <c r="F536">
        <f>A536*1024/(C536*0.000001)/1000000000*C531</f>
        <v/>
      </c>
      <c r="G536">
        <f>E536/F536</f>
        <v/>
      </c>
    </row>
    <row r="537">
      <c r="A537" t="n">
        <v>4</v>
      </c>
      <c r="B537" t="n">
        <v>514.79</v>
      </c>
      <c r="C537">
        <f>C532*CEILING(A537*1024/(C523*C528*C522),1)+A537*1024*C530</f>
        <v/>
      </c>
      <c r="D537">
        <f>B537/C537</f>
        <v/>
      </c>
      <c r="E537" t="n">
        <v>0.02</v>
      </c>
      <c r="F537">
        <f>A537*1024/(C537*0.000001)/1000000000*C531</f>
        <v/>
      </c>
      <c r="G537">
        <f>E537/F537</f>
        <v/>
      </c>
    </row>
    <row r="538">
      <c r="A538" t="n">
        <v>8</v>
      </c>
      <c r="B538" t="n">
        <v>516.75</v>
      </c>
      <c r="C538">
        <f>C532*CEILING(A538*1024/(C523*C528*C522),1)+A538*1024*C530</f>
        <v/>
      </c>
      <c r="D538">
        <f>B538/C538</f>
        <v/>
      </c>
      <c r="E538" t="n">
        <v>0.03</v>
      </c>
      <c r="F538">
        <f>A538*1024/(C538*0.000001)/1000000000*C531</f>
        <v/>
      </c>
      <c r="G538">
        <f>E538/F538</f>
        <v/>
      </c>
    </row>
    <row r="539">
      <c r="A539" t="n">
        <v>16</v>
      </c>
      <c r="B539" t="n">
        <v>516.04</v>
      </c>
      <c r="C539">
        <f>C532*CEILING(A539*1024/(C523*C528*C522),1)+A539*1024*C530</f>
        <v/>
      </c>
      <c r="D539">
        <f>B539/C539</f>
        <v/>
      </c>
      <c r="E539" t="n">
        <v>0.06</v>
      </c>
      <c r="F539">
        <f>A539*1024/(C539*0.000001)/1000000000*C531</f>
        <v/>
      </c>
      <c r="G539">
        <f>E539/F539</f>
        <v/>
      </c>
    </row>
    <row r="540">
      <c r="A540" t="n">
        <v>32</v>
      </c>
      <c r="B540" t="n">
        <v>528.11</v>
      </c>
      <c r="C540">
        <f>C532*CEILING(A540*1024/(C523*C528*C522),1)+A540*1024*C530</f>
        <v/>
      </c>
      <c r="D540">
        <f>B540/C540</f>
        <v/>
      </c>
      <c r="E540" t="n">
        <v>0.12</v>
      </c>
      <c r="F540">
        <f>A540*1024/(C540*0.000001)/1000000000*C531</f>
        <v/>
      </c>
      <c r="G540">
        <f>E540/F540</f>
        <v/>
      </c>
    </row>
    <row r="541">
      <c r="A541" t="n">
        <v>64</v>
      </c>
      <c r="B541" t="n">
        <v>527.73</v>
      </c>
      <c r="C541">
        <f>C532*CEILING(A541*1024/(C523*C528*C522),1)+A541*1024*C530</f>
        <v/>
      </c>
      <c r="D541">
        <f>B541/C541</f>
        <v/>
      </c>
      <c r="E541" t="n">
        <v>0.24</v>
      </c>
      <c r="F541">
        <f>A541*1024/(C541*0.000001)/1000000000*C531</f>
        <v/>
      </c>
      <c r="G541">
        <f>E541/F541</f>
        <v/>
      </c>
    </row>
    <row r="542">
      <c r="A542" t="n">
        <v>128</v>
      </c>
      <c r="B542" t="n">
        <v>534.02</v>
      </c>
      <c r="C542">
        <f>C532*CEILING(A542*1024/(C523*C528*C522),1)+A542*1024*C530</f>
        <v/>
      </c>
      <c r="D542">
        <f>B542/C542</f>
        <v/>
      </c>
      <c r="E542" t="n">
        <v>0.48</v>
      </c>
      <c r="F542">
        <f>A542*1024/(C542*0.000001)/1000000000*C531</f>
        <v/>
      </c>
      <c r="G542">
        <f>E542/F542</f>
        <v/>
      </c>
    </row>
    <row r="543">
      <c r="A543" t="n">
        <v>256</v>
      </c>
      <c r="B543" t="n">
        <v>538.28</v>
      </c>
      <c r="C543">
        <f>C532*CEILING(A543*1024/(C523*C528*C522),1)+A543*1024*C530</f>
        <v/>
      </c>
      <c r="D543">
        <f>B543/C543</f>
        <v/>
      </c>
      <c r="E543" t="n">
        <v>0.96</v>
      </c>
      <c r="F543">
        <f>A543*1024/(C543*0.000001)/1000000000*C531</f>
        <v/>
      </c>
      <c r="G543">
        <f>E543/F543</f>
        <v/>
      </c>
    </row>
    <row r="544">
      <c r="A544" t="n">
        <v>512</v>
      </c>
      <c r="B544" t="n">
        <v>533.51</v>
      </c>
      <c r="C544">
        <f>C532*CEILING(A544*1024/(C523*C528*C522),1)+A544*1024*C530</f>
        <v/>
      </c>
      <c r="D544">
        <f>B544/C544</f>
        <v/>
      </c>
      <c r="E544" t="n">
        <v>1.93</v>
      </c>
      <c r="F544">
        <f>A544*1024/(C544*0.000001)/1000000000*C531</f>
        <v/>
      </c>
      <c r="G544">
        <f>E544/F544</f>
        <v/>
      </c>
    </row>
    <row r="545">
      <c r="A545" t="n">
        <v>1024</v>
      </c>
      <c r="B545" t="n">
        <v>557.35</v>
      </c>
      <c r="C545">
        <f>C532*CEILING(A545*1024/(C523*C528*C522),1)+A545*1024*C530</f>
        <v/>
      </c>
      <c r="D545">
        <f>B545/C545</f>
        <v/>
      </c>
      <c r="E545" t="n">
        <v>3.7</v>
      </c>
      <c r="F545">
        <f>A545*1024/(C545*0.000001)/1000000000*C531</f>
        <v/>
      </c>
      <c r="G545">
        <f>E545/F545</f>
        <v/>
      </c>
    </row>
    <row r="546">
      <c r="A546" t="n">
        <v>2048</v>
      </c>
      <c r="B546" t="n">
        <v>575.48</v>
      </c>
      <c r="C546">
        <f>C532*CEILING(A546*1024/(C523*C528*C522),1)+A546*1024*C530</f>
        <v/>
      </c>
      <c r="D546">
        <f>B546/C546</f>
        <v/>
      </c>
      <c r="E546" t="n">
        <v>7.17</v>
      </c>
      <c r="F546">
        <f>A546*1024/(C546*0.000001)/1000000000*C531</f>
        <v/>
      </c>
      <c r="G546">
        <f>E546/F546</f>
        <v/>
      </c>
    </row>
    <row r="547">
      <c r="A547" t="n">
        <v>4096</v>
      </c>
      <c r="B547" t="n">
        <v>621.15</v>
      </c>
      <c r="C547">
        <f>C532*CEILING(A547*1024/(C523*C528*C522),1)+A547*1024*C530</f>
        <v/>
      </c>
      <c r="D547">
        <f>B547/C547</f>
        <v/>
      </c>
      <c r="E547" t="n">
        <v>13.29</v>
      </c>
      <c r="F547">
        <f>A547*1024/(C547*0.000001)/1000000000*C531</f>
        <v/>
      </c>
      <c r="G547">
        <f>E547/F547</f>
        <v/>
      </c>
    </row>
    <row r="548">
      <c r="A548" t="n">
        <v>8192</v>
      </c>
      <c r="B548" t="n">
        <v>642.47</v>
      </c>
      <c r="C548">
        <f>C532*CEILING(A548*1024/(C523*C528*C522),1)+A548*1024*C530</f>
        <v/>
      </c>
      <c r="D548">
        <f>B548/C548</f>
        <v/>
      </c>
      <c r="E548" t="n">
        <v>25.71</v>
      </c>
      <c r="F548">
        <f>A548*1024/(C548*0.000001)/1000000000*C531</f>
        <v/>
      </c>
      <c r="G548">
        <f>E548/F548</f>
        <v/>
      </c>
    </row>
    <row r="549">
      <c r="A549" t="n">
        <v>16384</v>
      </c>
      <c r="B549" t="n">
        <v>728.24</v>
      </c>
      <c r="C549">
        <f>C532*CEILING(A549*1024/(C523*C528*C522),1)+A549*1024*C530</f>
        <v/>
      </c>
      <c r="D549">
        <f>B549/C549</f>
        <v/>
      </c>
      <c r="E549" t="n">
        <v>45.36</v>
      </c>
      <c r="F549">
        <f>A549*1024/(C549*0.000001)/1000000000*C531</f>
        <v/>
      </c>
      <c r="G549">
        <f>E549/F549</f>
        <v/>
      </c>
    </row>
    <row r="550">
      <c r="A550" t="n">
        <v>32768</v>
      </c>
      <c r="B550" t="n">
        <v>840.9</v>
      </c>
      <c r="C550">
        <f>C532*CEILING(A550*1024/(C523*C528*C522),1)+A550*1024*C530</f>
        <v/>
      </c>
      <c r="D550">
        <f>B550/C550</f>
        <v/>
      </c>
      <c r="E550" t="n">
        <v>78.56</v>
      </c>
      <c r="F550">
        <f>A550*1024/(C550*0.000001)/1000000000*C531</f>
        <v/>
      </c>
      <c r="G550">
        <f>E550/F550</f>
        <v/>
      </c>
    </row>
    <row r="551">
      <c r="A551" t="n">
        <v>65536</v>
      </c>
      <c r="B551" t="n">
        <v>1206.79</v>
      </c>
      <c r="C551">
        <f>C532*CEILING(A551*1024/(C523*C528*C522),1)+A551*1024*C530</f>
        <v/>
      </c>
      <c r="D551">
        <f>B551/C551</f>
        <v/>
      </c>
      <c r="E551" t="n">
        <v>109.48</v>
      </c>
      <c r="F551">
        <f>A551*1024/(C551*0.000001)/1000000000*C531</f>
        <v/>
      </c>
      <c r="G551">
        <f>E551/F551</f>
        <v/>
      </c>
    </row>
    <row r="552">
      <c r="A552" t="n">
        <v>131072</v>
      </c>
      <c r="B552" t="n">
        <v>1915.09</v>
      </c>
      <c r="C552">
        <f>C532*CEILING(A552*1024/(C523*C528*C522),1)+A552*1024*C530</f>
        <v/>
      </c>
      <c r="D552">
        <f>B552/C552</f>
        <v/>
      </c>
      <c r="E552" t="n">
        <v>137.98</v>
      </c>
      <c r="F552">
        <f>A552*1024/(C552*0.000001)/1000000000*C531</f>
        <v/>
      </c>
      <c r="G552">
        <f>E552/F552</f>
        <v/>
      </c>
    </row>
    <row r="553">
      <c r="A553" t="n">
        <v>262144</v>
      </c>
      <c r="B553" t="n">
        <v>3498.11</v>
      </c>
      <c r="C553">
        <f>C532*CEILING(A553*1024/(C523*C528*C522),1)+A553*1024*C530</f>
        <v/>
      </c>
      <c r="D553">
        <f>B553/C553</f>
        <v/>
      </c>
      <c r="E553" t="n">
        <v>151.08</v>
      </c>
      <c r="F553">
        <f>A553*1024/(C553*0.000001)/1000000000*C531</f>
        <v/>
      </c>
      <c r="G553">
        <f>E553/F553</f>
        <v/>
      </c>
    </row>
    <row r="554">
      <c r="A554" t="n">
        <v>524288</v>
      </c>
      <c r="B554" t="n">
        <v>7027.71</v>
      </c>
      <c r="C554">
        <f>C532*CEILING(A554*1024/(C523*C528*C522),1)+A554*1024*C530</f>
        <v/>
      </c>
      <c r="D554">
        <f>B554/C554</f>
        <v/>
      </c>
      <c r="E554" t="n">
        <v>150.4</v>
      </c>
      <c r="F554">
        <f>A554*1024/(C554*0.000001)/1000000000*C531</f>
        <v/>
      </c>
      <c r="G554">
        <f>E554/F554</f>
        <v/>
      </c>
    </row>
    <row r="555">
      <c r="A555" t="n">
        <v>1048576</v>
      </c>
      <c r="B555" t="n">
        <v>13942.5</v>
      </c>
      <c r="C555">
        <f>C532*CEILING(A555*1024/(C523*C528*C522),1)+A555*1024*C530</f>
        <v/>
      </c>
      <c r="D555">
        <f>B555/C555</f>
        <v/>
      </c>
      <c r="E555" t="n">
        <v>151.62</v>
      </c>
      <c r="F555">
        <f>A555*1024/(C555*0.000001)/1000000000*C531</f>
        <v/>
      </c>
      <c r="G555">
        <f>E555/F555</f>
        <v/>
      </c>
    </row>
    <row r="556"/>
    <row r="557">
      <c r="A557" t="inlineStr">
        <is>
          <t>Nodes: 8, Protocol: LL128, Channels: 16</t>
        </is>
      </c>
    </row>
    <row r="558">
      <c r="A558" t="inlineStr">
        <is>
          <t>Parameter</t>
        </is>
      </c>
      <c r="B558" t="inlineStr">
        <is>
          <t>Formula</t>
        </is>
      </c>
      <c r="C558" t="inlineStr">
        <is>
          <t>Value</t>
        </is>
      </c>
    </row>
    <row r="559">
      <c r="A559" t="inlineStr">
        <is>
          <t>N</t>
        </is>
      </c>
      <c r="B559" t="inlineStr">
        <is>
          <t>nodes</t>
        </is>
      </c>
      <c r="C559" t="n">
        <v>8</v>
      </c>
    </row>
    <row r="560">
      <c r="A560" t="inlineStr">
        <is>
          <t>n</t>
        </is>
      </c>
      <c r="B560" t="inlineStr">
        <is>
          <t>GPUs/node</t>
        </is>
      </c>
      <c r="C560" t="n">
        <v>8</v>
      </c>
    </row>
    <row r="561">
      <c r="A561" t="inlineStr">
        <is>
          <t>n_total</t>
        </is>
      </c>
      <c r="B561" t="inlineStr">
        <is>
          <t>N*n</t>
        </is>
      </c>
      <c r="C561" t="n">
        <v>64</v>
      </c>
    </row>
    <row r="562">
      <c r="A562" t="inlineStr">
        <is>
          <t>nch_raw</t>
        </is>
      </c>
      <c r="B562" t="inlineStr">
        <is>
          <t>raw channels</t>
        </is>
      </c>
      <c r="C562" t="n">
        <v>16</v>
      </c>
    </row>
    <row r="563">
      <c r="A563" t="inlineStr">
        <is>
          <t>nch</t>
        </is>
      </c>
      <c r="B563" t="inlineStr">
        <is>
          <t>min(nch_raw,8)</t>
        </is>
      </c>
      <c r="C563" t="n">
        <v>8</v>
      </c>
    </row>
    <row r="564">
      <c r="A564" t="inlineStr">
        <is>
          <t>a</t>
        </is>
      </c>
      <c r="B564" t="inlineStr">
        <is>
          <t>RTT (us)</t>
        </is>
      </c>
      <c r="C564" t="n">
        <v>24.92</v>
      </c>
    </row>
    <row r="565">
      <c r="A565" t="inlineStr">
        <is>
          <t>NIC_BW</t>
        </is>
      </c>
      <c r="B565" t="inlineStr">
        <is>
          <t>bytes/us</t>
        </is>
      </c>
      <c r="C565" t="n">
        <v>48750</v>
      </c>
    </row>
    <row r="566">
      <c r="A566" t="inlineStr">
        <is>
          <t>intra_node_latency</t>
        </is>
      </c>
      <c r="B566" t="inlineStr">
        <is>
          <t>us</t>
        </is>
      </c>
      <c r="C566" t="n">
        <v>8.4</v>
      </c>
    </row>
    <row r="567">
      <c r="A567" t="inlineStr">
        <is>
          <t>chunk_size</t>
        </is>
      </c>
      <c r="B567" t="inlineStr">
        <is>
          <t>bytes</t>
        </is>
      </c>
      <c r="C567" t="n">
        <v>576000</v>
      </c>
    </row>
    <row r="568">
      <c r="A568" t="inlineStr">
        <is>
          <t>G_agg</t>
        </is>
      </c>
      <c r="B568" t="inlineStr">
        <is>
          <t>nch*NIC_BW</t>
        </is>
      </c>
      <c r="C568">
        <f>C563*C565</f>
        <v/>
      </c>
    </row>
    <row r="569">
      <c r="A569" t="inlineStr">
        <is>
          <t>G</t>
        </is>
      </c>
      <c r="B569" t="inlineStr">
        <is>
          <t>(16/15)*2*(n_total-1)/(n_total*G_agg)</t>
        </is>
      </c>
      <c r="C569">
        <f>(16/15)*2*(C561-1)/(C561*C568)</f>
        <v/>
      </c>
    </row>
    <row r="570">
      <c r="A570" t="inlineStr">
        <is>
          <t>busbw_factor</t>
        </is>
      </c>
      <c r="B570" t="inlineStr">
        <is>
          <t>2*(n_total-1)/n_total</t>
        </is>
      </c>
      <c r="C570">
        <f>2*(C561-1)/C561</f>
        <v/>
      </c>
    </row>
    <row r="571">
      <c r="A571" t="inlineStr">
        <is>
          <t>fixed_per_step</t>
        </is>
      </c>
      <c r="B571" t="inlineStr">
        <is>
          <t>(2*N-1)*(a/2+intra)</t>
        </is>
      </c>
      <c r="C571">
        <f>(2*C559-1)*(C564/2+C566)</f>
        <v/>
      </c>
    </row>
    <row r="572"/>
    <row r="573">
      <c r="A573" t="inlineStr">
        <is>
          <t>size_KB</t>
        </is>
      </c>
      <c r="B573" t="inlineStr">
        <is>
          <t>Actual Time (us)</t>
        </is>
      </c>
      <c r="C573" t="inlineStr">
        <is>
          <t>Roofline Time (us)</t>
        </is>
      </c>
      <c r="D573" t="inlineStr">
        <is>
          <t>Actual/Roofline</t>
        </is>
      </c>
      <c r="E573" t="inlineStr">
        <is>
          <t>Actual busBW (GB/s)</t>
        </is>
      </c>
      <c r="F573" t="inlineStr">
        <is>
          <t>Roofline busBW (GB/s)</t>
        </is>
      </c>
      <c r="G573" t="inlineStr">
        <is>
          <t>Meas/Roof busBW</t>
        </is>
      </c>
    </row>
    <row r="574">
      <c r="A574" t="n">
        <v>1</v>
      </c>
      <c r="B574" t="n">
        <v>528.95</v>
      </c>
      <c r="C574">
        <f>C571*CEILING(A574*1024/(C562*C567*C561),1)+A574*1024*C569</f>
        <v/>
      </c>
      <c r="D574">
        <f>B574/C574</f>
        <v/>
      </c>
      <c r="E574" t="n">
        <v>0</v>
      </c>
      <c r="F574">
        <f>A574*1024/(C574*0.000001)/1000000000*C570</f>
        <v/>
      </c>
      <c r="G574">
        <f>E574/F574</f>
        <v/>
      </c>
    </row>
    <row r="575">
      <c r="A575" t="n">
        <v>2</v>
      </c>
      <c r="B575" t="n">
        <v>520.7</v>
      </c>
      <c r="C575">
        <f>C571*CEILING(A575*1024/(C562*C567*C561),1)+A575*1024*C569</f>
        <v/>
      </c>
      <c r="D575">
        <f>B575/C575</f>
        <v/>
      </c>
      <c r="E575" t="n">
        <v>0.01</v>
      </c>
      <c r="F575">
        <f>A575*1024/(C575*0.000001)/1000000000*C570</f>
        <v/>
      </c>
      <c r="G575">
        <f>E575/F575</f>
        <v/>
      </c>
    </row>
    <row r="576">
      <c r="A576" t="n">
        <v>4</v>
      </c>
      <c r="B576" t="n">
        <v>512.86</v>
      </c>
      <c r="C576">
        <f>C571*CEILING(A576*1024/(C562*C567*C561),1)+A576*1024*C569</f>
        <v/>
      </c>
      <c r="D576">
        <f>B576/C576</f>
        <v/>
      </c>
      <c r="E576" t="n">
        <v>0.02</v>
      </c>
      <c r="F576">
        <f>A576*1024/(C576*0.000001)/1000000000*C570</f>
        <v/>
      </c>
      <c r="G576">
        <f>E576/F576</f>
        <v/>
      </c>
    </row>
    <row r="577">
      <c r="A577" t="n">
        <v>8</v>
      </c>
      <c r="B577" t="n">
        <v>515.22</v>
      </c>
      <c r="C577">
        <f>C571*CEILING(A577*1024/(C562*C567*C561),1)+A577*1024*C569</f>
        <v/>
      </c>
      <c r="D577">
        <f>B577/C577</f>
        <v/>
      </c>
      <c r="E577" t="n">
        <v>0.03</v>
      </c>
      <c r="F577">
        <f>A577*1024/(C577*0.000001)/1000000000*C570</f>
        <v/>
      </c>
      <c r="G577">
        <f>E577/F577</f>
        <v/>
      </c>
    </row>
    <row r="578">
      <c r="A578" t="n">
        <v>16</v>
      </c>
      <c r="B578" t="n">
        <v>515.75</v>
      </c>
      <c r="C578">
        <f>C571*CEILING(A578*1024/(C562*C567*C561),1)+A578*1024*C569</f>
        <v/>
      </c>
      <c r="D578">
        <f>B578/C578</f>
        <v/>
      </c>
      <c r="E578" t="n">
        <v>0.06</v>
      </c>
      <c r="F578">
        <f>A578*1024/(C578*0.000001)/1000000000*C570</f>
        <v/>
      </c>
      <c r="G578">
        <f>E578/F578</f>
        <v/>
      </c>
    </row>
    <row r="579">
      <c r="A579" t="n">
        <v>32</v>
      </c>
      <c r="B579" t="n">
        <v>523.2</v>
      </c>
      <c r="C579">
        <f>C571*CEILING(A579*1024/(C562*C567*C561),1)+A579*1024*C569</f>
        <v/>
      </c>
      <c r="D579">
        <f>B579/C579</f>
        <v/>
      </c>
      <c r="E579" t="n">
        <v>0.12</v>
      </c>
      <c r="F579">
        <f>A579*1024/(C579*0.000001)/1000000000*C570</f>
        <v/>
      </c>
      <c r="G579">
        <f>E579/F579</f>
        <v/>
      </c>
    </row>
    <row r="580">
      <c r="A580" t="n">
        <v>64</v>
      </c>
      <c r="B580" t="n">
        <v>524.79</v>
      </c>
      <c r="C580">
        <f>C571*CEILING(A580*1024/(C562*C567*C561),1)+A580*1024*C569</f>
        <v/>
      </c>
      <c r="D580">
        <f>B580/C580</f>
        <v/>
      </c>
      <c r="E580" t="n">
        <v>0.25</v>
      </c>
      <c r="F580">
        <f>A580*1024/(C580*0.000001)/1000000000*C570</f>
        <v/>
      </c>
      <c r="G580">
        <f>E580/F580</f>
        <v/>
      </c>
    </row>
    <row r="581">
      <c r="A581" t="n">
        <v>128</v>
      </c>
      <c r="B581" t="n">
        <v>529.1799999999999</v>
      </c>
      <c r="C581">
        <f>C571*CEILING(A581*1024/(C562*C567*C561),1)+A581*1024*C569</f>
        <v/>
      </c>
      <c r="D581">
        <f>B581/C581</f>
        <v/>
      </c>
      <c r="E581" t="n">
        <v>0.49</v>
      </c>
      <c r="F581">
        <f>A581*1024/(C581*0.000001)/1000000000*C570</f>
        <v/>
      </c>
      <c r="G581">
        <f>E581/F581</f>
        <v/>
      </c>
    </row>
    <row r="582">
      <c r="A582" t="n">
        <v>256</v>
      </c>
      <c r="B582" t="n">
        <v>635.14</v>
      </c>
      <c r="C582">
        <f>C571*CEILING(A582*1024/(C562*C567*C561),1)+A582*1024*C569</f>
        <v/>
      </c>
      <c r="D582">
        <f>B582/C582</f>
        <v/>
      </c>
      <c r="E582" t="n">
        <v>0.8100000000000001</v>
      </c>
      <c r="F582">
        <f>A582*1024/(C582*0.000001)/1000000000*C570</f>
        <v/>
      </c>
      <c r="G582">
        <f>E582/F582</f>
        <v/>
      </c>
    </row>
    <row r="583">
      <c r="A583" t="n">
        <v>512</v>
      </c>
      <c r="B583" t="n">
        <v>636.65</v>
      </c>
      <c r="C583">
        <f>C571*CEILING(A583*1024/(C562*C567*C561),1)+A583*1024*C569</f>
        <v/>
      </c>
      <c r="D583">
        <f>B583/C583</f>
        <v/>
      </c>
      <c r="E583" t="n">
        <v>1.62</v>
      </c>
      <c r="F583">
        <f>A583*1024/(C583*0.000001)/1000000000*C570</f>
        <v/>
      </c>
      <c r="G583">
        <f>E583/F583</f>
        <v/>
      </c>
    </row>
    <row r="584">
      <c r="A584" t="n">
        <v>1024</v>
      </c>
      <c r="B584" t="n">
        <v>633.24</v>
      </c>
      <c r="C584">
        <f>C571*CEILING(A584*1024/(C562*C567*C561),1)+A584*1024*C569</f>
        <v/>
      </c>
      <c r="D584">
        <f>B584/C584</f>
        <v/>
      </c>
      <c r="E584" t="n">
        <v>3.26</v>
      </c>
      <c r="F584">
        <f>A584*1024/(C584*0.000001)/1000000000*C570</f>
        <v/>
      </c>
      <c r="G584">
        <f>E584/F584</f>
        <v/>
      </c>
    </row>
    <row r="585">
      <c r="A585" t="n">
        <v>2048</v>
      </c>
      <c r="B585" t="n">
        <v>648.89</v>
      </c>
      <c r="C585">
        <f>C571*CEILING(A585*1024/(C562*C567*C561),1)+A585*1024*C569</f>
        <v/>
      </c>
      <c r="D585">
        <f>B585/C585</f>
        <v/>
      </c>
      <c r="E585" t="n">
        <v>6.36</v>
      </c>
      <c r="F585">
        <f>A585*1024/(C585*0.000001)/1000000000*C570</f>
        <v/>
      </c>
      <c r="G585">
        <f>E585/F585</f>
        <v/>
      </c>
    </row>
    <row r="586">
      <c r="A586" t="n">
        <v>4096</v>
      </c>
      <c r="B586" t="n">
        <v>642.35</v>
      </c>
      <c r="C586">
        <f>C571*CEILING(A586*1024/(C562*C567*C561),1)+A586*1024*C569</f>
        <v/>
      </c>
      <c r="D586">
        <f>B586/C586</f>
        <v/>
      </c>
      <c r="E586" t="n">
        <v>12.86</v>
      </c>
      <c r="F586">
        <f>A586*1024/(C586*0.000001)/1000000000*C570</f>
        <v/>
      </c>
      <c r="G586">
        <f>E586/F586</f>
        <v/>
      </c>
    </row>
    <row r="587">
      <c r="A587" t="n">
        <v>8192</v>
      </c>
      <c r="B587" t="n">
        <v>678.54</v>
      </c>
      <c r="C587">
        <f>C571*CEILING(A587*1024/(C562*C567*C561),1)+A587*1024*C569</f>
        <v/>
      </c>
      <c r="D587">
        <f>B587/C587</f>
        <v/>
      </c>
      <c r="E587" t="n">
        <v>24.34</v>
      </c>
      <c r="F587">
        <f>A587*1024/(C587*0.000001)/1000000000*C570</f>
        <v/>
      </c>
      <c r="G587">
        <f>E587/F587</f>
        <v/>
      </c>
    </row>
    <row r="588">
      <c r="A588" t="n">
        <v>16384</v>
      </c>
      <c r="B588" t="n">
        <v>725.73</v>
      </c>
      <c r="C588">
        <f>C571*CEILING(A588*1024/(C562*C567*C561),1)+A588*1024*C569</f>
        <v/>
      </c>
      <c r="D588">
        <f>B588/C588</f>
        <v/>
      </c>
      <c r="E588" t="n">
        <v>45.51</v>
      </c>
      <c r="F588">
        <f>A588*1024/(C588*0.000001)/1000000000*C570</f>
        <v/>
      </c>
      <c r="G588">
        <f>E588/F588</f>
        <v/>
      </c>
    </row>
    <row r="589">
      <c r="A589" t="n">
        <v>32768</v>
      </c>
      <c r="B589" t="n">
        <v>794.83</v>
      </c>
      <c r="C589">
        <f>C571*CEILING(A589*1024/(C562*C567*C561),1)+A589*1024*C569</f>
        <v/>
      </c>
      <c r="D589">
        <f>B589/C589</f>
        <v/>
      </c>
      <c r="E589" t="n">
        <v>83.11</v>
      </c>
      <c r="F589">
        <f>A589*1024/(C589*0.000001)/1000000000*C570</f>
        <v/>
      </c>
      <c r="G589">
        <f>E589/F589</f>
        <v/>
      </c>
    </row>
    <row r="590">
      <c r="A590" t="n">
        <v>65536</v>
      </c>
      <c r="B590" t="n">
        <v>911.92</v>
      </c>
      <c r="C590">
        <f>C571*CEILING(A590*1024/(C562*C567*C561),1)+A590*1024*C569</f>
        <v/>
      </c>
      <c r="D590">
        <f>B590/C590</f>
        <v/>
      </c>
      <c r="E590" t="n">
        <v>144.88</v>
      </c>
      <c r="F590">
        <f>A590*1024/(C590*0.000001)/1000000000*C570</f>
        <v/>
      </c>
      <c r="G590">
        <f>E590/F590</f>
        <v/>
      </c>
    </row>
    <row r="591">
      <c r="A591" t="n">
        <v>131072</v>
      </c>
      <c r="B591" t="n">
        <v>1259.81</v>
      </c>
      <c r="C591">
        <f>C571*CEILING(A591*1024/(C562*C567*C561),1)+A591*1024*C569</f>
        <v/>
      </c>
      <c r="D591">
        <f>B591/C591</f>
        <v/>
      </c>
      <c r="E591" t="n">
        <v>209.75</v>
      </c>
      <c r="F591">
        <f>A591*1024/(C591*0.000001)/1000000000*C570</f>
        <v/>
      </c>
      <c r="G591">
        <f>E591/F591</f>
        <v/>
      </c>
    </row>
    <row r="592">
      <c r="A592" t="n">
        <v>262144</v>
      </c>
      <c r="B592" t="n">
        <v>2089.5</v>
      </c>
      <c r="C592">
        <f>C571*CEILING(A592*1024/(C562*C567*C561),1)+A592*1024*C569</f>
        <v/>
      </c>
      <c r="D592">
        <f>B592/C592</f>
        <v/>
      </c>
      <c r="E592" t="n">
        <v>252.92</v>
      </c>
      <c r="F592">
        <f>A592*1024/(C592*0.000001)/1000000000*C570</f>
        <v/>
      </c>
      <c r="G592">
        <f>E592/F592</f>
        <v/>
      </c>
    </row>
    <row r="593">
      <c r="A593" t="n">
        <v>524288</v>
      </c>
      <c r="B593" t="n">
        <v>3716.73</v>
      </c>
      <c r="C593">
        <f>C571*CEILING(A593*1024/(C562*C567*C561),1)+A593*1024*C569</f>
        <v/>
      </c>
      <c r="D593">
        <f>B593/C593</f>
        <v/>
      </c>
      <c r="E593" t="n">
        <v>284.38</v>
      </c>
      <c r="F593">
        <f>A593*1024/(C593*0.000001)/1000000000*C570</f>
        <v/>
      </c>
      <c r="G593">
        <f>E593/F593</f>
        <v/>
      </c>
    </row>
    <row r="594">
      <c r="A594" t="n">
        <v>1048576</v>
      </c>
      <c r="B594" t="n">
        <v>7403.8</v>
      </c>
      <c r="C594">
        <f>C571*CEILING(A594*1024/(C562*C567*C561),1)+A594*1024*C569</f>
        <v/>
      </c>
      <c r="D594">
        <f>B594/C594</f>
        <v/>
      </c>
      <c r="E594" t="n">
        <v>285.52</v>
      </c>
      <c r="F594">
        <f>A594*1024/(C594*0.000001)/1000000000*C570</f>
        <v/>
      </c>
      <c r="G594">
        <f>E594/F594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Nodes: 8, Protocol: Simple, Channels: 1</t>
        </is>
      </c>
    </row>
    <row r="2">
      <c r="A2" t="inlineStr">
        <is>
          <t>Parameter</t>
        </is>
      </c>
      <c r="B2" t="inlineStr">
        <is>
          <t>Formula</t>
        </is>
      </c>
      <c r="C2" t="inlineStr">
        <is>
          <t>Value</t>
        </is>
      </c>
    </row>
    <row r="3">
      <c r="A3" t="inlineStr">
        <is>
          <t>N</t>
        </is>
      </c>
      <c r="B3" t="inlineStr">
        <is>
          <t>nodes</t>
        </is>
      </c>
      <c r="C3" t="n">
        <v>8</v>
      </c>
    </row>
    <row r="4">
      <c r="A4" t="inlineStr">
        <is>
          <t>n</t>
        </is>
      </c>
      <c r="B4" t="inlineStr">
        <is>
          <t>GPUs/node</t>
        </is>
      </c>
      <c r="C4" t="n">
        <v>8</v>
      </c>
    </row>
    <row r="5">
      <c r="A5" t="inlineStr">
        <is>
          <t>n_total</t>
        </is>
      </c>
      <c r="B5" t="inlineStr">
        <is>
          <t>N*n</t>
        </is>
      </c>
      <c r="C5" t="n">
        <v>64</v>
      </c>
    </row>
    <row r="6">
      <c r="A6" t="inlineStr">
        <is>
          <t>nch_raw</t>
        </is>
      </c>
      <c r="B6" t="inlineStr">
        <is>
          <t>raw channels</t>
        </is>
      </c>
      <c r="C6" t="n">
        <v>1</v>
      </c>
    </row>
    <row r="7">
      <c r="A7" t="inlineStr">
        <is>
          <t>nch_eff</t>
        </is>
      </c>
      <c r="B7" t="inlineStr">
        <is>
          <t>min(nch_raw,8)</t>
        </is>
      </c>
      <c r="C7" t="n">
        <v>1</v>
      </c>
    </row>
    <row r="8">
      <c r="A8" t="inlineStr">
        <is>
          <t>a</t>
        </is>
      </c>
      <c r="B8" t="inlineStr">
        <is>
          <t>RTT (us)</t>
        </is>
      </c>
      <c r="C8" t="n">
        <v>24.92</v>
      </c>
    </row>
    <row r="9">
      <c r="A9" t="inlineStr">
        <is>
          <t>NIC_BW</t>
        </is>
      </c>
      <c r="B9" t="inlineStr">
        <is>
          <t>bytes/us</t>
        </is>
      </c>
      <c r="C9" t="n">
        <v>48750</v>
      </c>
    </row>
    <row r="10">
      <c r="A10" t="inlineStr">
        <is>
          <t>intra_node_tree_latency</t>
        </is>
      </c>
      <c r="B10" t="inlineStr">
        <is>
          <t>us</t>
        </is>
      </c>
      <c r="C10" t="n">
        <v>8.4</v>
      </c>
    </row>
    <row r="11">
      <c r="A11" t="inlineStr">
        <is>
          <t>NIC_BW_REAL</t>
        </is>
      </c>
      <c r="B11" t="inlineStr">
        <is>
          <t>nch_eff*NIC_BW/3</t>
        </is>
      </c>
      <c r="C11">
        <f>C7*C9/3</f>
        <v/>
      </c>
    </row>
    <row r="12">
      <c r="A12" t="inlineStr">
        <is>
          <t>G</t>
        </is>
      </c>
      <c r="B12" t="inlineStr">
        <is>
          <t>1/NIC_BW_REAL</t>
        </is>
      </c>
      <c r="C12">
        <f>1/C11</f>
        <v/>
      </c>
    </row>
    <row r="13">
      <c r="A13" t="inlineStr">
        <is>
          <t>busbw_factor</t>
        </is>
      </c>
      <c r="B13" t="inlineStr">
        <is>
          <t>2*(n_total-1)/n_total</t>
        </is>
      </c>
      <c r="C13">
        <f>2*(C5-1)/C5</f>
        <v/>
      </c>
    </row>
    <row r="14">
      <c r="A14" t="inlineStr">
        <is>
          <t>fixed_overhead</t>
        </is>
      </c>
      <c r="B14" t="inlineStr">
        <is>
          <t>(2*LOG2(N)+1)*a/2+2*intra</t>
        </is>
      </c>
      <c r="C14">
        <f>(2*LOG(C3,2)+1)*C8/2+2*C10</f>
        <v/>
      </c>
    </row>
    <row r="15"/>
    <row r="16">
      <c r="A16" t="inlineStr">
        <is>
          <t>size_KB</t>
        </is>
      </c>
      <c r="B16" t="inlineStr">
        <is>
          <t>Actual Time (us)</t>
        </is>
      </c>
      <c r="C16" t="inlineStr">
        <is>
          <t>Roofline Time (us)</t>
        </is>
      </c>
      <c r="D16" t="inlineStr">
        <is>
          <t>Actual/Roofline</t>
        </is>
      </c>
      <c r="E16" t="inlineStr">
        <is>
          <t>Actual busBW (GB/s)</t>
        </is>
      </c>
      <c r="F16" t="inlineStr">
        <is>
          <t>Roofline busBW (GB/s)</t>
        </is>
      </c>
      <c r="G16" t="inlineStr">
        <is>
          <t>Meas/Roof busBW</t>
        </is>
      </c>
    </row>
    <row r="17">
      <c r="A17" t="n">
        <v>1</v>
      </c>
      <c r="B17" t="n">
        <v>199.53</v>
      </c>
      <c r="C17">
        <f>C14+A17*1024*C12</f>
        <v/>
      </c>
      <c r="D17">
        <f>B17/C17</f>
        <v/>
      </c>
      <c r="E17" t="n">
        <v>0.01</v>
      </c>
      <c r="F17">
        <f>A17*1024/(C17*0.000001)/1000000000*C13</f>
        <v/>
      </c>
      <c r="G17">
        <f>E17/F17</f>
        <v/>
      </c>
    </row>
    <row r="18">
      <c r="A18" t="n">
        <v>2</v>
      </c>
      <c r="B18" t="n">
        <v>182.9</v>
      </c>
      <c r="C18">
        <f>C14+A18*1024*C12</f>
        <v/>
      </c>
      <c r="D18">
        <f>B18/C18</f>
        <v/>
      </c>
      <c r="E18" t="n">
        <v>0.02</v>
      </c>
      <c r="F18">
        <f>A18*1024/(C18*0.000001)/1000000000*C13</f>
        <v/>
      </c>
      <c r="G18">
        <f>E18/F18</f>
        <v/>
      </c>
    </row>
    <row r="19">
      <c r="A19" t="n">
        <v>4</v>
      </c>
      <c r="B19" t="n">
        <v>189.82</v>
      </c>
      <c r="C19">
        <f>C14+A19*1024*C12</f>
        <v/>
      </c>
      <c r="D19">
        <f>B19/C19</f>
        <v/>
      </c>
      <c r="E19" t="n">
        <v>0.04</v>
      </c>
      <c r="F19">
        <f>A19*1024/(C19*0.000001)/1000000000*C13</f>
        <v/>
      </c>
      <c r="G19">
        <f>E19/F19</f>
        <v/>
      </c>
    </row>
    <row r="20">
      <c r="A20" t="n">
        <v>8</v>
      </c>
      <c r="B20" t="n">
        <v>202.59</v>
      </c>
      <c r="C20">
        <f>C14+A20*1024*C12</f>
        <v/>
      </c>
      <c r="D20">
        <f>B20/C20</f>
        <v/>
      </c>
      <c r="E20" t="n">
        <v>0.08</v>
      </c>
      <c r="F20">
        <f>A20*1024/(C20*0.000001)/1000000000*C13</f>
        <v/>
      </c>
      <c r="G20">
        <f>E20/F20</f>
        <v/>
      </c>
    </row>
    <row r="21">
      <c r="A21" t="n">
        <v>16</v>
      </c>
      <c r="B21" t="n">
        <v>233.76</v>
      </c>
      <c r="C21">
        <f>C14+A21*1024*C12</f>
        <v/>
      </c>
      <c r="D21">
        <f>B21/C21</f>
        <v/>
      </c>
      <c r="E21" t="n">
        <v>0.14</v>
      </c>
      <c r="F21">
        <f>A21*1024/(C21*0.000001)/1000000000*C13</f>
        <v/>
      </c>
      <c r="G21">
        <f>E21/F21</f>
        <v/>
      </c>
    </row>
    <row r="22">
      <c r="A22" t="n">
        <v>32</v>
      </c>
      <c r="B22" t="n">
        <v>264.84</v>
      </c>
      <c r="C22">
        <f>C14+A22*1024*C12</f>
        <v/>
      </c>
      <c r="D22">
        <f>B22/C22</f>
        <v/>
      </c>
      <c r="E22" t="n">
        <v>0.24</v>
      </c>
      <c r="F22">
        <f>A22*1024/(C22*0.000001)/1000000000*C13</f>
        <v/>
      </c>
      <c r="G22">
        <f>E22/F22</f>
        <v/>
      </c>
    </row>
    <row r="23">
      <c r="A23" t="n">
        <v>64</v>
      </c>
      <c r="B23" t="n">
        <v>308.16</v>
      </c>
      <c r="C23">
        <f>C14+A23*1024*C12</f>
        <v/>
      </c>
      <c r="D23">
        <f>B23/C23</f>
        <v/>
      </c>
      <c r="E23" t="n">
        <v>0.42</v>
      </c>
      <c r="F23">
        <f>A23*1024/(C23*0.000001)/1000000000*C13</f>
        <v/>
      </c>
      <c r="G23">
        <f>E23/F23</f>
        <v/>
      </c>
    </row>
    <row r="24">
      <c r="A24" t="n">
        <v>128</v>
      </c>
      <c r="B24" t="n">
        <v>391.76</v>
      </c>
      <c r="C24">
        <f>C14+A24*1024*C12</f>
        <v/>
      </c>
      <c r="D24">
        <f>B24/C24</f>
        <v/>
      </c>
      <c r="E24" t="n">
        <v>0.66</v>
      </c>
      <c r="F24">
        <f>A24*1024/(C24*0.000001)/1000000000*C13</f>
        <v/>
      </c>
      <c r="G24">
        <f>E24/F24</f>
        <v/>
      </c>
    </row>
    <row r="25">
      <c r="A25" t="n">
        <v>256</v>
      </c>
      <c r="B25" t="n">
        <v>519.77</v>
      </c>
      <c r="C25">
        <f>C14+A25*1024*C12</f>
        <v/>
      </c>
      <c r="D25">
        <f>B25/C25</f>
        <v/>
      </c>
      <c r="E25" t="n">
        <v>0.99</v>
      </c>
      <c r="F25">
        <f>A25*1024/(C25*0.000001)/1000000000*C13</f>
        <v/>
      </c>
      <c r="G25">
        <f>E25/F25</f>
        <v/>
      </c>
    </row>
    <row r="26">
      <c r="A26" t="n">
        <v>512</v>
      </c>
      <c r="B26" t="n">
        <v>800.08</v>
      </c>
      <c r="C26">
        <f>C14+A26*1024*C12</f>
        <v/>
      </c>
      <c r="D26">
        <f>B26/C26</f>
        <v/>
      </c>
      <c r="E26" t="n">
        <v>1.29</v>
      </c>
      <c r="F26">
        <f>A26*1024/(C26*0.000001)/1000000000*C13</f>
        <v/>
      </c>
      <c r="G26">
        <f>E26/F26</f>
        <v/>
      </c>
    </row>
    <row r="27">
      <c r="A27" t="n">
        <v>1024</v>
      </c>
      <c r="B27" t="n">
        <v>1360</v>
      </c>
      <c r="C27">
        <f>C14+A27*1024*C12</f>
        <v/>
      </c>
      <c r="D27">
        <f>B27/C27</f>
        <v/>
      </c>
      <c r="E27" t="n">
        <v>1.52</v>
      </c>
      <c r="F27">
        <f>A27*1024/(C27*0.000001)/1000000000*C13</f>
        <v/>
      </c>
      <c r="G27">
        <f>E27/F27</f>
        <v/>
      </c>
    </row>
    <row r="28">
      <c r="A28" t="n">
        <v>2048</v>
      </c>
      <c r="B28" t="n">
        <v>1450.63</v>
      </c>
      <c r="C28">
        <f>C14+A28*1024*C12</f>
        <v/>
      </c>
      <c r="D28">
        <f>B28/C28</f>
        <v/>
      </c>
      <c r="E28" t="n">
        <v>2.85</v>
      </c>
      <c r="F28">
        <f>A28*1024/(C28*0.000001)/1000000000*C13</f>
        <v/>
      </c>
      <c r="G28">
        <f>E28/F28</f>
        <v/>
      </c>
    </row>
    <row r="29">
      <c r="A29" t="n">
        <v>4096</v>
      </c>
      <c r="B29" t="n">
        <v>1631.53</v>
      </c>
      <c r="C29">
        <f>C14+A29*1024*C12</f>
        <v/>
      </c>
      <c r="D29">
        <f>B29/C29</f>
        <v/>
      </c>
      <c r="E29" t="n">
        <v>5.06</v>
      </c>
      <c r="F29">
        <f>A29*1024/(C29*0.000001)/1000000000*C13</f>
        <v/>
      </c>
      <c r="G29">
        <f>E29/F29</f>
        <v/>
      </c>
    </row>
    <row r="30">
      <c r="A30" t="n">
        <v>8192</v>
      </c>
      <c r="B30" t="n">
        <v>2240.89</v>
      </c>
      <c r="C30">
        <f>C14+A30*1024*C12</f>
        <v/>
      </c>
      <c r="D30">
        <f>B30/C30</f>
        <v/>
      </c>
      <c r="E30" t="n">
        <v>7.37</v>
      </c>
      <c r="F30">
        <f>A30*1024/(C30*0.000001)/1000000000*C13</f>
        <v/>
      </c>
      <c r="G30">
        <f>E30/F30</f>
        <v/>
      </c>
    </row>
    <row r="31">
      <c r="A31" t="n">
        <v>16384</v>
      </c>
      <c r="B31" t="n">
        <v>3247.3</v>
      </c>
      <c r="C31">
        <f>C14+A31*1024*C12</f>
        <v/>
      </c>
      <c r="D31">
        <f>B31/C31</f>
        <v/>
      </c>
      <c r="E31" t="n">
        <v>10.17</v>
      </c>
      <c r="F31">
        <f>A31*1024/(C31*0.000001)/1000000000*C13</f>
        <v/>
      </c>
      <c r="G31">
        <f>E31/F31</f>
        <v/>
      </c>
    </row>
    <row r="32">
      <c r="A32" t="n">
        <v>32768</v>
      </c>
      <c r="B32" t="n">
        <v>5326.48</v>
      </c>
      <c r="C32">
        <f>C14+A32*1024*C12</f>
        <v/>
      </c>
      <c r="D32">
        <f>B32/C32</f>
        <v/>
      </c>
      <c r="E32" t="n">
        <v>12.4</v>
      </c>
      <c r="F32">
        <f>A32*1024/(C32*0.000001)/1000000000*C13</f>
        <v/>
      </c>
      <c r="G32">
        <f>E32/F32</f>
        <v/>
      </c>
    </row>
    <row r="33">
      <c r="A33" t="n">
        <v>65536</v>
      </c>
      <c r="B33" t="n">
        <v>9496.4</v>
      </c>
      <c r="C33">
        <f>C14+A33*1024*C12</f>
        <v/>
      </c>
      <c r="D33">
        <f>B33/C33</f>
        <v/>
      </c>
      <c r="E33" t="n">
        <v>13.91</v>
      </c>
      <c r="F33">
        <f>A33*1024/(C33*0.000001)/1000000000*C13</f>
        <v/>
      </c>
      <c r="G33">
        <f>E33/F33</f>
        <v/>
      </c>
    </row>
    <row r="34">
      <c r="A34" t="n">
        <v>131072</v>
      </c>
      <c r="B34" t="n">
        <v>17934.6</v>
      </c>
      <c r="C34">
        <f>C14+A34*1024*C12</f>
        <v/>
      </c>
      <c r="D34">
        <f>B34/C34</f>
        <v/>
      </c>
      <c r="E34" t="n">
        <v>14.73</v>
      </c>
      <c r="F34">
        <f>A34*1024/(C34*0.000001)/1000000000*C13</f>
        <v/>
      </c>
      <c r="G34">
        <f>E34/F34</f>
        <v/>
      </c>
    </row>
    <row r="35">
      <c r="A35" t="n">
        <v>262144</v>
      </c>
      <c r="B35" t="n">
        <v>34831.8</v>
      </c>
      <c r="C35">
        <f>C14+A35*1024*C12</f>
        <v/>
      </c>
      <c r="D35">
        <f>B35/C35</f>
        <v/>
      </c>
      <c r="E35" t="n">
        <v>15.17</v>
      </c>
      <c r="F35">
        <f>A35*1024/(C35*0.000001)/1000000000*C13</f>
        <v/>
      </c>
      <c r="G35">
        <f>E35/F35</f>
        <v/>
      </c>
    </row>
    <row r="36">
      <c r="A36" t="n">
        <v>524288</v>
      </c>
      <c r="B36" t="n">
        <v>68630.39999999999</v>
      </c>
      <c r="C36">
        <f>C14+A36*1024*C12</f>
        <v/>
      </c>
      <c r="D36">
        <f>B36/C36</f>
        <v/>
      </c>
      <c r="E36" t="n">
        <v>15.4</v>
      </c>
      <c r="F36">
        <f>A36*1024/(C36*0.000001)/1000000000*C13</f>
        <v/>
      </c>
      <c r="G36">
        <f>E36/F36</f>
        <v/>
      </c>
    </row>
    <row r="37">
      <c r="A37" t="n">
        <v>1048576</v>
      </c>
      <c r="B37" t="n">
        <v>136184</v>
      </c>
      <c r="C37">
        <f>C14+A37*1024*C12</f>
        <v/>
      </c>
      <c r="D37">
        <f>B37/C37</f>
        <v/>
      </c>
      <c r="E37" t="n">
        <v>15.52</v>
      </c>
      <c r="F37">
        <f>A37*1024/(C37*0.000001)/1000000000*C13</f>
        <v/>
      </c>
      <c r="G37">
        <f>E37/F37</f>
        <v/>
      </c>
    </row>
    <row r="38">
      <c r="A38" t="n">
        <v>2097152</v>
      </c>
      <c r="B38" t="n">
        <v>271337</v>
      </c>
      <c r="C38">
        <f>C14+A38*1024*C12</f>
        <v/>
      </c>
      <c r="D38">
        <f>B38/C38</f>
        <v/>
      </c>
      <c r="E38" t="n">
        <v>15.58</v>
      </c>
      <c r="F38">
        <f>A38*1024/(C38*0.000001)/1000000000*C13</f>
        <v/>
      </c>
      <c r="G38">
        <f>E38/F38</f>
        <v/>
      </c>
    </row>
    <row r="39">
      <c r="A39" t="n">
        <v>4194304</v>
      </c>
      <c r="B39" t="n">
        <v>541439</v>
      </c>
      <c r="C39">
        <f>C14+A39*1024*C12</f>
        <v/>
      </c>
      <c r="D39">
        <f>B39/C39</f>
        <v/>
      </c>
      <c r="E39" t="n">
        <v>15.62</v>
      </c>
      <c r="F39">
        <f>A39*1024/(C39*0.000001)/1000000000*C13</f>
        <v/>
      </c>
      <c r="G39">
        <f>E39/F39</f>
        <v/>
      </c>
    </row>
    <row r="40"/>
    <row r="41">
      <c r="A41" t="inlineStr">
        <is>
          <t>Nodes: 8, Protocol: Simple, Channels: 2</t>
        </is>
      </c>
    </row>
    <row r="42">
      <c r="A42" t="inlineStr">
        <is>
          <t>Parameter</t>
        </is>
      </c>
      <c r="B42" t="inlineStr">
        <is>
          <t>Formula</t>
        </is>
      </c>
      <c r="C42" t="inlineStr">
        <is>
          <t>Value</t>
        </is>
      </c>
    </row>
    <row r="43">
      <c r="A43" t="inlineStr">
        <is>
          <t>N</t>
        </is>
      </c>
      <c r="B43" t="inlineStr">
        <is>
          <t>nodes</t>
        </is>
      </c>
      <c r="C43" t="n">
        <v>8</v>
      </c>
    </row>
    <row r="44">
      <c r="A44" t="inlineStr">
        <is>
          <t>n</t>
        </is>
      </c>
      <c r="B44" t="inlineStr">
        <is>
          <t>GPUs/node</t>
        </is>
      </c>
      <c r="C44" t="n">
        <v>8</v>
      </c>
    </row>
    <row r="45">
      <c r="A45" t="inlineStr">
        <is>
          <t>n_total</t>
        </is>
      </c>
      <c r="B45" t="inlineStr">
        <is>
          <t>N*n</t>
        </is>
      </c>
      <c r="C45" t="n">
        <v>64</v>
      </c>
    </row>
    <row r="46">
      <c r="A46" t="inlineStr">
        <is>
          <t>nch_raw</t>
        </is>
      </c>
      <c r="B46" t="inlineStr">
        <is>
          <t>raw channels</t>
        </is>
      </c>
      <c r="C46" t="n">
        <v>2</v>
      </c>
    </row>
    <row r="47">
      <c r="A47" t="inlineStr">
        <is>
          <t>nch_eff</t>
        </is>
      </c>
      <c r="B47" t="inlineStr">
        <is>
          <t>min(nch_raw,8)</t>
        </is>
      </c>
      <c r="C47" t="n">
        <v>2</v>
      </c>
    </row>
    <row r="48">
      <c r="A48" t="inlineStr">
        <is>
          <t>a</t>
        </is>
      </c>
      <c r="B48" t="inlineStr">
        <is>
          <t>RTT (us)</t>
        </is>
      </c>
      <c r="C48" t="n">
        <v>24.92</v>
      </c>
    </row>
    <row r="49">
      <c r="A49" t="inlineStr">
        <is>
          <t>NIC_BW</t>
        </is>
      </c>
      <c r="B49" t="inlineStr">
        <is>
          <t>bytes/us</t>
        </is>
      </c>
      <c r="C49" t="n">
        <v>48750</v>
      </c>
    </row>
    <row r="50">
      <c r="A50" t="inlineStr">
        <is>
          <t>intra_node_tree_latency</t>
        </is>
      </c>
      <c r="B50" t="inlineStr">
        <is>
          <t>us</t>
        </is>
      </c>
      <c r="C50" t="n">
        <v>8.4</v>
      </c>
    </row>
    <row r="51">
      <c r="A51" t="inlineStr">
        <is>
          <t>NIC_BW_REAL</t>
        </is>
      </c>
      <c r="B51" t="inlineStr">
        <is>
          <t>nch_eff*NIC_BW/3</t>
        </is>
      </c>
      <c r="C51">
        <f>C47*C49/3</f>
        <v/>
      </c>
    </row>
    <row r="52">
      <c r="A52" t="inlineStr">
        <is>
          <t>G</t>
        </is>
      </c>
      <c r="B52" t="inlineStr">
        <is>
          <t>1/NIC_BW_REAL</t>
        </is>
      </c>
      <c r="C52">
        <f>1/C51</f>
        <v/>
      </c>
    </row>
    <row r="53">
      <c r="A53" t="inlineStr">
        <is>
          <t>busbw_factor</t>
        </is>
      </c>
      <c r="B53" t="inlineStr">
        <is>
          <t>2*(n_total-1)/n_total</t>
        </is>
      </c>
      <c r="C53">
        <f>2*(C45-1)/C45</f>
        <v/>
      </c>
    </row>
    <row r="54">
      <c r="A54" t="inlineStr">
        <is>
          <t>fixed_overhead</t>
        </is>
      </c>
      <c r="B54" t="inlineStr">
        <is>
          <t>(2*LOG2(N)+1)*a/2+2*intra</t>
        </is>
      </c>
      <c r="C54">
        <f>(2*LOG(C43,2)+1)*C48/2+2*C50</f>
        <v/>
      </c>
    </row>
    <row r="55"/>
    <row r="56">
      <c r="A56" t="inlineStr">
        <is>
          <t>size_KB</t>
        </is>
      </c>
      <c r="B56" t="inlineStr">
        <is>
          <t>Actual Time (us)</t>
        </is>
      </c>
      <c r="C56" t="inlineStr">
        <is>
          <t>Roofline Time (us)</t>
        </is>
      </c>
      <c r="D56" t="inlineStr">
        <is>
          <t>Actual/Roofline</t>
        </is>
      </c>
      <c r="E56" t="inlineStr">
        <is>
          <t>Actual busBW (GB/s)</t>
        </is>
      </c>
      <c r="F56" t="inlineStr">
        <is>
          <t>Roofline busBW (GB/s)</t>
        </is>
      </c>
      <c r="G56" t="inlineStr">
        <is>
          <t>Meas/Roof busBW</t>
        </is>
      </c>
    </row>
    <row r="57">
      <c r="A57" t="n">
        <v>1</v>
      </c>
      <c r="B57" t="n">
        <v>192.44</v>
      </c>
      <c r="C57">
        <f>C54+A57*1024*C52</f>
        <v/>
      </c>
      <c r="D57">
        <f>B57/C57</f>
        <v/>
      </c>
      <c r="E57" t="n">
        <v>0.01</v>
      </c>
      <c r="F57">
        <f>A57*1024/(C57*0.000001)/1000000000*C53</f>
        <v/>
      </c>
      <c r="G57">
        <f>E57/F57</f>
        <v/>
      </c>
    </row>
    <row r="58">
      <c r="A58" t="n">
        <v>2</v>
      </c>
      <c r="B58" t="n">
        <v>188.21</v>
      </c>
      <c r="C58">
        <f>C54+A58*1024*C52</f>
        <v/>
      </c>
      <c r="D58">
        <f>B58/C58</f>
        <v/>
      </c>
      <c r="E58" t="n">
        <v>0.02</v>
      </c>
      <c r="F58">
        <f>A58*1024/(C58*0.000001)/1000000000*C53</f>
        <v/>
      </c>
      <c r="G58">
        <f>E58/F58</f>
        <v/>
      </c>
    </row>
    <row r="59">
      <c r="A59" t="n">
        <v>4</v>
      </c>
      <c r="B59" t="n">
        <v>189.66</v>
      </c>
      <c r="C59">
        <f>C54+A59*1024*C52</f>
        <v/>
      </c>
      <c r="D59">
        <f>B59/C59</f>
        <v/>
      </c>
      <c r="E59" t="n">
        <v>0.04</v>
      </c>
      <c r="F59">
        <f>A59*1024/(C59*0.000001)/1000000000*C53</f>
        <v/>
      </c>
      <c r="G59">
        <f>E59/F59</f>
        <v/>
      </c>
    </row>
    <row r="60">
      <c r="A60" t="n">
        <v>8</v>
      </c>
      <c r="B60" t="n">
        <v>203.12</v>
      </c>
      <c r="C60">
        <f>C54+A60*1024*C52</f>
        <v/>
      </c>
      <c r="D60">
        <f>B60/C60</f>
        <v/>
      </c>
      <c r="E60" t="n">
        <v>0.08</v>
      </c>
      <c r="F60">
        <f>A60*1024/(C60*0.000001)/1000000000*C53</f>
        <v/>
      </c>
      <c r="G60">
        <f>E60/F60</f>
        <v/>
      </c>
    </row>
    <row r="61">
      <c r="A61" t="n">
        <v>16</v>
      </c>
      <c r="B61" t="n">
        <v>234.24</v>
      </c>
      <c r="C61">
        <f>C54+A61*1024*C52</f>
        <v/>
      </c>
      <c r="D61">
        <f>B61/C61</f>
        <v/>
      </c>
      <c r="E61" t="n">
        <v>0.14</v>
      </c>
      <c r="F61">
        <f>A61*1024/(C61*0.000001)/1000000000*C53</f>
        <v/>
      </c>
      <c r="G61">
        <f>E61/F61</f>
        <v/>
      </c>
    </row>
    <row r="62">
      <c r="A62" t="n">
        <v>32</v>
      </c>
      <c r="B62" t="n">
        <v>264.5</v>
      </c>
      <c r="C62">
        <f>C54+A62*1024*C52</f>
        <v/>
      </c>
      <c r="D62">
        <f>B62/C62</f>
        <v/>
      </c>
      <c r="E62" t="n">
        <v>0.24</v>
      </c>
      <c r="F62">
        <f>A62*1024/(C62*0.000001)/1000000000*C53</f>
        <v/>
      </c>
      <c r="G62">
        <f>E62/F62</f>
        <v/>
      </c>
    </row>
    <row r="63">
      <c r="A63" t="n">
        <v>64</v>
      </c>
      <c r="B63" t="n">
        <v>265.72</v>
      </c>
      <c r="C63">
        <f>C54+A63*1024*C52</f>
        <v/>
      </c>
      <c r="D63">
        <f>B63/C63</f>
        <v/>
      </c>
      <c r="E63" t="n">
        <v>0.49</v>
      </c>
      <c r="F63">
        <f>A63*1024/(C63*0.000001)/1000000000*C53</f>
        <v/>
      </c>
      <c r="G63">
        <f>E63/F63</f>
        <v/>
      </c>
    </row>
    <row r="64">
      <c r="A64" t="n">
        <v>128</v>
      </c>
      <c r="B64" t="n">
        <v>311.39</v>
      </c>
      <c r="C64">
        <f>C54+A64*1024*C52</f>
        <v/>
      </c>
      <c r="D64">
        <f>B64/C64</f>
        <v/>
      </c>
      <c r="E64" t="n">
        <v>0.83</v>
      </c>
      <c r="F64">
        <f>A64*1024/(C64*0.000001)/1000000000*C53</f>
        <v/>
      </c>
      <c r="G64">
        <f>E64/F64</f>
        <v/>
      </c>
    </row>
    <row r="65">
      <c r="A65" t="n">
        <v>256</v>
      </c>
      <c r="B65" t="n">
        <v>397.15</v>
      </c>
      <c r="C65">
        <f>C54+A65*1024*C52</f>
        <v/>
      </c>
      <c r="D65">
        <f>B65/C65</f>
        <v/>
      </c>
      <c r="E65" t="n">
        <v>1.3</v>
      </c>
      <c r="F65">
        <f>A65*1024/(C65*0.000001)/1000000000*C53</f>
        <v/>
      </c>
      <c r="G65">
        <f>E65/F65</f>
        <v/>
      </c>
    </row>
    <row r="66">
      <c r="A66" t="n">
        <v>512</v>
      </c>
      <c r="B66" t="n">
        <v>524.87</v>
      </c>
      <c r="C66">
        <f>C54+A66*1024*C52</f>
        <v/>
      </c>
      <c r="D66">
        <f>B66/C66</f>
        <v/>
      </c>
      <c r="E66" t="n">
        <v>1.97</v>
      </c>
      <c r="F66">
        <f>A66*1024/(C66*0.000001)/1000000000*C53</f>
        <v/>
      </c>
      <c r="G66">
        <f>E66/F66</f>
        <v/>
      </c>
    </row>
    <row r="67">
      <c r="A67" t="n">
        <v>1024</v>
      </c>
      <c r="B67" t="n">
        <v>803.71</v>
      </c>
      <c r="C67">
        <f>C54+A67*1024*C52</f>
        <v/>
      </c>
      <c r="D67">
        <f>B67/C67</f>
        <v/>
      </c>
      <c r="E67" t="n">
        <v>2.57</v>
      </c>
      <c r="F67">
        <f>A67*1024/(C67*0.000001)/1000000000*C53</f>
        <v/>
      </c>
      <c r="G67">
        <f>E67/F67</f>
        <v/>
      </c>
    </row>
    <row r="68">
      <c r="A68" t="n">
        <v>2048</v>
      </c>
      <c r="B68" t="n">
        <v>1368.94</v>
      </c>
      <c r="C68">
        <f>C54+A68*1024*C52</f>
        <v/>
      </c>
      <c r="D68">
        <f>B68/C68</f>
        <v/>
      </c>
      <c r="E68" t="n">
        <v>3.02</v>
      </c>
      <c r="F68">
        <f>A68*1024/(C68*0.000001)/1000000000*C53</f>
        <v/>
      </c>
      <c r="G68">
        <f>E68/F68</f>
        <v/>
      </c>
    </row>
    <row r="69">
      <c r="A69" t="n">
        <v>4096</v>
      </c>
      <c r="B69" t="n">
        <v>1460.89</v>
      </c>
      <c r="C69">
        <f>C54+A69*1024*C52</f>
        <v/>
      </c>
      <c r="D69">
        <f>B69/C69</f>
        <v/>
      </c>
      <c r="E69" t="n">
        <v>5.65</v>
      </c>
      <c r="F69">
        <f>A69*1024/(C69*0.000001)/1000000000*C53</f>
        <v/>
      </c>
      <c r="G69">
        <f>E69/F69</f>
        <v/>
      </c>
    </row>
    <row r="70">
      <c r="A70" t="n">
        <v>8192</v>
      </c>
      <c r="B70" t="n">
        <v>1666.66</v>
      </c>
      <c r="C70">
        <f>C54+A70*1024*C52</f>
        <v/>
      </c>
      <c r="D70">
        <f>B70/C70</f>
        <v/>
      </c>
      <c r="E70" t="n">
        <v>9.91</v>
      </c>
      <c r="F70">
        <f>A70*1024/(C70*0.000001)/1000000000*C53</f>
        <v/>
      </c>
      <c r="G70">
        <f>E70/F70</f>
        <v/>
      </c>
    </row>
    <row r="71">
      <c r="A71" t="n">
        <v>16384</v>
      </c>
      <c r="B71" t="n">
        <v>2259.14</v>
      </c>
      <c r="C71">
        <f>C54+A71*1024*C52</f>
        <v/>
      </c>
      <c r="D71">
        <f>B71/C71</f>
        <v/>
      </c>
      <c r="E71" t="n">
        <v>14.62</v>
      </c>
      <c r="F71">
        <f>A71*1024/(C71*0.000001)/1000000000*C53</f>
        <v/>
      </c>
      <c r="G71">
        <f>E71/F71</f>
        <v/>
      </c>
    </row>
    <row r="72">
      <c r="A72" t="n">
        <v>32768</v>
      </c>
      <c r="B72" t="n">
        <v>3317.78</v>
      </c>
      <c r="C72">
        <f>C54+A72*1024*C52</f>
        <v/>
      </c>
      <c r="D72">
        <f>B72/C72</f>
        <v/>
      </c>
      <c r="E72" t="n">
        <v>19.91</v>
      </c>
      <c r="F72">
        <f>A72*1024/(C72*0.000001)/1000000000*C53</f>
        <v/>
      </c>
      <c r="G72">
        <f>E72/F72</f>
        <v/>
      </c>
    </row>
    <row r="73">
      <c r="A73" t="n">
        <v>65536</v>
      </c>
      <c r="B73" t="n">
        <v>5466.42</v>
      </c>
      <c r="C73">
        <f>C54+A73*1024*C52</f>
        <v/>
      </c>
      <c r="D73">
        <f>B73/C73</f>
        <v/>
      </c>
      <c r="E73" t="n">
        <v>24.17</v>
      </c>
      <c r="F73">
        <f>A73*1024/(C73*0.000001)/1000000000*C53</f>
        <v/>
      </c>
      <c r="G73">
        <f>E73/F73</f>
        <v/>
      </c>
    </row>
    <row r="74">
      <c r="A74" t="n">
        <v>131072</v>
      </c>
      <c r="B74" t="n">
        <v>9729.809999999999</v>
      </c>
      <c r="C74">
        <f>C54+A74*1024*C52</f>
        <v/>
      </c>
      <c r="D74">
        <f>B74/C74</f>
        <v/>
      </c>
      <c r="E74" t="n">
        <v>27.16</v>
      </c>
      <c r="F74">
        <f>A74*1024/(C74*0.000001)/1000000000*C53</f>
        <v/>
      </c>
      <c r="G74">
        <f>E74/F74</f>
        <v/>
      </c>
    </row>
    <row r="75">
      <c r="A75" t="n">
        <v>262144</v>
      </c>
      <c r="B75" t="n">
        <v>18339.5</v>
      </c>
      <c r="C75">
        <f>C54+A75*1024*C52</f>
        <v/>
      </c>
      <c r="D75">
        <f>B75/C75</f>
        <v/>
      </c>
      <c r="E75" t="n">
        <v>28.82</v>
      </c>
      <c r="F75">
        <f>A75*1024/(C75*0.000001)/1000000000*C53</f>
        <v/>
      </c>
      <c r="G75">
        <f>E75/F75</f>
        <v/>
      </c>
    </row>
    <row r="76">
      <c r="A76" t="n">
        <v>524288</v>
      </c>
      <c r="B76" t="n">
        <v>35395.1</v>
      </c>
      <c r="C76">
        <f>C54+A76*1024*C52</f>
        <v/>
      </c>
      <c r="D76">
        <f>B76/C76</f>
        <v/>
      </c>
      <c r="E76" t="n">
        <v>29.86</v>
      </c>
      <c r="F76">
        <f>A76*1024/(C76*0.000001)/1000000000*C53</f>
        <v/>
      </c>
      <c r="G76">
        <f>E76/F76</f>
        <v/>
      </c>
    </row>
    <row r="77">
      <c r="A77" t="n">
        <v>1048576</v>
      </c>
      <c r="B77" t="n">
        <v>69468.10000000001</v>
      </c>
      <c r="C77">
        <f>C54+A77*1024*C52</f>
        <v/>
      </c>
      <c r="D77">
        <f>B77/C77</f>
        <v/>
      </c>
      <c r="E77" t="n">
        <v>30.43</v>
      </c>
      <c r="F77">
        <f>A77*1024/(C77*0.000001)/1000000000*C53</f>
        <v/>
      </c>
      <c r="G77">
        <f>E77/F77</f>
        <v/>
      </c>
    </row>
    <row r="78">
      <c r="A78" t="n">
        <v>2097152</v>
      </c>
      <c r="B78" t="n">
        <v>137473</v>
      </c>
      <c r="C78">
        <f>C54+A78*1024*C52</f>
        <v/>
      </c>
      <c r="D78">
        <f>B78/C78</f>
        <v/>
      </c>
      <c r="E78" t="n">
        <v>30.75</v>
      </c>
      <c r="F78">
        <f>A78*1024/(C78*0.000001)/1000000000*C53</f>
        <v/>
      </c>
      <c r="G78">
        <f>E78/F78</f>
        <v/>
      </c>
    </row>
    <row r="79">
      <c r="A79" t="n">
        <v>4194304</v>
      </c>
      <c r="B79" t="n">
        <v>273641</v>
      </c>
      <c r="C79">
        <f>C54+A79*1024*C52</f>
        <v/>
      </c>
      <c r="D79">
        <f>B79/C79</f>
        <v/>
      </c>
      <c r="E79" t="n">
        <v>30.9</v>
      </c>
      <c r="F79">
        <f>A79*1024/(C79*0.000001)/1000000000*C53</f>
        <v/>
      </c>
      <c r="G79">
        <f>E79/F79</f>
        <v/>
      </c>
    </row>
    <row r="80"/>
    <row r="81">
      <c r="A81" t="inlineStr">
        <is>
          <t>Nodes: 8, Protocol: Simple, Channels: 4</t>
        </is>
      </c>
    </row>
    <row r="82">
      <c r="A82" t="inlineStr">
        <is>
          <t>Parameter</t>
        </is>
      </c>
      <c r="B82" t="inlineStr">
        <is>
          <t>Formula</t>
        </is>
      </c>
      <c r="C82" t="inlineStr">
        <is>
          <t>Value</t>
        </is>
      </c>
    </row>
    <row r="83">
      <c r="A83" t="inlineStr">
        <is>
          <t>N</t>
        </is>
      </c>
      <c r="B83" t="inlineStr">
        <is>
          <t>nodes</t>
        </is>
      </c>
      <c r="C83" t="n">
        <v>8</v>
      </c>
    </row>
    <row r="84">
      <c r="A84" t="inlineStr">
        <is>
          <t>n</t>
        </is>
      </c>
      <c r="B84" t="inlineStr">
        <is>
          <t>GPUs/node</t>
        </is>
      </c>
      <c r="C84" t="n">
        <v>8</v>
      </c>
    </row>
    <row r="85">
      <c r="A85" t="inlineStr">
        <is>
          <t>n_total</t>
        </is>
      </c>
      <c r="B85" t="inlineStr">
        <is>
          <t>N*n</t>
        </is>
      </c>
      <c r="C85" t="n">
        <v>64</v>
      </c>
    </row>
    <row r="86">
      <c r="A86" t="inlineStr">
        <is>
          <t>nch_raw</t>
        </is>
      </c>
      <c r="B86" t="inlineStr">
        <is>
          <t>raw channels</t>
        </is>
      </c>
      <c r="C86" t="n">
        <v>4</v>
      </c>
    </row>
    <row r="87">
      <c r="A87" t="inlineStr">
        <is>
          <t>nch_eff</t>
        </is>
      </c>
      <c r="B87" t="inlineStr">
        <is>
          <t>min(nch_raw,8)</t>
        </is>
      </c>
      <c r="C87" t="n">
        <v>4</v>
      </c>
    </row>
    <row r="88">
      <c r="A88" t="inlineStr">
        <is>
          <t>a</t>
        </is>
      </c>
      <c r="B88" t="inlineStr">
        <is>
          <t>RTT (us)</t>
        </is>
      </c>
      <c r="C88" t="n">
        <v>24.92</v>
      </c>
    </row>
    <row r="89">
      <c r="A89" t="inlineStr">
        <is>
          <t>NIC_BW</t>
        </is>
      </c>
      <c r="B89" t="inlineStr">
        <is>
          <t>bytes/us</t>
        </is>
      </c>
      <c r="C89" t="n">
        <v>48750</v>
      </c>
    </row>
    <row r="90">
      <c r="A90" t="inlineStr">
        <is>
          <t>intra_node_tree_latency</t>
        </is>
      </c>
      <c r="B90" t="inlineStr">
        <is>
          <t>us</t>
        </is>
      </c>
      <c r="C90" t="n">
        <v>8.4</v>
      </c>
    </row>
    <row r="91">
      <c r="A91" t="inlineStr">
        <is>
          <t>NIC_BW_REAL</t>
        </is>
      </c>
      <c r="B91" t="inlineStr">
        <is>
          <t>nch_eff*NIC_BW/3</t>
        </is>
      </c>
      <c r="C91">
        <f>C87*C89/3</f>
        <v/>
      </c>
    </row>
    <row r="92">
      <c r="A92" t="inlineStr">
        <is>
          <t>G</t>
        </is>
      </c>
      <c r="B92" t="inlineStr">
        <is>
          <t>1/NIC_BW_REAL</t>
        </is>
      </c>
      <c r="C92">
        <f>1/C91</f>
        <v/>
      </c>
    </row>
    <row r="93">
      <c r="A93" t="inlineStr">
        <is>
          <t>busbw_factor</t>
        </is>
      </c>
      <c r="B93" t="inlineStr">
        <is>
          <t>2*(n_total-1)/n_total</t>
        </is>
      </c>
      <c r="C93">
        <f>2*(C85-1)/C85</f>
        <v/>
      </c>
    </row>
    <row r="94">
      <c r="A94" t="inlineStr">
        <is>
          <t>fixed_overhead</t>
        </is>
      </c>
      <c r="B94" t="inlineStr">
        <is>
          <t>(2*LOG2(N)+1)*a/2+2*intra</t>
        </is>
      </c>
      <c r="C94">
        <f>(2*LOG(C83,2)+1)*C88/2+2*C90</f>
        <v/>
      </c>
    </row>
    <row r="95"/>
    <row r="96">
      <c r="A96" t="inlineStr">
        <is>
          <t>size_KB</t>
        </is>
      </c>
      <c r="B96" t="inlineStr">
        <is>
          <t>Actual Time (us)</t>
        </is>
      </c>
      <c r="C96" t="inlineStr">
        <is>
          <t>Roofline Time (us)</t>
        </is>
      </c>
      <c r="D96" t="inlineStr">
        <is>
          <t>Actual/Roofline</t>
        </is>
      </c>
      <c r="E96" t="inlineStr">
        <is>
          <t>Actual busBW (GB/s)</t>
        </is>
      </c>
      <c r="F96" t="inlineStr">
        <is>
          <t>Roofline busBW (GB/s)</t>
        </is>
      </c>
      <c r="G96" t="inlineStr">
        <is>
          <t>Meas/Roof busBW</t>
        </is>
      </c>
    </row>
    <row r="97">
      <c r="A97" t="n">
        <v>1</v>
      </c>
      <c r="B97" t="n">
        <v>195.51</v>
      </c>
      <c r="C97">
        <f>C94+A97*1024*C92</f>
        <v/>
      </c>
      <c r="D97">
        <f>B97/C97</f>
        <v/>
      </c>
      <c r="E97" t="n">
        <v>0.01</v>
      </c>
      <c r="F97">
        <f>A97*1024/(C97*0.000001)/1000000000*C93</f>
        <v/>
      </c>
      <c r="G97">
        <f>E97/F97</f>
        <v/>
      </c>
    </row>
    <row r="98">
      <c r="A98" t="n">
        <v>2</v>
      </c>
      <c r="B98" t="n">
        <v>183.34</v>
      </c>
      <c r="C98">
        <f>C94+A98*1024*C92</f>
        <v/>
      </c>
      <c r="D98">
        <f>B98/C98</f>
        <v/>
      </c>
      <c r="E98" t="n">
        <v>0.02</v>
      </c>
      <c r="F98">
        <f>A98*1024/(C98*0.000001)/1000000000*C93</f>
        <v/>
      </c>
      <c r="G98">
        <f>E98/F98</f>
        <v/>
      </c>
    </row>
    <row r="99">
      <c r="A99" t="n">
        <v>4</v>
      </c>
      <c r="B99" t="n">
        <v>189.36</v>
      </c>
      <c r="C99">
        <f>C94+A99*1024*C92</f>
        <v/>
      </c>
      <c r="D99">
        <f>B99/C99</f>
        <v/>
      </c>
      <c r="E99" t="n">
        <v>0.04</v>
      </c>
      <c r="F99">
        <f>A99*1024/(C99*0.000001)/1000000000*C93</f>
        <v/>
      </c>
      <c r="G99">
        <f>E99/F99</f>
        <v/>
      </c>
    </row>
    <row r="100">
      <c r="A100" t="n">
        <v>8</v>
      </c>
      <c r="B100" t="n">
        <v>202.8</v>
      </c>
      <c r="C100">
        <f>C94+A100*1024*C92</f>
        <v/>
      </c>
      <c r="D100">
        <f>B100/C100</f>
        <v/>
      </c>
      <c r="E100" t="n">
        <v>0.08</v>
      </c>
      <c r="F100">
        <f>A100*1024/(C100*0.000001)/1000000000*C93</f>
        <v/>
      </c>
      <c r="G100">
        <f>E100/F100</f>
        <v/>
      </c>
    </row>
    <row r="101">
      <c r="A101" t="n">
        <v>16</v>
      </c>
      <c r="B101" t="n">
        <v>234.25</v>
      </c>
      <c r="C101">
        <f>C94+A101*1024*C92</f>
        <v/>
      </c>
      <c r="D101">
        <f>B101/C101</f>
        <v/>
      </c>
      <c r="E101" t="n">
        <v>0.14</v>
      </c>
      <c r="F101">
        <f>A101*1024/(C101*0.000001)/1000000000*C93</f>
        <v/>
      </c>
      <c r="G101">
        <f>E101/F101</f>
        <v/>
      </c>
    </row>
    <row r="102">
      <c r="A102" t="n">
        <v>32</v>
      </c>
      <c r="B102" t="n">
        <v>264.99</v>
      </c>
      <c r="C102">
        <f>C94+A102*1024*C92</f>
        <v/>
      </c>
      <c r="D102">
        <f>B102/C102</f>
        <v/>
      </c>
      <c r="E102" t="n">
        <v>0.24</v>
      </c>
      <c r="F102">
        <f>A102*1024/(C102*0.000001)/1000000000*C93</f>
        <v/>
      </c>
      <c r="G102">
        <f>E102/F102</f>
        <v/>
      </c>
    </row>
    <row r="103">
      <c r="A103" t="n">
        <v>64</v>
      </c>
      <c r="B103" t="n">
        <v>266.85</v>
      </c>
      <c r="C103">
        <f>C94+A103*1024*C92</f>
        <v/>
      </c>
      <c r="D103">
        <f>B103/C103</f>
        <v/>
      </c>
      <c r="E103" t="n">
        <v>0.48</v>
      </c>
      <c r="F103">
        <f>A103*1024/(C103*0.000001)/1000000000*C93</f>
        <v/>
      </c>
      <c r="G103">
        <f>E103/F103</f>
        <v/>
      </c>
    </row>
    <row r="104">
      <c r="A104" t="n">
        <v>128</v>
      </c>
      <c r="B104" t="n">
        <v>266.95</v>
      </c>
      <c r="C104">
        <f>C94+A104*1024*C92</f>
        <v/>
      </c>
      <c r="D104">
        <f>B104/C104</f>
        <v/>
      </c>
      <c r="E104" t="n">
        <v>0.97</v>
      </c>
      <c r="F104">
        <f>A104*1024/(C104*0.000001)/1000000000*C93</f>
        <v/>
      </c>
      <c r="G104">
        <f>E104/F104</f>
        <v/>
      </c>
    </row>
    <row r="105">
      <c r="A105" t="n">
        <v>256</v>
      </c>
      <c r="B105" t="n">
        <v>315.63</v>
      </c>
      <c r="C105">
        <f>C94+A105*1024*C92</f>
        <v/>
      </c>
      <c r="D105">
        <f>B105/C105</f>
        <v/>
      </c>
      <c r="E105" t="n">
        <v>1.64</v>
      </c>
      <c r="F105">
        <f>A105*1024/(C105*0.000001)/1000000000*C93</f>
        <v/>
      </c>
      <c r="G105">
        <f>E105/F105</f>
        <v/>
      </c>
    </row>
    <row r="106">
      <c r="A106" t="n">
        <v>512</v>
      </c>
      <c r="B106" t="n">
        <v>399.74</v>
      </c>
      <c r="C106">
        <f>C94+A106*1024*C92</f>
        <v/>
      </c>
      <c r="D106">
        <f>B106/C106</f>
        <v/>
      </c>
      <c r="E106" t="n">
        <v>2.58</v>
      </c>
      <c r="F106">
        <f>A106*1024/(C106*0.000001)/1000000000*C93</f>
        <v/>
      </c>
      <c r="G106">
        <f>E106/F106</f>
        <v/>
      </c>
    </row>
    <row r="107">
      <c r="A107" t="n">
        <v>1024</v>
      </c>
      <c r="B107" t="n">
        <v>529.08</v>
      </c>
      <c r="C107">
        <f>C94+A107*1024*C92</f>
        <v/>
      </c>
      <c r="D107">
        <f>B107/C107</f>
        <v/>
      </c>
      <c r="E107" t="n">
        <v>3.9</v>
      </c>
      <c r="F107">
        <f>A107*1024/(C107*0.000001)/1000000000*C93</f>
        <v/>
      </c>
      <c r="G107">
        <f>E107/F107</f>
        <v/>
      </c>
    </row>
    <row r="108">
      <c r="A108" t="n">
        <v>2048</v>
      </c>
      <c r="B108" t="n">
        <v>810.38</v>
      </c>
      <c r="C108">
        <f>C94+A108*1024*C92</f>
        <v/>
      </c>
      <c r="D108">
        <f>B108/C108</f>
        <v/>
      </c>
      <c r="E108" t="n">
        <v>5.09</v>
      </c>
      <c r="F108">
        <f>A108*1024/(C108*0.000001)/1000000000*C93</f>
        <v/>
      </c>
      <c r="G108">
        <f>E108/F108</f>
        <v/>
      </c>
    </row>
    <row r="109">
      <c r="A109" t="n">
        <v>4096</v>
      </c>
      <c r="B109" t="n">
        <v>1378.38</v>
      </c>
      <c r="C109">
        <f>C94+A109*1024*C92</f>
        <v/>
      </c>
      <c r="D109">
        <f>B109/C109</f>
        <v/>
      </c>
      <c r="E109" t="n">
        <v>5.99</v>
      </c>
      <c r="F109">
        <f>A109*1024/(C109*0.000001)/1000000000*C93</f>
        <v/>
      </c>
      <c r="G109">
        <f>E109/F109</f>
        <v/>
      </c>
    </row>
    <row r="110">
      <c r="A110" t="n">
        <v>8192</v>
      </c>
      <c r="B110" t="n">
        <v>1471.05</v>
      </c>
      <c r="C110">
        <f>C94+A110*1024*C92</f>
        <v/>
      </c>
      <c r="D110">
        <f>B110/C110</f>
        <v/>
      </c>
      <c r="E110" t="n">
        <v>11.23</v>
      </c>
      <c r="F110">
        <f>A110*1024/(C110*0.000001)/1000000000*C93</f>
        <v/>
      </c>
      <c r="G110">
        <f>E110/F110</f>
        <v/>
      </c>
    </row>
    <row r="111">
      <c r="A111" t="n">
        <v>16384</v>
      </c>
      <c r="B111" t="n">
        <v>1671.87</v>
      </c>
      <c r="C111">
        <f>C94+A111*1024*C92</f>
        <v/>
      </c>
      <c r="D111">
        <f>B111/C111</f>
        <v/>
      </c>
      <c r="E111" t="n">
        <v>19.76</v>
      </c>
      <c r="F111">
        <f>A111*1024/(C111*0.000001)/1000000000*C93</f>
        <v/>
      </c>
      <c r="G111">
        <f>E111/F111</f>
        <v/>
      </c>
    </row>
    <row r="112">
      <c r="A112" t="n">
        <v>32768</v>
      </c>
      <c r="B112" t="n">
        <v>2301.87</v>
      </c>
      <c r="C112">
        <f>C94+A112*1024*C92</f>
        <v/>
      </c>
      <c r="D112">
        <f>B112/C112</f>
        <v/>
      </c>
      <c r="E112" t="n">
        <v>28.7</v>
      </c>
      <c r="F112">
        <f>A112*1024/(C112*0.000001)/1000000000*C93</f>
        <v/>
      </c>
      <c r="G112">
        <f>E112/F112</f>
        <v/>
      </c>
    </row>
    <row r="113">
      <c r="A113" t="n">
        <v>65536</v>
      </c>
      <c r="B113" t="n">
        <v>3371.24</v>
      </c>
      <c r="C113">
        <f>C94+A113*1024*C92</f>
        <v/>
      </c>
      <c r="D113">
        <f>B113/C113</f>
        <v/>
      </c>
      <c r="E113" t="n">
        <v>39.19</v>
      </c>
      <c r="F113">
        <f>A113*1024/(C113*0.000001)/1000000000*C93</f>
        <v/>
      </c>
      <c r="G113">
        <f>E113/F113</f>
        <v/>
      </c>
    </row>
    <row r="114">
      <c r="A114" t="n">
        <v>131072</v>
      </c>
      <c r="B114" t="n">
        <v>5520.71</v>
      </c>
      <c r="C114">
        <f>C94+A114*1024*C92</f>
        <v/>
      </c>
      <c r="D114">
        <f>B114/C114</f>
        <v/>
      </c>
      <c r="E114" t="n">
        <v>47.86</v>
      </c>
      <c r="F114">
        <f>A114*1024/(C114*0.000001)/1000000000*C93</f>
        <v/>
      </c>
      <c r="G114">
        <f>E114/F114</f>
        <v/>
      </c>
    </row>
    <row r="115">
      <c r="A115" t="n">
        <v>262144</v>
      </c>
      <c r="B115" t="n">
        <v>9838.559999999999</v>
      </c>
      <c r="C115">
        <f>C94+A115*1024*C92</f>
        <v/>
      </c>
      <c r="D115">
        <f>B115/C115</f>
        <v/>
      </c>
      <c r="E115" t="n">
        <v>53.72</v>
      </c>
      <c r="F115">
        <f>A115*1024/(C115*0.000001)/1000000000*C93</f>
        <v/>
      </c>
      <c r="G115">
        <f>E115/F115</f>
        <v/>
      </c>
    </row>
    <row r="116">
      <c r="A116" t="n">
        <v>524288</v>
      </c>
      <c r="B116" t="n">
        <v>18456.1</v>
      </c>
      <c r="C116">
        <f>C94+A116*1024*C92</f>
        <v/>
      </c>
      <c r="D116">
        <f>B116/C116</f>
        <v/>
      </c>
      <c r="E116" t="n">
        <v>57.27</v>
      </c>
      <c r="F116">
        <f>A116*1024/(C116*0.000001)/1000000000*C93</f>
        <v/>
      </c>
      <c r="G116">
        <f>E116/F116</f>
        <v/>
      </c>
    </row>
    <row r="117">
      <c r="A117" t="n">
        <v>1048576</v>
      </c>
      <c r="B117" t="n">
        <v>35668</v>
      </c>
      <c r="C117">
        <f>C94+A117*1024*C92</f>
        <v/>
      </c>
      <c r="D117">
        <f>B117/C117</f>
        <v/>
      </c>
      <c r="E117" t="n">
        <v>59.27</v>
      </c>
      <c r="F117">
        <f>A117*1024/(C117*0.000001)/1000000000*C93</f>
        <v/>
      </c>
      <c r="G117">
        <f>E117/F117</f>
        <v/>
      </c>
    </row>
    <row r="118">
      <c r="A118" t="n">
        <v>2097152</v>
      </c>
      <c r="B118" t="n">
        <v>69991</v>
      </c>
      <c r="C118">
        <f>C94+A118*1024*C92</f>
        <v/>
      </c>
      <c r="D118">
        <f>B118/C118</f>
        <v/>
      </c>
      <c r="E118" t="n">
        <v>60.41</v>
      </c>
      <c r="F118">
        <f>A118*1024/(C118*0.000001)/1000000000*C93</f>
        <v/>
      </c>
      <c r="G118">
        <f>E118/F118</f>
        <v/>
      </c>
    </row>
    <row r="119">
      <c r="A119" t="n">
        <v>4194304</v>
      </c>
      <c r="B119" t="n">
        <v>138680</v>
      </c>
      <c r="C119">
        <f>C94+A119*1024*C92</f>
        <v/>
      </c>
      <c r="D119">
        <f>B119/C119</f>
        <v/>
      </c>
      <c r="E119" t="n">
        <v>60.97</v>
      </c>
      <c r="F119">
        <f>A119*1024/(C119*0.000001)/1000000000*C93</f>
        <v/>
      </c>
      <c r="G119">
        <f>E119/F119</f>
        <v/>
      </c>
    </row>
    <row r="120"/>
    <row r="121">
      <c r="A121" t="inlineStr">
        <is>
          <t>Nodes: 8, Protocol: Simple, Channels: 8</t>
        </is>
      </c>
    </row>
    <row r="122">
      <c r="A122" t="inlineStr">
        <is>
          <t>Parameter</t>
        </is>
      </c>
      <c r="B122" t="inlineStr">
        <is>
          <t>Formula</t>
        </is>
      </c>
      <c r="C122" t="inlineStr">
        <is>
          <t>Value</t>
        </is>
      </c>
    </row>
    <row r="123">
      <c r="A123" t="inlineStr">
        <is>
          <t>N</t>
        </is>
      </c>
      <c r="B123" t="inlineStr">
        <is>
          <t>nodes</t>
        </is>
      </c>
      <c r="C123" t="n">
        <v>8</v>
      </c>
    </row>
    <row r="124">
      <c r="A124" t="inlineStr">
        <is>
          <t>n</t>
        </is>
      </c>
      <c r="B124" t="inlineStr">
        <is>
          <t>GPUs/node</t>
        </is>
      </c>
      <c r="C124" t="n">
        <v>8</v>
      </c>
    </row>
    <row r="125">
      <c r="A125" t="inlineStr">
        <is>
          <t>n_total</t>
        </is>
      </c>
      <c r="B125" t="inlineStr">
        <is>
          <t>N*n</t>
        </is>
      </c>
      <c r="C125" t="n">
        <v>64</v>
      </c>
    </row>
    <row r="126">
      <c r="A126" t="inlineStr">
        <is>
          <t>nch_raw</t>
        </is>
      </c>
      <c r="B126" t="inlineStr">
        <is>
          <t>raw channels</t>
        </is>
      </c>
      <c r="C126" t="n">
        <v>8</v>
      </c>
    </row>
    <row r="127">
      <c r="A127" t="inlineStr">
        <is>
          <t>nch_eff</t>
        </is>
      </c>
      <c r="B127" t="inlineStr">
        <is>
          <t>min(nch_raw,8)</t>
        </is>
      </c>
      <c r="C127" t="n">
        <v>8</v>
      </c>
    </row>
    <row r="128">
      <c r="A128" t="inlineStr">
        <is>
          <t>a</t>
        </is>
      </c>
      <c r="B128" t="inlineStr">
        <is>
          <t>RTT (us)</t>
        </is>
      </c>
      <c r="C128" t="n">
        <v>24.92</v>
      </c>
    </row>
    <row r="129">
      <c r="A129" t="inlineStr">
        <is>
          <t>NIC_BW</t>
        </is>
      </c>
      <c r="B129" t="inlineStr">
        <is>
          <t>bytes/us</t>
        </is>
      </c>
      <c r="C129" t="n">
        <v>48750</v>
      </c>
    </row>
    <row r="130">
      <c r="A130" t="inlineStr">
        <is>
          <t>intra_node_tree_latency</t>
        </is>
      </c>
      <c r="B130" t="inlineStr">
        <is>
          <t>us</t>
        </is>
      </c>
      <c r="C130" t="n">
        <v>8.4</v>
      </c>
    </row>
    <row r="131">
      <c r="A131" t="inlineStr">
        <is>
          <t>NIC_BW_REAL</t>
        </is>
      </c>
      <c r="B131" t="inlineStr">
        <is>
          <t>nch_eff*NIC_BW/3</t>
        </is>
      </c>
      <c r="C131">
        <f>C127*C129/3</f>
        <v/>
      </c>
    </row>
    <row r="132">
      <c r="A132" t="inlineStr">
        <is>
          <t>G</t>
        </is>
      </c>
      <c r="B132" t="inlineStr">
        <is>
          <t>1/NIC_BW_REAL</t>
        </is>
      </c>
      <c r="C132">
        <f>1/C131</f>
        <v/>
      </c>
    </row>
    <row r="133">
      <c r="A133" t="inlineStr">
        <is>
          <t>busbw_factor</t>
        </is>
      </c>
      <c r="B133" t="inlineStr">
        <is>
          <t>2*(n_total-1)/n_total</t>
        </is>
      </c>
      <c r="C133">
        <f>2*(C125-1)/C125</f>
        <v/>
      </c>
    </row>
    <row r="134">
      <c r="A134" t="inlineStr">
        <is>
          <t>fixed_overhead</t>
        </is>
      </c>
      <c r="B134" t="inlineStr">
        <is>
          <t>(2*LOG2(N)+1)*a/2+2*intra</t>
        </is>
      </c>
      <c r="C134">
        <f>(2*LOG(C123,2)+1)*C128/2+2*C130</f>
        <v/>
      </c>
    </row>
    <row r="135"/>
    <row r="136">
      <c r="A136" t="inlineStr">
        <is>
          <t>size_KB</t>
        </is>
      </c>
      <c r="B136" t="inlineStr">
        <is>
          <t>Actual Time (us)</t>
        </is>
      </c>
      <c r="C136" t="inlineStr">
        <is>
          <t>Roofline Time (us)</t>
        </is>
      </c>
      <c r="D136" t="inlineStr">
        <is>
          <t>Actual/Roofline</t>
        </is>
      </c>
      <c r="E136" t="inlineStr">
        <is>
          <t>Actual busBW (GB/s)</t>
        </is>
      </c>
      <c r="F136" t="inlineStr">
        <is>
          <t>Roofline busBW (GB/s)</t>
        </is>
      </c>
      <c r="G136" t="inlineStr">
        <is>
          <t>Meas/Roof busBW</t>
        </is>
      </c>
    </row>
    <row r="137">
      <c r="A137" t="n">
        <v>1</v>
      </c>
      <c r="B137" t="n">
        <v>191.61</v>
      </c>
      <c r="C137">
        <f>C134+A137*1024*C132</f>
        <v/>
      </c>
      <c r="D137">
        <f>B137/C137</f>
        <v/>
      </c>
      <c r="E137" t="n">
        <v>0.01</v>
      </c>
      <c r="F137">
        <f>A137*1024/(C137*0.000001)/1000000000*C133</f>
        <v/>
      </c>
      <c r="G137">
        <f>E137/F137</f>
        <v/>
      </c>
    </row>
    <row r="138">
      <c r="A138" t="n">
        <v>2</v>
      </c>
      <c r="B138" t="n">
        <v>183.45</v>
      </c>
      <c r="C138">
        <f>C134+A138*1024*C132</f>
        <v/>
      </c>
      <c r="D138">
        <f>B138/C138</f>
        <v/>
      </c>
      <c r="E138" t="n">
        <v>0.02</v>
      </c>
      <c r="F138">
        <f>A138*1024/(C138*0.000001)/1000000000*C133</f>
        <v/>
      </c>
      <c r="G138">
        <f>E138/F138</f>
        <v/>
      </c>
    </row>
    <row r="139">
      <c r="A139" t="n">
        <v>4</v>
      </c>
      <c r="B139" t="n">
        <v>189.82</v>
      </c>
      <c r="C139">
        <f>C134+A139*1024*C132</f>
        <v/>
      </c>
      <c r="D139">
        <f>B139/C139</f>
        <v/>
      </c>
      <c r="E139" t="n">
        <v>0.04</v>
      </c>
      <c r="F139">
        <f>A139*1024/(C139*0.000001)/1000000000*C133</f>
        <v/>
      </c>
      <c r="G139">
        <f>E139/F139</f>
        <v/>
      </c>
    </row>
    <row r="140">
      <c r="A140" t="n">
        <v>8</v>
      </c>
      <c r="B140" t="n">
        <v>202.64</v>
      </c>
      <c r="C140">
        <f>C134+A140*1024*C132</f>
        <v/>
      </c>
      <c r="D140">
        <f>B140/C140</f>
        <v/>
      </c>
      <c r="E140" t="n">
        <v>0.08</v>
      </c>
      <c r="F140">
        <f>A140*1024/(C140*0.000001)/1000000000*C133</f>
        <v/>
      </c>
      <c r="G140">
        <f>E140/F140</f>
        <v/>
      </c>
    </row>
    <row r="141">
      <c r="A141" t="n">
        <v>16</v>
      </c>
      <c r="B141" t="n">
        <v>235.12</v>
      </c>
      <c r="C141">
        <f>C134+A141*1024*C132</f>
        <v/>
      </c>
      <c r="D141">
        <f>B141/C141</f>
        <v/>
      </c>
      <c r="E141" t="n">
        <v>0.14</v>
      </c>
      <c r="F141">
        <f>A141*1024/(C141*0.000001)/1000000000*C133</f>
        <v/>
      </c>
      <c r="G141">
        <f>E141/F141</f>
        <v/>
      </c>
    </row>
    <row r="142">
      <c r="A142" t="n">
        <v>32</v>
      </c>
      <c r="B142" t="n">
        <v>265.85</v>
      </c>
      <c r="C142">
        <f>C134+A142*1024*C132</f>
        <v/>
      </c>
      <c r="D142">
        <f>B142/C142</f>
        <v/>
      </c>
      <c r="E142" t="n">
        <v>0.24</v>
      </c>
      <c r="F142">
        <f>A142*1024/(C142*0.000001)/1000000000*C133</f>
        <v/>
      </c>
      <c r="G142">
        <f>E142/F142</f>
        <v/>
      </c>
    </row>
    <row r="143">
      <c r="A143" t="n">
        <v>64</v>
      </c>
      <c r="B143" t="n">
        <v>267.44</v>
      </c>
      <c r="C143">
        <f>C134+A143*1024*C132</f>
        <v/>
      </c>
      <c r="D143">
        <f>B143/C143</f>
        <v/>
      </c>
      <c r="E143" t="n">
        <v>0.48</v>
      </c>
      <c r="F143">
        <f>A143*1024/(C143*0.000001)/1000000000*C133</f>
        <v/>
      </c>
      <c r="G143">
        <f>E143/F143</f>
        <v/>
      </c>
    </row>
    <row r="144">
      <c r="A144" t="n">
        <v>128</v>
      </c>
      <c r="B144" t="n">
        <v>266.73</v>
      </c>
      <c r="C144">
        <f>C134+A144*1024*C132</f>
        <v/>
      </c>
      <c r="D144">
        <f>B144/C144</f>
        <v/>
      </c>
      <c r="E144" t="n">
        <v>0.97</v>
      </c>
      <c r="F144">
        <f>A144*1024/(C144*0.000001)/1000000000*C133</f>
        <v/>
      </c>
      <c r="G144">
        <f>E144/F144</f>
        <v/>
      </c>
    </row>
    <row r="145">
      <c r="A145" t="n">
        <v>256</v>
      </c>
      <c r="B145" t="n">
        <v>271.17</v>
      </c>
      <c r="C145">
        <f>C134+A145*1024*C132</f>
        <v/>
      </c>
      <c r="D145">
        <f>B145/C145</f>
        <v/>
      </c>
      <c r="E145" t="n">
        <v>1.9</v>
      </c>
      <c r="F145">
        <f>A145*1024/(C145*0.000001)/1000000000*C133</f>
        <v/>
      </c>
      <c r="G145">
        <f>E145/F145</f>
        <v/>
      </c>
    </row>
    <row r="146">
      <c r="A146" t="n">
        <v>512</v>
      </c>
      <c r="B146" t="n">
        <v>319.89</v>
      </c>
      <c r="C146">
        <f>C134+A146*1024*C132</f>
        <v/>
      </c>
      <c r="D146">
        <f>B146/C146</f>
        <v/>
      </c>
      <c r="E146" t="n">
        <v>3.23</v>
      </c>
      <c r="F146">
        <f>A146*1024/(C146*0.000001)/1000000000*C133</f>
        <v/>
      </c>
      <c r="G146">
        <f>E146/F146</f>
        <v/>
      </c>
    </row>
    <row r="147">
      <c r="A147" t="n">
        <v>1024</v>
      </c>
      <c r="B147" t="n">
        <v>403.11</v>
      </c>
      <c r="C147">
        <f>C134+A147*1024*C132</f>
        <v/>
      </c>
      <c r="D147">
        <f>B147/C147</f>
        <v/>
      </c>
      <c r="E147" t="n">
        <v>5.12</v>
      </c>
      <c r="F147">
        <f>A147*1024/(C147*0.000001)/1000000000*C133</f>
        <v/>
      </c>
      <c r="G147">
        <f>E147/F147</f>
        <v/>
      </c>
    </row>
    <row r="148">
      <c r="A148" t="n">
        <v>2048</v>
      </c>
      <c r="B148" t="n">
        <v>533.66</v>
      </c>
      <c r="C148">
        <f>C134+A148*1024*C132</f>
        <v/>
      </c>
      <c r="D148">
        <f>B148/C148</f>
        <v/>
      </c>
      <c r="E148" t="n">
        <v>7.74</v>
      </c>
      <c r="F148">
        <f>A148*1024/(C148*0.000001)/1000000000*C133</f>
        <v/>
      </c>
      <c r="G148">
        <f>E148/F148</f>
        <v/>
      </c>
    </row>
    <row r="149">
      <c r="A149" t="n">
        <v>4096</v>
      </c>
      <c r="B149" t="n">
        <v>815.84</v>
      </c>
      <c r="C149">
        <f>C134+A149*1024*C132</f>
        <v/>
      </c>
      <c r="D149">
        <f>B149/C149</f>
        <v/>
      </c>
      <c r="E149" t="n">
        <v>10.12</v>
      </c>
      <c r="F149">
        <f>A149*1024/(C149*0.000001)/1000000000*C133</f>
        <v/>
      </c>
      <c r="G149">
        <f>E149/F149</f>
        <v/>
      </c>
    </row>
    <row r="150">
      <c r="A150" t="n">
        <v>8192</v>
      </c>
      <c r="B150" t="n">
        <v>1401.46</v>
      </c>
      <c r="C150">
        <f>C134+A150*1024*C132</f>
        <v/>
      </c>
      <c r="D150">
        <f>B150/C150</f>
        <v/>
      </c>
      <c r="E150" t="n">
        <v>11.78</v>
      </c>
      <c r="F150">
        <f>A150*1024/(C150*0.000001)/1000000000*C133</f>
        <v/>
      </c>
      <c r="G150">
        <f>E150/F150</f>
        <v/>
      </c>
    </row>
    <row r="151">
      <c r="A151" t="n">
        <v>16384</v>
      </c>
      <c r="B151" t="n">
        <v>1483.58</v>
      </c>
      <c r="C151">
        <f>C134+A151*1024*C132</f>
        <v/>
      </c>
      <c r="D151">
        <f>B151/C151</f>
        <v/>
      </c>
      <c r="E151" t="n">
        <v>22.26</v>
      </c>
      <c r="F151">
        <f>A151*1024/(C151*0.000001)/1000000000*C133</f>
        <v/>
      </c>
      <c r="G151">
        <f>E151/F151</f>
        <v/>
      </c>
    </row>
    <row r="152">
      <c r="A152" t="n">
        <v>32768</v>
      </c>
      <c r="B152" t="n">
        <v>1691.2</v>
      </c>
      <c r="C152">
        <f>C134+A152*1024*C132</f>
        <v/>
      </c>
      <c r="D152">
        <f>B152/C152</f>
        <v/>
      </c>
      <c r="E152" t="n">
        <v>39.06</v>
      </c>
      <c r="F152">
        <f>A152*1024/(C152*0.000001)/1000000000*C133</f>
        <v/>
      </c>
      <c r="G152">
        <f>E152/F152</f>
        <v/>
      </c>
    </row>
    <row r="153">
      <c r="A153" t="n">
        <v>65536</v>
      </c>
      <c r="B153" t="n">
        <v>2320.35</v>
      </c>
      <c r="C153">
        <f>C134+A153*1024*C132</f>
        <v/>
      </c>
      <c r="D153">
        <f>B153/C153</f>
        <v/>
      </c>
      <c r="E153" t="n">
        <v>56.94</v>
      </c>
      <c r="F153">
        <f>A153*1024/(C153*0.000001)/1000000000*C133</f>
        <v/>
      </c>
      <c r="G153">
        <f>E153/F153</f>
        <v/>
      </c>
    </row>
    <row r="154">
      <c r="A154" t="n">
        <v>131072</v>
      </c>
      <c r="B154" t="n">
        <v>3424.05</v>
      </c>
      <c r="C154">
        <f>C134+A154*1024*C132</f>
        <v/>
      </c>
      <c r="D154">
        <f>B154/C154</f>
        <v/>
      </c>
      <c r="E154" t="n">
        <v>77.17</v>
      </c>
      <c r="F154">
        <f>A154*1024/(C154*0.000001)/1000000000*C133</f>
        <v/>
      </c>
      <c r="G154">
        <f>E154/F154</f>
        <v/>
      </c>
    </row>
    <row r="155">
      <c r="A155" t="n">
        <v>262144</v>
      </c>
      <c r="B155" t="n">
        <v>5578.44</v>
      </c>
      <c r="C155">
        <f>C134+A155*1024*C132</f>
        <v/>
      </c>
      <c r="D155">
        <f>B155/C155</f>
        <v/>
      </c>
      <c r="E155" t="n">
        <v>94.73999999999999</v>
      </c>
      <c r="F155">
        <f>A155*1024/(C155*0.000001)/1000000000*C133</f>
        <v/>
      </c>
      <c r="G155">
        <f>E155/F155</f>
        <v/>
      </c>
    </row>
    <row r="156">
      <c r="A156" t="n">
        <v>524288</v>
      </c>
      <c r="B156" t="n">
        <v>9913.42</v>
      </c>
      <c r="C156">
        <f>C134+A156*1024*C132</f>
        <v/>
      </c>
      <c r="D156">
        <f>B156/C156</f>
        <v/>
      </c>
      <c r="E156" t="n">
        <v>106.62</v>
      </c>
      <c r="F156">
        <f>A156*1024/(C156*0.000001)/1000000000*C133</f>
        <v/>
      </c>
      <c r="G156">
        <f>E156/F156</f>
        <v/>
      </c>
    </row>
    <row r="157">
      <c r="A157" t="n">
        <v>1048576</v>
      </c>
      <c r="B157" t="n">
        <v>18586.8</v>
      </c>
      <c r="C157">
        <f>C134+A157*1024*C132</f>
        <v/>
      </c>
      <c r="D157">
        <f>B157/C157</f>
        <v/>
      </c>
      <c r="E157" t="n">
        <v>113.73</v>
      </c>
      <c r="F157">
        <f>A157*1024/(C157*0.000001)/1000000000*C133</f>
        <v/>
      </c>
      <c r="G157">
        <f>E157/F157</f>
        <v/>
      </c>
    </row>
    <row r="158">
      <c r="A158" t="n">
        <v>2097152</v>
      </c>
      <c r="B158" t="n">
        <v>35947.3</v>
      </c>
      <c r="C158">
        <f>C134+A158*1024*C132</f>
        <v/>
      </c>
      <c r="D158">
        <f>B158/C158</f>
        <v/>
      </c>
      <c r="E158" t="n">
        <v>117.61</v>
      </c>
      <c r="F158">
        <f>A158*1024/(C158*0.000001)/1000000000*C133</f>
        <v/>
      </c>
      <c r="G158">
        <f>E158/F158</f>
        <v/>
      </c>
    </row>
    <row r="159">
      <c r="A159" t="n">
        <v>4194304</v>
      </c>
      <c r="B159" t="n">
        <v>70398.60000000001</v>
      </c>
      <c r="C159">
        <f>C134+A159*1024*C132</f>
        <v/>
      </c>
      <c r="D159">
        <f>B159/C159</f>
        <v/>
      </c>
      <c r="E159" t="n">
        <v>120.11</v>
      </c>
      <c r="F159">
        <f>A159*1024/(C159*0.000001)/1000000000*C133</f>
        <v/>
      </c>
      <c r="G159">
        <f>E159/F159</f>
        <v/>
      </c>
    </row>
    <row r="160"/>
    <row r="161">
      <c r="A161" t="inlineStr">
        <is>
          <t>Nodes: 8, Protocol: Simple, Channels: 16</t>
        </is>
      </c>
    </row>
    <row r="162">
      <c r="A162" t="inlineStr">
        <is>
          <t>Parameter</t>
        </is>
      </c>
      <c r="B162" t="inlineStr">
        <is>
          <t>Formula</t>
        </is>
      </c>
      <c r="C162" t="inlineStr">
        <is>
          <t>Value</t>
        </is>
      </c>
    </row>
    <row r="163">
      <c r="A163" t="inlineStr">
        <is>
          <t>N</t>
        </is>
      </c>
      <c r="B163" t="inlineStr">
        <is>
          <t>nodes</t>
        </is>
      </c>
      <c r="C163" t="n">
        <v>8</v>
      </c>
    </row>
    <row r="164">
      <c r="A164" t="inlineStr">
        <is>
          <t>n</t>
        </is>
      </c>
      <c r="B164" t="inlineStr">
        <is>
          <t>GPUs/node</t>
        </is>
      </c>
      <c r="C164" t="n">
        <v>8</v>
      </c>
    </row>
    <row r="165">
      <c r="A165" t="inlineStr">
        <is>
          <t>n_total</t>
        </is>
      </c>
      <c r="B165" t="inlineStr">
        <is>
          <t>N*n</t>
        </is>
      </c>
      <c r="C165" t="n">
        <v>64</v>
      </c>
    </row>
    <row r="166">
      <c r="A166" t="inlineStr">
        <is>
          <t>nch_raw</t>
        </is>
      </c>
      <c r="B166" t="inlineStr">
        <is>
          <t>raw channels</t>
        </is>
      </c>
      <c r="C166" t="n">
        <v>16</v>
      </c>
    </row>
    <row r="167">
      <c r="A167" t="inlineStr">
        <is>
          <t>nch_eff</t>
        </is>
      </c>
      <c r="B167" t="inlineStr">
        <is>
          <t>min(nch_raw,8)</t>
        </is>
      </c>
      <c r="C167" t="n">
        <v>8</v>
      </c>
    </row>
    <row r="168">
      <c r="A168" t="inlineStr">
        <is>
          <t>a</t>
        </is>
      </c>
      <c r="B168" t="inlineStr">
        <is>
          <t>RTT (us)</t>
        </is>
      </c>
      <c r="C168" t="n">
        <v>24.92</v>
      </c>
    </row>
    <row r="169">
      <c r="A169" t="inlineStr">
        <is>
          <t>NIC_BW</t>
        </is>
      </c>
      <c r="B169" t="inlineStr">
        <is>
          <t>bytes/us</t>
        </is>
      </c>
      <c r="C169" t="n">
        <v>48750</v>
      </c>
    </row>
    <row r="170">
      <c r="A170" t="inlineStr">
        <is>
          <t>intra_node_tree_latency</t>
        </is>
      </c>
      <c r="B170" t="inlineStr">
        <is>
          <t>us</t>
        </is>
      </c>
      <c r="C170" t="n">
        <v>8.4</v>
      </c>
    </row>
    <row r="171">
      <c r="A171" t="inlineStr">
        <is>
          <t>NIC_BW_REAL</t>
        </is>
      </c>
      <c r="B171" t="inlineStr">
        <is>
          <t>nch_eff*NIC_BW/3</t>
        </is>
      </c>
      <c r="C171">
        <f>C167*C169/3</f>
        <v/>
      </c>
    </row>
    <row r="172">
      <c r="A172" t="inlineStr">
        <is>
          <t>G</t>
        </is>
      </c>
      <c r="B172" t="inlineStr">
        <is>
          <t>1/NIC_BW_REAL</t>
        </is>
      </c>
      <c r="C172">
        <f>1/C171</f>
        <v/>
      </c>
    </row>
    <row r="173">
      <c r="A173" t="inlineStr">
        <is>
          <t>busbw_factor</t>
        </is>
      </c>
      <c r="B173" t="inlineStr">
        <is>
          <t>2*(n_total-1)/n_total</t>
        </is>
      </c>
      <c r="C173">
        <f>2*(C165-1)/C165</f>
        <v/>
      </c>
    </row>
    <row r="174">
      <c r="A174" t="inlineStr">
        <is>
          <t>fixed_overhead</t>
        </is>
      </c>
      <c r="B174" t="inlineStr">
        <is>
          <t>(2*LOG2(N)+1)*a/2+2*intra</t>
        </is>
      </c>
      <c r="C174">
        <f>(2*LOG(C163,2)+1)*C168/2+2*C170</f>
        <v/>
      </c>
    </row>
    <row r="175"/>
    <row r="176">
      <c r="A176" t="inlineStr">
        <is>
          <t>size_KB</t>
        </is>
      </c>
      <c r="B176" t="inlineStr">
        <is>
          <t>Actual Time (us)</t>
        </is>
      </c>
      <c r="C176" t="inlineStr">
        <is>
          <t>Roofline Time (us)</t>
        </is>
      </c>
      <c r="D176" t="inlineStr">
        <is>
          <t>Actual/Roofline</t>
        </is>
      </c>
      <c r="E176" t="inlineStr">
        <is>
          <t>Actual busBW (GB/s)</t>
        </is>
      </c>
      <c r="F176" t="inlineStr">
        <is>
          <t>Roofline busBW (GB/s)</t>
        </is>
      </c>
      <c r="G176" t="inlineStr">
        <is>
          <t>Meas/Roof busBW</t>
        </is>
      </c>
    </row>
    <row r="177">
      <c r="A177" t="n">
        <v>1</v>
      </c>
      <c r="B177" t="n">
        <v>184.61</v>
      </c>
      <c r="C177">
        <f>C174+A177*1024*C172</f>
        <v/>
      </c>
      <c r="D177">
        <f>B177/C177</f>
        <v/>
      </c>
      <c r="E177" t="n">
        <v>0.01</v>
      </c>
      <c r="F177">
        <f>A177*1024/(C177*0.000001)/1000000000*C173</f>
        <v/>
      </c>
      <c r="G177">
        <f>E177/F177</f>
        <v/>
      </c>
    </row>
    <row r="178">
      <c r="A178" t="n">
        <v>2</v>
      </c>
      <c r="B178" t="n">
        <v>182.37</v>
      </c>
      <c r="C178">
        <f>C174+A178*1024*C172</f>
        <v/>
      </c>
      <c r="D178">
        <f>B178/C178</f>
        <v/>
      </c>
      <c r="E178" t="n">
        <v>0.02</v>
      </c>
      <c r="F178">
        <f>A178*1024/(C178*0.000001)/1000000000*C173</f>
        <v/>
      </c>
      <c r="G178">
        <f>E178/F178</f>
        <v/>
      </c>
    </row>
    <row r="179">
      <c r="A179" t="n">
        <v>4</v>
      </c>
      <c r="B179" t="n">
        <v>201.71</v>
      </c>
      <c r="C179">
        <f>C174+A179*1024*C172</f>
        <v/>
      </c>
      <c r="D179">
        <f>B179/C179</f>
        <v/>
      </c>
      <c r="E179" t="n">
        <v>0.04</v>
      </c>
      <c r="F179">
        <f>A179*1024/(C179*0.000001)/1000000000*C173</f>
        <v/>
      </c>
      <c r="G179">
        <f>E179/F179</f>
        <v/>
      </c>
    </row>
    <row r="180">
      <c r="A180" t="n">
        <v>8</v>
      </c>
      <c r="B180" t="n">
        <v>201.84</v>
      </c>
      <c r="C180">
        <f>C174+A180*1024*C172</f>
        <v/>
      </c>
      <c r="D180">
        <f>B180/C180</f>
        <v/>
      </c>
      <c r="E180" t="n">
        <v>0.08</v>
      </c>
      <c r="F180">
        <f>A180*1024/(C180*0.000001)/1000000000*C173</f>
        <v/>
      </c>
      <c r="G180">
        <f>E180/F180</f>
        <v/>
      </c>
    </row>
    <row r="181">
      <c r="A181" t="n">
        <v>16</v>
      </c>
      <c r="B181" t="n">
        <v>233.99</v>
      </c>
      <c r="C181">
        <f>C174+A181*1024*C172</f>
        <v/>
      </c>
      <c r="D181">
        <f>B181/C181</f>
        <v/>
      </c>
      <c r="E181" t="n">
        <v>0.14</v>
      </c>
      <c r="F181">
        <f>A181*1024/(C181*0.000001)/1000000000*C173</f>
        <v/>
      </c>
      <c r="G181">
        <f>E181/F181</f>
        <v/>
      </c>
    </row>
    <row r="182">
      <c r="A182" t="n">
        <v>32</v>
      </c>
      <c r="B182" t="n">
        <v>265.26</v>
      </c>
      <c r="C182">
        <f>C174+A182*1024*C172</f>
        <v/>
      </c>
      <c r="D182">
        <f>B182/C182</f>
        <v/>
      </c>
      <c r="E182" t="n">
        <v>0.24</v>
      </c>
      <c r="F182">
        <f>A182*1024/(C182*0.000001)/1000000000*C173</f>
        <v/>
      </c>
      <c r="G182">
        <f>E182/F182</f>
        <v/>
      </c>
    </row>
    <row r="183">
      <c r="A183" t="n">
        <v>64</v>
      </c>
      <c r="B183" t="n">
        <v>266.19</v>
      </c>
      <c r="C183">
        <f>C174+A183*1024*C172</f>
        <v/>
      </c>
      <c r="D183">
        <f>B183/C183</f>
        <v/>
      </c>
      <c r="E183" t="n">
        <v>0.48</v>
      </c>
      <c r="F183">
        <f>A183*1024/(C183*0.000001)/1000000000*C173</f>
        <v/>
      </c>
      <c r="G183">
        <f>E183/F183</f>
        <v/>
      </c>
    </row>
    <row r="184">
      <c r="A184" t="n">
        <v>128</v>
      </c>
      <c r="B184" t="n">
        <v>266.76</v>
      </c>
      <c r="C184">
        <f>C174+A184*1024*C172</f>
        <v/>
      </c>
      <c r="D184">
        <f>B184/C184</f>
        <v/>
      </c>
      <c r="E184" t="n">
        <v>0.97</v>
      </c>
      <c r="F184">
        <f>A184*1024/(C184*0.000001)/1000000000*C173</f>
        <v/>
      </c>
      <c r="G184">
        <f>E184/F184</f>
        <v/>
      </c>
    </row>
    <row r="185">
      <c r="A185" t="n">
        <v>256</v>
      </c>
      <c r="B185" t="n">
        <v>271.37</v>
      </c>
      <c r="C185">
        <f>C174+A185*1024*C172</f>
        <v/>
      </c>
      <c r="D185">
        <f>B185/C185</f>
        <v/>
      </c>
      <c r="E185" t="n">
        <v>1.9</v>
      </c>
      <c r="F185">
        <f>A185*1024/(C185*0.000001)/1000000000*C173</f>
        <v/>
      </c>
      <c r="G185">
        <f>E185/F185</f>
        <v/>
      </c>
    </row>
    <row r="186">
      <c r="A186" t="n">
        <v>512</v>
      </c>
      <c r="B186" t="n">
        <v>285.38</v>
      </c>
      <c r="C186">
        <f>C174+A186*1024*C172</f>
        <v/>
      </c>
      <c r="D186">
        <f>B186/C186</f>
        <v/>
      </c>
      <c r="E186" t="n">
        <v>3.62</v>
      </c>
      <c r="F186">
        <f>A186*1024/(C186*0.000001)/1000000000*C173</f>
        <v/>
      </c>
      <c r="G186">
        <f>E186/F186</f>
        <v/>
      </c>
    </row>
    <row r="187">
      <c r="A187" t="n">
        <v>1024</v>
      </c>
      <c r="B187" t="n">
        <v>334.11</v>
      </c>
      <c r="C187">
        <f>C174+A187*1024*C172</f>
        <v/>
      </c>
      <c r="D187">
        <f>B187/C187</f>
        <v/>
      </c>
      <c r="E187" t="n">
        <v>6.18</v>
      </c>
      <c r="F187">
        <f>A187*1024/(C187*0.000001)/1000000000*C173</f>
        <v/>
      </c>
      <c r="G187">
        <f>E187/F187</f>
        <v/>
      </c>
    </row>
    <row r="188">
      <c r="A188" t="n">
        <v>2048</v>
      </c>
      <c r="B188" t="n">
        <v>417.49</v>
      </c>
      <c r="C188">
        <f>C174+A188*1024*C172</f>
        <v/>
      </c>
      <c r="D188">
        <f>B188/C188</f>
        <v/>
      </c>
      <c r="E188" t="n">
        <v>9.890000000000001</v>
      </c>
      <c r="F188">
        <f>A188*1024/(C188*0.000001)/1000000000*C173</f>
        <v/>
      </c>
      <c r="G188">
        <f>E188/F188</f>
        <v/>
      </c>
    </row>
    <row r="189">
      <c r="A189" t="n">
        <v>4096</v>
      </c>
      <c r="B189" t="n">
        <v>548.76</v>
      </c>
      <c r="C189">
        <f>C174+A189*1024*C172</f>
        <v/>
      </c>
      <c r="D189">
        <f>B189/C189</f>
        <v/>
      </c>
      <c r="E189" t="n">
        <v>15.05</v>
      </c>
      <c r="F189">
        <f>A189*1024/(C189*0.000001)/1000000000*C173</f>
        <v/>
      </c>
      <c r="G189">
        <f>E189/F189</f>
        <v/>
      </c>
    </row>
    <row r="190">
      <c r="A190" t="n">
        <v>8192</v>
      </c>
      <c r="B190" t="n">
        <v>834.61</v>
      </c>
      <c r="C190">
        <f>C174+A190*1024*C172</f>
        <v/>
      </c>
      <c r="D190">
        <f>B190/C190</f>
        <v/>
      </c>
      <c r="E190" t="n">
        <v>19.79</v>
      </c>
      <c r="F190">
        <f>A190*1024/(C190*0.000001)/1000000000*C173</f>
        <v/>
      </c>
      <c r="G190">
        <f>E190/F190</f>
        <v/>
      </c>
    </row>
    <row r="191">
      <c r="A191" t="n">
        <v>16384</v>
      </c>
      <c r="B191" t="n">
        <v>1433.5</v>
      </c>
      <c r="C191">
        <f>C174+A191*1024*C172</f>
        <v/>
      </c>
      <c r="D191">
        <f>B191/C191</f>
        <v/>
      </c>
      <c r="E191" t="n">
        <v>23.04</v>
      </c>
      <c r="F191">
        <f>A191*1024/(C191*0.000001)/1000000000*C173</f>
        <v/>
      </c>
      <c r="G191">
        <f>E191/F191</f>
        <v/>
      </c>
    </row>
    <row r="192">
      <c r="A192" t="n">
        <v>32768</v>
      </c>
      <c r="B192" t="n">
        <v>1502.47</v>
      </c>
      <c r="C192">
        <f>C174+A192*1024*C172</f>
        <v/>
      </c>
      <c r="D192">
        <f>B192/C192</f>
        <v/>
      </c>
      <c r="E192" t="n">
        <v>43.97</v>
      </c>
      <c r="F192">
        <f>A192*1024/(C192*0.000001)/1000000000*C173</f>
        <v/>
      </c>
      <c r="G192">
        <f>E192/F192</f>
        <v/>
      </c>
    </row>
    <row r="193">
      <c r="A193" t="n">
        <v>65536</v>
      </c>
      <c r="B193" t="n">
        <v>1726.31</v>
      </c>
      <c r="C193">
        <f>C174+A193*1024*C172</f>
        <v/>
      </c>
      <c r="D193">
        <f>B193/C193</f>
        <v/>
      </c>
      <c r="E193" t="n">
        <v>76.53</v>
      </c>
      <c r="F193">
        <f>A193*1024/(C193*0.000001)/1000000000*C173</f>
        <v/>
      </c>
      <c r="G193">
        <f>E193/F193</f>
        <v/>
      </c>
    </row>
    <row r="194">
      <c r="A194" t="n">
        <v>131072</v>
      </c>
      <c r="B194" t="n">
        <v>2375.29</v>
      </c>
      <c r="C194">
        <f>C174+A194*1024*C172</f>
        <v/>
      </c>
      <c r="D194">
        <f>B194/C194</f>
        <v/>
      </c>
      <c r="E194" t="n">
        <v>111.25</v>
      </c>
      <c r="F194">
        <f>A194*1024/(C194*0.000001)/1000000000*C173</f>
        <v/>
      </c>
      <c r="G194">
        <f>E194/F194</f>
        <v/>
      </c>
    </row>
    <row r="195">
      <c r="A195" t="n">
        <v>262144</v>
      </c>
      <c r="B195" t="n">
        <v>3505.9</v>
      </c>
      <c r="C195">
        <f>C174+A195*1024*C172</f>
        <v/>
      </c>
      <c r="D195">
        <f>B195/C195</f>
        <v/>
      </c>
      <c r="E195" t="n">
        <v>150.74</v>
      </c>
      <c r="F195">
        <f>A195*1024/(C195*0.000001)/1000000000*C173</f>
        <v/>
      </c>
      <c r="G195">
        <f>E195/F195</f>
        <v/>
      </c>
    </row>
    <row r="196">
      <c r="A196" t="n">
        <v>524288</v>
      </c>
      <c r="B196" t="n">
        <v>5723.64</v>
      </c>
      <c r="C196">
        <f>C174+A196*1024*C172</f>
        <v/>
      </c>
      <c r="D196">
        <f>B196/C196</f>
        <v/>
      </c>
      <c r="E196" t="n">
        <v>184.67</v>
      </c>
      <c r="F196">
        <f>A196*1024/(C196*0.000001)/1000000000*C173</f>
        <v/>
      </c>
      <c r="G196">
        <f>E196/F196</f>
        <v/>
      </c>
    </row>
    <row r="197">
      <c r="A197" t="n">
        <v>1048576</v>
      </c>
      <c r="B197" t="n">
        <v>10129.3</v>
      </c>
      <c r="C197">
        <f>C174+A197*1024*C172</f>
        <v/>
      </c>
      <c r="D197">
        <f>B197/C197</f>
        <v/>
      </c>
      <c r="E197" t="n">
        <v>208.69</v>
      </c>
      <c r="F197">
        <f>A197*1024/(C197*0.000001)/1000000000*C173</f>
        <v/>
      </c>
      <c r="G197">
        <f>E197/F197</f>
        <v/>
      </c>
    </row>
    <row r="198">
      <c r="A198" t="n">
        <v>2097152</v>
      </c>
      <c r="B198" t="n">
        <v>19007.9</v>
      </c>
      <c r="C198">
        <f>C174+A198*1024*C172</f>
        <v/>
      </c>
      <c r="D198">
        <f>B198/C198</f>
        <v/>
      </c>
      <c r="E198" t="n">
        <v>222.43</v>
      </c>
      <c r="F198">
        <f>A198*1024/(C198*0.000001)/1000000000*C173</f>
        <v/>
      </c>
      <c r="G198">
        <f>E198/F198</f>
        <v/>
      </c>
    </row>
    <row r="199">
      <c r="A199" t="n">
        <v>4194304</v>
      </c>
      <c r="B199" t="n">
        <v>36727.4</v>
      </c>
      <c r="C199">
        <f>C174+A199*1024*C172</f>
        <v/>
      </c>
      <c r="D199">
        <f>B199/C199</f>
        <v/>
      </c>
      <c r="E199" t="n">
        <v>230.23</v>
      </c>
      <c r="F199">
        <f>A199*1024/(C199*0.000001)/1000000000*C173</f>
        <v/>
      </c>
      <c r="G199">
        <f>E199/F199</f>
        <v/>
      </c>
    </row>
    <row r="200"/>
    <row r="201">
      <c r="A201" t="inlineStr">
        <is>
          <t>Nodes: 8, Protocol: LL, Channels: 1</t>
        </is>
      </c>
    </row>
    <row r="202">
      <c r="A202" t="inlineStr">
        <is>
          <t>Parameter</t>
        </is>
      </c>
      <c r="B202" t="inlineStr">
        <is>
          <t>Formula</t>
        </is>
      </c>
      <c r="C202" t="inlineStr">
        <is>
          <t>Value</t>
        </is>
      </c>
    </row>
    <row r="203">
      <c r="A203" t="inlineStr">
        <is>
          <t>N</t>
        </is>
      </c>
      <c r="B203" t="inlineStr">
        <is>
          <t>nodes</t>
        </is>
      </c>
      <c r="C203" t="n">
        <v>8</v>
      </c>
    </row>
    <row r="204">
      <c r="A204" t="inlineStr">
        <is>
          <t>n</t>
        </is>
      </c>
      <c r="B204" t="inlineStr">
        <is>
          <t>GPUs/node</t>
        </is>
      </c>
      <c r="C204" t="n">
        <v>8</v>
      </c>
    </row>
    <row r="205">
      <c r="A205" t="inlineStr">
        <is>
          <t>n_total</t>
        </is>
      </c>
      <c r="B205" t="inlineStr">
        <is>
          <t>N*n</t>
        </is>
      </c>
      <c r="C205" t="n">
        <v>64</v>
      </c>
    </row>
    <row r="206">
      <c r="A206" t="inlineStr">
        <is>
          <t>nch_raw</t>
        </is>
      </c>
      <c r="B206" t="inlineStr">
        <is>
          <t>raw channels</t>
        </is>
      </c>
      <c r="C206" t="n">
        <v>1</v>
      </c>
    </row>
    <row r="207">
      <c r="A207" t="inlineStr">
        <is>
          <t>nch_eff</t>
        </is>
      </c>
      <c r="B207" t="inlineStr">
        <is>
          <t>min(nch_raw,8)</t>
        </is>
      </c>
      <c r="C207" t="n">
        <v>1</v>
      </c>
    </row>
    <row r="208">
      <c r="A208" t="inlineStr">
        <is>
          <t>a</t>
        </is>
      </c>
      <c r="B208" t="inlineStr">
        <is>
          <t>RTT (us)</t>
        </is>
      </c>
      <c r="C208" t="n">
        <v>24.92</v>
      </c>
    </row>
    <row r="209">
      <c r="A209" t="inlineStr">
        <is>
          <t>NIC_BW</t>
        </is>
      </c>
      <c r="B209" t="inlineStr">
        <is>
          <t>bytes/us</t>
        </is>
      </c>
      <c r="C209" t="n">
        <v>48750</v>
      </c>
    </row>
    <row r="210">
      <c r="A210" t="inlineStr">
        <is>
          <t>intra_node_latency</t>
        </is>
      </c>
      <c r="B210" t="inlineStr">
        <is>
          <t>us</t>
        </is>
      </c>
      <c r="C210" t="n">
        <v>8.4</v>
      </c>
    </row>
    <row r="211">
      <c r="A211" t="inlineStr">
        <is>
          <t>NIC_BW_REAL</t>
        </is>
      </c>
      <c r="B211" t="inlineStr">
        <is>
          <t>nch_eff*(NIC_BW/2)/3</t>
        </is>
      </c>
      <c r="C211">
        <f>C207*(C209/2)/3</f>
        <v/>
      </c>
    </row>
    <row r="212">
      <c r="A212" t="inlineStr">
        <is>
          <t>G</t>
        </is>
      </c>
      <c r="B212" t="inlineStr">
        <is>
          <t>1/NIC_BW_REAL</t>
        </is>
      </c>
      <c r="C212">
        <f>1/C211</f>
        <v/>
      </c>
    </row>
    <row r="213">
      <c r="A213" t="inlineStr">
        <is>
          <t>busbw_factor</t>
        </is>
      </c>
      <c r="B213" t="inlineStr">
        <is>
          <t>2*(n_total-1)/n_total</t>
        </is>
      </c>
      <c r="C213">
        <f>2*(C205-1)/C205</f>
        <v/>
      </c>
    </row>
    <row r="214">
      <c r="A214" t="inlineStr">
        <is>
          <t>fixed_overhead</t>
        </is>
      </c>
      <c r="B214" t="inlineStr">
        <is>
          <t>(2*LOG2(N)+1)*a/2+2*intra</t>
        </is>
      </c>
      <c r="C214">
        <f>(2*LOG(C203,2)+1)*C208/2+2*C210</f>
        <v/>
      </c>
    </row>
    <row r="215"/>
    <row r="216">
      <c r="A216" t="inlineStr">
        <is>
          <t>size_KB</t>
        </is>
      </c>
      <c r="B216" t="inlineStr">
        <is>
          <t>Actual Time (us)</t>
        </is>
      </c>
      <c r="C216" t="inlineStr">
        <is>
          <t>Roofline Time (us)</t>
        </is>
      </c>
      <c r="D216" t="inlineStr">
        <is>
          <t>Actual/Roofline</t>
        </is>
      </c>
      <c r="E216" t="inlineStr">
        <is>
          <t>Actual busBW (GB/s)</t>
        </is>
      </c>
      <c r="F216" t="inlineStr">
        <is>
          <t>Roofline busBW (GB/s)</t>
        </is>
      </c>
      <c r="G216" t="inlineStr">
        <is>
          <t>Meas/Roof busBW</t>
        </is>
      </c>
    </row>
    <row r="217">
      <c r="A217" t="n">
        <v>1</v>
      </c>
      <c r="B217" t="n">
        <v>100.29</v>
      </c>
      <c r="C217">
        <f>C214+A217*1024*C212</f>
        <v/>
      </c>
      <c r="D217">
        <f>B217/C217</f>
        <v/>
      </c>
      <c r="E217" t="n">
        <v>0.02</v>
      </c>
      <c r="F217">
        <f>A217*1024/(C217*0.000001)/1000000000*C213</f>
        <v/>
      </c>
      <c r="G217">
        <f>E217/F217</f>
        <v/>
      </c>
    </row>
    <row r="218">
      <c r="A218" t="n">
        <v>2</v>
      </c>
      <c r="B218" t="n">
        <v>103.13</v>
      </c>
      <c r="C218">
        <f>C214+A218*1024*C212</f>
        <v/>
      </c>
      <c r="D218">
        <f>B218/C218</f>
        <v/>
      </c>
      <c r="E218" t="n">
        <v>0.04</v>
      </c>
      <c r="F218">
        <f>A218*1024/(C218*0.000001)/1000000000*C213</f>
        <v/>
      </c>
      <c r="G218">
        <f>E218/F218</f>
        <v/>
      </c>
    </row>
    <row r="219">
      <c r="A219" t="n">
        <v>4</v>
      </c>
      <c r="B219" t="n">
        <v>116.73</v>
      </c>
      <c r="C219">
        <f>C214+A219*1024*C212</f>
        <v/>
      </c>
      <c r="D219">
        <f>B219/C219</f>
        <v/>
      </c>
      <c r="E219" t="n">
        <v>0.07000000000000001</v>
      </c>
      <c r="F219">
        <f>A219*1024/(C219*0.000001)/1000000000*C213</f>
        <v/>
      </c>
      <c r="G219">
        <f>E219/F219</f>
        <v/>
      </c>
    </row>
    <row r="220">
      <c r="A220" t="n">
        <v>8</v>
      </c>
      <c r="B220" t="n">
        <v>129.1</v>
      </c>
      <c r="C220">
        <f>C214+A220*1024*C212</f>
        <v/>
      </c>
      <c r="D220">
        <f>B220/C220</f>
        <v/>
      </c>
      <c r="E220" t="n">
        <v>0.12</v>
      </c>
      <c r="F220">
        <f>A220*1024/(C220*0.000001)/1000000000*C213</f>
        <v/>
      </c>
      <c r="G220">
        <f>E220/F220</f>
        <v/>
      </c>
    </row>
    <row r="221">
      <c r="A221" t="n">
        <v>16</v>
      </c>
      <c r="B221" t="n">
        <v>146.24</v>
      </c>
      <c r="C221">
        <f>C214+A221*1024*C212</f>
        <v/>
      </c>
      <c r="D221">
        <f>B221/C221</f>
        <v/>
      </c>
      <c r="E221" t="n">
        <v>0.22</v>
      </c>
      <c r="F221">
        <f>A221*1024/(C221*0.000001)/1000000000*C213</f>
        <v/>
      </c>
      <c r="G221">
        <f>E221/F221</f>
        <v/>
      </c>
    </row>
    <row r="222">
      <c r="A222" t="n">
        <v>32</v>
      </c>
      <c r="B222" t="n">
        <v>183.61</v>
      </c>
      <c r="C222">
        <f>C214+A222*1024*C212</f>
        <v/>
      </c>
      <c r="D222">
        <f>B222/C222</f>
        <v/>
      </c>
      <c r="E222" t="n">
        <v>0.35</v>
      </c>
      <c r="F222">
        <f>A222*1024/(C222*0.000001)/1000000000*C213</f>
        <v/>
      </c>
      <c r="G222">
        <f>E222/F222</f>
        <v/>
      </c>
    </row>
    <row r="223">
      <c r="A223" t="n">
        <v>64</v>
      </c>
      <c r="B223" t="n">
        <v>199.94</v>
      </c>
      <c r="C223">
        <f>C214+A223*1024*C212</f>
        <v/>
      </c>
      <c r="D223">
        <f>B223/C223</f>
        <v/>
      </c>
      <c r="E223" t="n">
        <v>0.65</v>
      </c>
      <c r="F223">
        <f>A223*1024/(C223*0.000001)/1000000000*C213</f>
        <v/>
      </c>
      <c r="G223">
        <f>E223/F223</f>
        <v/>
      </c>
    </row>
    <row r="224">
      <c r="A224" t="n">
        <v>128</v>
      </c>
      <c r="B224" t="n">
        <v>223.33</v>
      </c>
      <c r="C224">
        <f>C214+A224*1024*C212</f>
        <v/>
      </c>
      <c r="D224">
        <f>B224/C224</f>
        <v/>
      </c>
      <c r="E224" t="n">
        <v>1.16</v>
      </c>
      <c r="F224">
        <f>A224*1024/(C224*0.000001)/1000000000*C213</f>
        <v/>
      </c>
      <c r="G224">
        <f>E224/F224</f>
        <v/>
      </c>
    </row>
    <row r="225">
      <c r="A225" t="n">
        <v>256</v>
      </c>
      <c r="B225" t="n">
        <v>279.09</v>
      </c>
      <c r="C225">
        <f>C214+A225*1024*C212</f>
        <v/>
      </c>
      <c r="D225">
        <f>B225/C225</f>
        <v/>
      </c>
      <c r="E225" t="n">
        <v>1.85</v>
      </c>
      <c r="F225">
        <f>A225*1024/(C225*0.000001)/1000000000*C213</f>
        <v/>
      </c>
      <c r="G225">
        <f>E225/F225</f>
        <v/>
      </c>
    </row>
    <row r="226">
      <c r="A226" t="n">
        <v>512</v>
      </c>
      <c r="B226" t="n">
        <v>436.66</v>
      </c>
      <c r="C226">
        <f>C214+A226*1024*C212</f>
        <v/>
      </c>
      <c r="D226">
        <f>B226/C226</f>
        <v/>
      </c>
      <c r="E226" t="n">
        <v>2.36</v>
      </c>
      <c r="F226">
        <f>A226*1024/(C226*0.000001)/1000000000*C213</f>
        <v/>
      </c>
      <c r="G226">
        <f>E226/F226</f>
        <v/>
      </c>
    </row>
    <row r="227">
      <c r="A227" t="n">
        <v>1024</v>
      </c>
      <c r="B227" t="n">
        <v>745.5700000000001</v>
      </c>
      <c r="C227">
        <f>C214+A227*1024*C212</f>
        <v/>
      </c>
      <c r="D227">
        <f>B227/C227</f>
        <v/>
      </c>
      <c r="E227" t="n">
        <v>2.77</v>
      </c>
      <c r="F227">
        <f>A227*1024/(C227*0.000001)/1000000000*C213</f>
        <v/>
      </c>
      <c r="G227">
        <f>E227/F227</f>
        <v/>
      </c>
    </row>
    <row r="228">
      <c r="A228" t="n">
        <v>2048</v>
      </c>
      <c r="B228" t="n">
        <v>1370.74</v>
      </c>
      <c r="C228">
        <f>C214+A228*1024*C212</f>
        <v/>
      </c>
      <c r="D228">
        <f>B228/C228</f>
        <v/>
      </c>
      <c r="E228" t="n">
        <v>3.01</v>
      </c>
      <c r="F228">
        <f>A228*1024/(C228*0.000001)/1000000000*C213</f>
        <v/>
      </c>
      <c r="G228">
        <f>E228/F228</f>
        <v/>
      </c>
    </row>
    <row r="229">
      <c r="A229" t="n">
        <v>4096</v>
      </c>
      <c r="B229" t="n">
        <v>2612.73</v>
      </c>
      <c r="C229">
        <f>C214+A229*1024*C212</f>
        <v/>
      </c>
      <c r="D229">
        <f>B229/C229</f>
        <v/>
      </c>
      <c r="E229" t="n">
        <v>3.16</v>
      </c>
      <c r="F229">
        <f>A229*1024/(C229*0.000001)/1000000000*C213</f>
        <v/>
      </c>
      <c r="G229">
        <f>E229/F229</f>
        <v/>
      </c>
    </row>
    <row r="230">
      <c r="A230" t="n">
        <v>8192</v>
      </c>
      <c r="B230" t="n">
        <v>5084.21</v>
      </c>
      <c r="C230">
        <f>C214+A230*1024*C212</f>
        <v/>
      </c>
      <c r="D230">
        <f>B230/C230</f>
        <v/>
      </c>
      <c r="E230" t="n">
        <v>3.25</v>
      </c>
      <c r="F230">
        <f>A230*1024/(C230*0.000001)/1000000000*C213</f>
        <v/>
      </c>
      <c r="G230">
        <f>E230/F230</f>
        <v/>
      </c>
    </row>
    <row r="231">
      <c r="A231" t="n">
        <v>16384</v>
      </c>
      <c r="B231" t="n">
        <v>9996.93</v>
      </c>
      <c r="C231">
        <f>C214+A231*1024*C212</f>
        <v/>
      </c>
      <c r="D231">
        <f>B231/C231</f>
        <v/>
      </c>
      <c r="E231" t="n">
        <v>3.3</v>
      </c>
      <c r="F231">
        <f>A231*1024/(C231*0.000001)/1000000000*C213</f>
        <v/>
      </c>
      <c r="G231">
        <f>E231/F231</f>
        <v/>
      </c>
    </row>
    <row r="232">
      <c r="A232" t="n">
        <v>32768</v>
      </c>
      <c r="B232" t="n">
        <v>19816.2</v>
      </c>
      <c r="C232">
        <f>C214+A232*1024*C212</f>
        <v/>
      </c>
      <c r="D232">
        <f>B232/C232</f>
        <v/>
      </c>
      <c r="E232" t="n">
        <v>3.33</v>
      </c>
      <c r="F232">
        <f>A232*1024/(C232*0.000001)/1000000000*C213</f>
        <v/>
      </c>
      <c r="G232">
        <f>E232/F232</f>
        <v/>
      </c>
    </row>
    <row r="233">
      <c r="A233" t="n">
        <v>65536</v>
      </c>
      <c r="B233" t="n">
        <v>39476.8</v>
      </c>
      <c r="C233">
        <f>C214+A233*1024*C212</f>
        <v/>
      </c>
      <c r="D233">
        <f>B233/C233</f>
        <v/>
      </c>
      <c r="E233" t="n">
        <v>3.35</v>
      </c>
      <c r="F233">
        <f>A233*1024/(C233*0.000001)/1000000000*C213</f>
        <v/>
      </c>
      <c r="G233">
        <f>E233/F233</f>
        <v/>
      </c>
    </row>
    <row r="234">
      <c r="A234" t="n">
        <v>131072</v>
      </c>
      <c r="B234" t="n">
        <v>78577.10000000001</v>
      </c>
      <c r="C234">
        <f>C214+A234*1024*C212</f>
        <v/>
      </c>
      <c r="D234">
        <f>B234/C234</f>
        <v/>
      </c>
      <c r="E234" t="n">
        <v>3.36</v>
      </c>
      <c r="F234">
        <f>A234*1024/(C234*0.000001)/1000000000*C213</f>
        <v/>
      </c>
      <c r="G234">
        <f>E234/F234</f>
        <v/>
      </c>
    </row>
    <row r="235">
      <c r="A235" t="n">
        <v>262144</v>
      </c>
      <c r="B235" t="n">
        <v>157078</v>
      </c>
      <c r="C235">
        <f>C214+A235*1024*C212</f>
        <v/>
      </c>
      <c r="D235">
        <f>B235/C235</f>
        <v/>
      </c>
      <c r="E235" t="n">
        <v>3.36</v>
      </c>
      <c r="F235">
        <f>A235*1024/(C235*0.000001)/1000000000*C213</f>
        <v/>
      </c>
      <c r="G235">
        <f>E235/F235</f>
        <v/>
      </c>
    </row>
    <row r="236">
      <c r="A236" t="n">
        <v>524288</v>
      </c>
      <c r="B236" t="n">
        <v>313940</v>
      </c>
      <c r="C236">
        <f>C214+A236*1024*C212</f>
        <v/>
      </c>
      <c r="D236">
        <f>B236/C236</f>
        <v/>
      </c>
      <c r="E236" t="n">
        <v>3.37</v>
      </c>
      <c r="F236">
        <f>A236*1024/(C236*0.000001)/1000000000*C213</f>
        <v/>
      </c>
      <c r="G236">
        <f>E236/F236</f>
        <v/>
      </c>
    </row>
    <row r="237">
      <c r="A237" t="n">
        <v>1048576</v>
      </c>
      <c r="B237" t="n">
        <v>627049</v>
      </c>
      <c r="C237">
        <f>C214+A237*1024*C212</f>
        <v/>
      </c>
      <c r="D237">
        <f>B237/C237</f>
        <v/>
      </c>
      <c r="E237" t="n">
        <v>3.37</v>
      </c>
      <c r="F237">
        <f>A237*1024/(C237*0.000001)/1000000000*C213</f>
        <v/>
      </c>
      <c r="G237">
        <f>E237/F237</f>
        <v/>
      </c>
    </row>
    <row r="238"/>
    <row r="239">
      <c r="A239" t="inlineStr">
        <is>
          <t>Nodes: 8, Protocol: LL, Channels: 2</t>
        </is>
      </c>
    </row>
    <row r="240">
      <c r="A240" t="inlineStr">
        <is>
          <t>Parameter</t>
        </is>
      </c>
      <c r="B240" t="inlineStr">
        <is>
          <t>Formula</t>
        </is>
      </c>
      <c r="C240" t="inlineStr">
        <is>
          <t>Value</t>
        </is>
      </c>
    </row>
    <row r="241">
      <c r="A241" t="inlineStr">
        <is>
          <t>N</t>
        </is>
      </c>
      <c r="B241" t="inlineStr">
        <is>
          <t>nodes</t>
        </is>
      </c>
      <c r="C241" t="n">
        <v>8</v>
      </c>
    </row>
    <row r="242">
      <c r="A242" t="inlineStr">
        <is>
          <t>n</t>
        </is>
      </c>
      <c r="B242" t="inlineStr">
        <is>
          <t>GPUs/node</t>
        </is>
      </c>
      <c r="C242" t="n">
        <v>8</v>
      </c>
    </row>
    <row r="243">
      <c r="A243" t="inlineStr">
        <is>
          <t>n_total</t>
        </is>
      </c>
      <c r="B243" t="inlineStr">
        <is>
          <t>N*n</t>
        </is>
      </c>
      <c r="C243" t="n">
        <v>64</v>
      </c>
    </row>
    <row r="244">
      <c r="A244" t="inlineStr">
        <is>
          <t>nch_raw</t>
        </is>
      </c>
      <c r="B244" t="inlineStr">
        <is>
          <t>raw channels</t>
        </is>
      </c>
      <c r="C244" t="n">
        <v>2</v>
      </c>
    </row>
    <row r="245">
      <c r="A245" t="inlineStr">
        <is>
          <t>nch_eff</t>
        </is>
      </c>
      <c r="B245" t="inlineStr">
        <is>
          <t>min(nch_raw,8)</t>
        </is>
      </c>
      <c r="C245" t="n">
        <v>2</v>
      </c>
    </row>
    <row r="246">
      <c r="A246" t="inlineStr">
        <is>
          <t>a</t>
        </is>
      </c>
      <c r="B246" t="inlineStr">
        <is>
          <t>RTT (us)</t>
        </is>
      </c>
      <c r="C246" t="n">
        <v>24.92</v>
      </c>
    </row>
    <row r="247">
      <c r="A247" t="inlineStr">
        <is>
          <t>NIC_BW</t>
        </is>
      </c>
      <c r="B247" t="inlineStr">
        <is>
          <t>bytes/us</t>
        </is>
      </c>
      <c r="C247" t="n">
        <v>48750</v>
      </c>
    </row>
    <row r="248">
      <c r="A248" t="inlineStr">
        <is>
          <t>intra_node_latency</t>
        </is>
      </c>
      <c r="B248" t="inlineStr">
        <is>
          <t>us</t>
        </is>
      </c>
      <c r="C248" t="n">
        <v>8.4</v>
      </c>
    </row>
    <row r="249">
      <c r="A249" t="inlineStr">
        <is>
          <t>NIC_BW_REAL</t>
        </is>
      </c>
      <c r="B249" t="inlineStr">
        <is>
          <t>nch_eff*(NIC_BW/2)/3</t>
        </is>
      </c>
      <c r="C249">
        <f>C245*(C247/2)/3</f>
        <v/>
      </c>
    </row>
    <row r="250">
      <c r="A250" t="inlineStr">
        <is>
          <t>G</t>
        </is>
      </c>
      <c r="B250" t="inlineStr">
        <is>
          <t>1/NIC_BW_REAL</t>
        </is>
      </c>
      <c r="C250">
        <f>1/C249</f>
        <v/>
      </c>
    </row>
    <row r="251">
      <c r="A251" t="inlineStr">
        <is>
          <t>busbw_factor</t>
        </is>
      </c>
      <c r="B251" t="inlineStr">
        <is>
          <t>2*(n_total-1)/n_total</t>
        </is>
      </c>
      <c r="C251">
        <f>2*(C243-1)/C243</f>
        <v/>
      </c>
    </row>
    <row r="252">
      <c r="A252" t="inlineStr">
        <is>
          <t>fixed_overhead</t>
        </is>
      </c>
      <c r="B252" t="inlineStr">
        <is>
          <t>(2*LOG2(N)+1)*a/2+2*intra</t>
        </is>
      </c>
      <c r="C252">
        <f>(2*LOG(C241,2)+1)*C246/2+2*C248</f>
        <v/>
      </c>
    </row>
    <row r="253"/>
    <row r="254">
      <c r="A254" t="inlineStr">
        <is>
          <t>size_KB</t>
        </is>
      </c>
      <c r="B254" t="inlineStr">
        <is>
          <t>Actual Time (us)</t>
        </is>
      </c>
      <c r="C254" t="inlineStr">
        <is>
          <t>Roofline Time (us)</t>
        </is>
      </c>
      <c r="D254" t="inlineStr">
        <is>
          <t>Actual/Roofline</t>
        </is>
      </c>
      <c r="E254" t="inlineStr">
        <is>
          <t>Actual busBW (GB/s)</t>
        </is>
      </c>
      <c r="F254" t="inlineStr">
        <is>
          <t>Roofline busBW (GB/s)</t>
        </is>
      </c>
      <c r="G254" t="inlineStr">
        <is>
          <t>Meas/Roof busBW</t>
        </is>
      </c>
    </row>
    <row r="255">
      <c r="A255" t="n">
        <v>1</v>
      </c>
      <c r="B255" t="n">
        <v>150.96</v>
      </c>
      <c r="C255">
        <f>C252+A255*1024*C250</f>
        <v/>
      </c>
      <c r="D255">
        <f>B255/C255</f>
        <v/>
      </c>
      <c r="E255" t="n">
        <v>0.01</v>
      </c>
      <c r="F255">
        <f>A255*1024/(C255*0.000001)/1000000000*C251</f>
        <v/>
      </c>
      <c r="G255">
        <f>E255/F255</f>
        <v/>
      </c>
    </row>
    <row r="256">
      <c r="A256" t="n">
        <v>2</v>
      </c>
      <c r="B256" t="n">
        <v>102.86</v>
      </c>
      <c r="C256">
        <f>C252+A256*1024*C250</f>
        <v/>
      </c>
      <c r="D256">
        <f>B256/C256</f>
        <v/>
      </c>
      <c r="E256" t="n">
        <v>0.04</v>
      </c>
      <c r="F256">
        <f>A256*1024/(C256*0.000001)/1000000000*C251</f>
        <v/>
      </c>
      <c r="G256">
        <f>E256/F256</f>
        <v/>
      </c>
    </row>
    <row r="257">
      <c r="A257" t="n">
        <v>4</v>
      </c>
      <c r="B257" t="n">
        <v>115.84</v>
      </c>
      <c r="C257">
        <f>C252+A257*1024*C250</f>
        <v/>
      </c>
      <c r="D257">
        <f>B257/C257</f>
        <v/>
      </c>
      <c r="E257" t="n">
        <v>0.07000000000000001</v>
      </c>
      <c r="F257">
        <f>A257*1024/(C257*0.000001)/1000000000*C251</f>
        <v/>
      </c>
      <c r="G257">
        <f>E257/F257</f>
        <v/>
      </c>
    </row>
    <row r="258">
      <c r="A258" t="n">
        <v>8</v>
      </c>
      <c r="B258" t="n">
        <v>118.72</v>
      </c>
      <c r="C258">
        <f>C252+A258*1024*C250</f>
        <v/>
      </c>
      <c r="D258">
        <f>B258/C258</f>
        <v/>
      </c>
      <c r="E258" t="n">
        <v>0.14</v>
      </c>
      <c r="F258">
        <f>A258*1024/(C258*0.000001)/1000000000*C251</f>
        <v/>
      </c>
      <c r="G258">
        <f>E258/F258</f>
        <v/>
      </c>
    </row>
    <row r="259">
      <c r="A259" t="n">
        <v>16</v>
      </c>
      <c r="B259" t="n">
        <v>130.87</v>
      </c>
      <c r="C259">
        <f>C252+A259*1024*C250</f>
        <v/>
      </c>
      <c r="D259">
        <f>B259/C259</f>
        <v/>
      </c>
      <c r="E259" t="n">
        <v>0.25</v>
      </c>
      <c r="F259">
        <f>A259*1024/(C259*0.000001)/1000000000*C251</f>
        <v/>
      </c>
      <c r="G259">
        <f>E259/F259</f>
        <v/>
      </c>
    </row>
    <row r="260">
      <c r="A260" t="n">
        <v>32</v>
      </c>
      <c r="B260" t="n">
        <v>149.16</v>
      </c>
      <c r="C260">
        <f>C252+A260*1024*C250</f>
        <v/>
      </c>
      <c r="D260">
        <f>B260/C260</f>
        <v/>
      </c>
      <c r="E260" t="n">
        <v>0.43</v>
      </c>
      <c r="F260">
        <f>A260*1024/(C260*0.000001)/1000000000*C251</f>
        <v/>
      </c>
      <c r="G260">
        <f>E260/F260</f>
        <v/>
      </c>
    </row>
    <row r="261">
      <c r="A261" t="n">
        <v>64</v>
      </c>
      <c r="B261" t="n">
        <v>187.61</v>
      </c>
      <c r="C261">
        <f>C252+A261*1024*C250</f>
        <v/>
      </c>
      <c r="D261">
        <f>B261/C261</f>
        <v/>
      </c>
      <c r="E261" t="n">
        <v>0.6899999999999999</v>
      </c>
      <c r="F261">
        <f>A261*1024/(C261*0.000001)/1000000000*C251</f>
        <v/>
      </c>
      <c r="G261">
        <f>E261/F261</f>
        <v/>
      </c>
    </row>
    <row r="262">
      <c r="A262" t="n">
        <v>128</v>
      </c>
      <c r="B262" t="n">
        <v>202.58</v>
      </c>
      <c r="C262">
        <f>C252+A262*1024*C250</f>
        <v/>
      </c>
      <c r="D262">
        <f>B262/C262</f>
        <v/>
      </c>
      <c r="E262" t="n">
        <v>1.27</v>
      </c>
      <c r="F262">
        <f>A262*1024/(C262*0.000001)/1000000000*C251</f>
        <v/>
      </c>
      <c r="G262">
        <f>E262/F262</f>
        <v/>
      </c>
    </row>
    <row r="263">
      <c r="A263" t="n">
        <v>256</v>
      </c>
      <c r="B263" t="n">
        <v>230.58</v>
      </c>
      <c r="C263">
        <f>C252+A263*1024*C250</f>
        <v/>
      </c>
      <c r="D263">
        <f>B263/C263</f>
        <v/>
      </c>
      <c r="E263" t="n">
        <v>2.24</v>
      </c>
      <c r="F263">
        <f>A263*1024/(C263*0.000001)/1000000000*C251</f>
        <v/>
      </c>
      <c r="G263">
        <f>E263/F263</f>
        <v/>
      </c>
    </row>
    <row r="264">
      <c r="A264" t="n">
        <v>512</v>
      </c>
      <c r="B264" t="n">
        <v>294.42</v>
      </c>
      <c r="C264">
        <f>C252+A264*1024*C250</f>
        <v/>
      </c>
      <c r="D264">
        <f>B264/C264</f>
        <v/>
      </c>
      <c r="E264" t="n">
        <v>3.51</v>
      </c>
      <c r="F264">
        <f>A264*1024/(C264*0.000001)/1000000000*C251</f>
        <v/>
      </c>
      <c r="G264">
        <f>E264/F264</f>
        <v/>
      </c>
    </row>
    <row r="265">
      <c r="A265" t="n">
        <v>1024</v>
      </c>
      <c r="B265" t="n">
        <v>458.22</v>
      </c>
      <c r="C265">
        <f>C252+A265*1024*C250</f>
        <v/>
      </c>
      <c r="D265">
        <f>B265/C265</f>
        <v/>
      </c>
      <c r="E265" t="n">
        <v>4.51</v>
      </c>
      <c r="F265">
        <f>A265*1024/(C265*0.000001)/1000000000*C251</f>
        <v/>
      </c>
      <c r="G265">
        <f>E265/F265</f>
        <v/>
      </c>
    </row>
    <row r="266">
      <c r="A266" t="n">
        <v>2048</v>
      </c>
      <c r="B266" t="n">
        <v>795.6799999999999</v>
      </c>
      <c r="C266">
        <f>C252+A266*1024*C250</f>
        <v/>
      </c>
      <c r="D266">
        <f>B266/C266</f>
        <v/>
      </c>
      <c r="E266" t="n">
        <v>5.19</v>
      </c>
      <c r="F266">
        <f>A266*1024/(C266*0.000001)/1000000000*C251</f>
        <v/>
      </c>
      <c r="G266">
        <f>E266/F266</f>
        <v/>
      </c>
    </row>
    <row r="267">
      <c r="A267" t="n">
        <v>4096</v>
      </c>
      <c r="B267" t="n">
        <v>1457.69</v>
      </c>
      <c r="C267">
        <f>C252+A267*1024*C250</f>
        <v/>
      </c>
      <c r="D267">
        <f>B267/C267</f>
        <v/>
      </c>
      <c r="E267" t="n">
        <v>5.66</v>
      </c>
      <c r="F267">
        <f>A267*1024/(C267*0.000001)/1000000000*C251</f>
        <v/>
      </c>
      <c r="G267">
        <f>E267/F267</f>
        <v/>
      </c>
    </row>
    <row r="268">
      <c r="A268" t="n">
        <v>8192</v>
      </c>
      <c r="B268" t="n">
        <v>2762.21</v>
      </c>
      <c r="C268">
        <f>C252+A268*1024*C250</f>
        <v/>
      </c>
      <c r="D268">
        <f>B268/C268</f>
        <v/>
      </c>
      <c r="E268" t="n">
        <v>5.98</v>
      </c>
      <c r="F268">
        <f>A268*1024/(C268*0.000001)/1000000000*C251</f>
        <v/>
      </c>
      <c r="G268">
        <f>E268/F268</f>
        <v/>
      </c>
    </row>
    <row r="269">
      <c r="A269" t="n">
        <v>16384</v>
      </c>
      <c r="B269" t="n">
        <v>5382.86</v>
      </c>
      <c r="C269">
        <f>C252+A269*1024*C250</f>
        <v/>
      </c>
      <c r="D269">
        <f>B269/C269</f>
        <v/>
      </c>
      <c r="E269" t="n">
        <v>6.14</v>
      </c>
      <c r="F269">
        <f>A269*1024/(C269*0.000001)/1000000000*C251</f>
        <v/>
      </c>
      <c r="G269">
        <f>E269/F269</f>
        <v/>
      </c>
    </row>
    <row r="270">
      <c r="A270" t="n">
        <v>32768</v>
      </c>
      <c r="B270" t="n">
        <v>10615.3</v>
      </c>
      <c r="C270">
        <f>C252+A270*1024*C250</f>
        <v/>
      </c>
      <c r="D270">
        <f>B270/C270</f>
        <v/>
      </c>
      <c r="E270" t="n">
        <v>6.22</v>
      </c>
      <c r="F270">
        <f>A270*1024/(C270*0.000001)/1000000000*C251</f>
        <v/>
      </c>
      <c r="G270">
        <f>E270/F270</f>
        <v/>
      </c>
    </row>
    <row r="271">
      <c r="A271" t="n">
        <v>65536</v>
      </c>
      <c r="B271" t="n">
        <v>21007.6</v>
      </c>
      <c r="C271">
        <f>C252+A271*1024*C250</f>
        <v/>
      </c>
      <c r="D271">
        <f>B271/C271</f>
        <v/>
      </c>
      <c r="E271" t="n">
        <v>6.29</v>
      </c>
      <c r="F271">
        <f>A271*1024/(C271*0.000001)/1000000000*C251</f>
        <v/>
      </c>
      <c r="G271">
        <f>E271/F271</f>
        <v/>
      </c>
    </row>
    <row r="272">
      <c r="A272" t="n">
        <v>131072</v>
      </c>
      <c r="B272" t="n">
        <v>41832.1</v>
      </c>
      <c r="C272">
        <f>C252+A272*1024*C250</f>
        <v/>
      </c>
      <c r="D272">
        <f>B272/C272</f>
        <v/>
      </c>
      <c r="E272" t="n">
        <v>6.32</v>
      </c>
      <c r="F272">
        <f>A272*1024/(C272*0.000001)/1000000000*C251</f>
        <v/>
      </c>
      <c r="G272">
        <f>E272/F272</f>
        <v/>
      </c>
    </row>
    <row r="273">
      <c r="A273" t="n">
        <v>262144</v>
      </c>
      <c r="B273" t="n">
        <v>83300.39999999999</v>
      </c>
      <c r="C273">
        <f>C252+A273*1024*C250</f>
        <v/>
      </c>
      <c r="D273">
        <f>B273/C273</f>
        <v/>
      </c>
      <c r="E273" t="n">
        <v>6.34</v>
      </c>
      <c r="F273">
        <f>A273*1024/(C273*0.000001)/1000000000*C251</f>
        <v/>
      </c>
      <c r="G273">
        <f>E273/F273</f>
        <v/>
      </c>
    </row>
    <row r="274">
      <c r="A274" t="n">
        <v>524288</v>
      </c>
      <c r="B274" t="n">
        <v>166237</v>
      </c>
      <c r="C274">
        <f>C252+A274*1024*C250</f>
        <v/>
      </c>
      <c r="D274">
        <f>B274/C274</f>
        <v/>
      </c>
      <c r="E274" t="n">
        <v>6.36</v>
      </c>
      <c r="F274">
        <f>A274*1024/(C274*0.000001)/1000000000*C251</f>
        <v/>
      </c>
      <c r="G274">
        <f>E274/F274</f>
        <v/>
      </c>
    </row>
    <row r="275">
      <c r="A275" t="n">
        <v>1048576</v>
      </c>
      <c r="B275" t="n">
        <v>332032</v>
      </c>
      <c r="C275">
        <f>C252+A275*1024*C250</f>
        <v/>
      </c>
      <c r="D275">
        <f>B275/C275</f>
        <v/>
      </c>
      <c r="E275" t="n">
        <v>6.37</v>
      </c>
      <c r="F275">
        <f>A275*1024/(C275*0.000001)/1000000000*C251</f>
        <v/>
      </c>
      <c r="G275">
        <f>E275/F275</f>
        <v/>
      </c>
    </row>
    <row r="276"/>
    <row r="277">
      <c r="A277" t="inlineStr">
        <is>
          <t>Nodes: 8, Protocol: LL, Channels: 4</t>
        </is>
      </c>
    </row>
    <row r="278">
      <c r="A278" t="inlineStr">
        <is>
          <t>Parameter</t>
        </is>
      </c>
      <c r="B278" t="inlineStr">
        <is>
          <t>Formula</t>
        </is>
      </c>
      <c r="C278" t="inlineStr">
        <is>
          <t>Value</t>
        </is>
      </c>
    </row>
    <row r="279">
      <c r="A279" t="inlineStr">
        <is>
          <t>N</t>
        </is>
      </c>
      <c r="B279" t="inlineStr">
        <is>
          <t>nodes</t>
        </is>
      </c>
      <c r="C279" t="n">
        <v>8</v>
      </c>
    </row>
    <row r="280">
      <c r="A280" t="inlineStr">
        <is>
          <t>n</t>
        </is>
      </c>
      <c r="B280" t="inlineStr">
        <is>
          <t>GPUs/node</t>
        </is>
      </c>
      <c r="C280" t="n">
        <v>8</v>
      </c>
    </row>
    <row r="281">
      <c r="A281" t="inlineStr">
        <is>
          <t>n_total</t>
        </is>
      </c>
      <c r="B281" t="inlineStr">
        <is>
          <t>N*n</t>
        </is>
      </c>
      <c r="C281" t="n">
        <v>64</v>
      </c>
    </row>
    <row r="282">
      <c r="A282" t="inlineStr">
        <is>
          <t>nch_raw</t>
        </is>
      </c>
      <c r="B282" t="inlineStr">
        <is>
          <t>raw channels</t>
        </is>
      </c>
      <c r="C282" t="n">
        <v>4</v>
      </c>
    </row>
    <row r="283">
      <c r="A283" t="inlineStr">
        <is>
          <t>nch_eff</t>
        </is>
      </c>
      <c r="B283" t="inlineStr">
        <is>
          <t>min(nch_raw,8)</t>
        </is>
      </c>
      <c r="C283" t="n">
        <v>4</v>
      </c>
    </row>
    <row r="284">
      <c r="A284" t="inlineStr">
        <is>
          <t>a</t>
        </is>
      </c>
      <c r="B284" t="inlineStr">
        <is>
          <t>RTT (us)</t>
        </is>
      </c>
      <c r="C284" t="n">
        <v>24.92</v>
      </c>
    </row>
    <row r="285">
      <c r="A285" t="inlineStr">
        <is>
          <t>NIC_BW</t>
        </is>
      </c>
      <c r="B285" t="inlineStr">
        <is>
          <t>bytes/us</t>
        </is>
      </c>
      <c r="C285" t="n">
        <v>48750</v>
      </c>
    </row>
    <row r="286">
      <c r="A286" t="inlineStr">
        <is>
          <t>intra_node_latency</t>
        </is>
      </c>
      <c r="B286" t="inlineStr">
        <is>
          <t>us</t>
        </is>
      </c>
      <c r="C286" t="n">
        <v>8.4</v>
      </c>
    </row>
    <row r="287">
      <c r="A287" t="inlineStr">
        <is>
          <t>NIC_BW_REAL</t>
        </is>
      </c>
      <c r="B287" t="inlineStr">
        <is>
          <t>nch_eff*(NIC_BW/2)/3</t>
        </is>
      </c>
      <c r="C287">
        <f>C283*(C285/2)/3</f>
        <v/>
      </c>
    </row>
    <row r="288">
      <c r="A288" t="inlineStr">
        <is>
          <t>G</t>
        </is>
      </c>
      <c r="B288" t="inlineStr">
        <is>
          <t>1/NIC_BW_REAL</t>
        </is>
      </c>
      <c r="C288">
        <f>1/C287</f>
        <v/>
      </c>
    </row>
    <row r="289">
      <c r="A289" t="inlineStr">
        <is>
          <t>busbw_factor</t>
        </is>
      </c>
      <c r="B289" t="inlineStr">
        <is>
          <t>2*(n_total-1)/n_total</t>
        </is>
      </c>
      <c r="C289">
        <f>2*(C281-1)/C281</f>
        <v/>
      </c>
    </row>
    <row r="290">
      <c r="A290" t="inlineStr">
        <is>
          <t>fixed_overhead</t>
        </is>
      </c>
      <c r="B290" t="inlineStr">
        <is>
          <t>(2*LOG2(N)+1)*a/2+2*intra</t>
        </is>
      </c>
      <c r="C290">
        <f>(2*LOG(C279,2)+1)*C284/2+2*C286</f>
        <v/>
      </c>
    </row>
    <row r="291"/>
    <row r="292">
      <c r="A292" t="inlineStr">
        <is>
          <t>size_KB</t>
        </is>
      </c>
      <c r="B292" t="inlineStr">
        <is>
          <t>Actual Time (us)</t>
        </is>
      </c>
      <c r="C292" t="inlineStr">
        <is>
          <t>Roofline Time (us)</t>
        </is>
      </c>
      <c r="D292" t="inlineStr">
        <is>
          <t>Actual/Roofline</t>
        </is>
      </c>
      <c r="E292" t="inlineStr">
        <is>
          <t>Actual busBW (GB/s)</t>
        </is>
      </c>
      <c r="F292" t="inlineStr">
        <is>
          <t>Roofline busBW (GB/s)</t>
        </is>
      </c>
      <c r="G292" t="inlineStr">
        <is>
          <t>Meas/Roof busBW</t>
        </is>
      </c>
    </row>
    <row r="293">
      <c r="A293" t="n">
        <v>1</v>
      </c>
      <c r="B293" t="n">
        <v>102.3</v>
      </c>
      <c r="C293">
        <f>C290+A293*1024*C288</f>
        <v/>
      </c>
      <c r="D293">
        <f>B293/C293</f>
        <v/>
      </c>
      <c r="E293" t="n">
        <v>0.02</v>
      </c>
      <c r="F293">
        <f>A293*1024/(C293*0.000001)/1000000000*C289</f>
        <v/>
      </c>
      <c r="G293">
        <f>E293/F293</f>
        <v/>
      </c>
    </row>
    <row r="294">
      <c r="A294" t="n">
        <v>2</v>
      </c>
      <c r="B294" t="n">
        <v>104.22</v>
      </c>
      <c r="C294">
        <f>C290+A294*1024*C288</f>
        <v/>
      </c>
      <c r="D294">
        <f>B294/C294</f>
        <v/>
      </c>
      <c r="E294" t="n">
        <v>0.04</v>
      </c>
      <c r="F294">
        <f>A294*1024/(C294*0.000001)/1000000000*C289</f>
        <v/>
      </c>
      <c r="G294">
        <f>E294/F294</f>
        <v/>
      </c>
    </row>
    <row r="295">
      <c r="A295" t="n">
        <v>4</v>
      </c>
      <c r="B295" t="n">
        <v>116.35</v>
      </c>
      <c r="C295">
        <f>C290+A295*1024*C288</f>
        <v/>
      </c>
      <c r="D295">
        <f>B295/C295</f>
        <v/>
      </c>
      <c r="E295" t="n">
        <v>0.07000000000000001</v>
      </c>
      <c r="F295">
        <f>A295*1024/(C295*0.000001)/1000000000*C289</f>
        <v/>
      </c>
      <c r="G295">
        <f>E295/F295</f>
        <v/>
      </c>
    </row>
    <row r="296">
      <c r="A296" t="n">
        <v>8</v>
      </c>
      <c r="B296" t="n">
        <v>118.15</v>
      </c>
      <c r="C296">
        <f>C290+A296*1024*C288</f>
        <v/>
      </c>
      <c r="D296">
        <f>B296/C296</f>
        <v/>
      </c>
      <c r="E296" t="n">
        <v>0.14</v>
      </c>
      <c r="F296">
        <f>A296*1024/(C296*0.000001)/1000000000*C289</f>
        <v/>
      </c>
      <c r="G296">
        <f>E296/F296</f>
        <v/>
      </c>
    </row>
    <row r="297">
      <c r="A297" t="n">
        <v>16</v>
      </c>
      <c r="B297" t="n">
        <v>120.92</v>
      </c>
      <c r="C297">
        <f>C290+A297*1024*C288</f>
        <v/>
      </c>
      <c r="D297">
        <f>B297/C297</f>
        <v/>
      </c>
      <c r="E297" t="n">
        <v>0.27</v>
      </c>
      <c r="F297">
        <f>A297*1024/(C297*0.000001)/1000000000*C289</f>
        <v/>
      </c>
      <c r="G297">
        <f>E297/F297</f>
        <v/>
      </c>
    </row>
    <row r="298">
      <c r="A298" t="n">
        <v>32</v>
      </c>
      <c r="B298" t="n">
        <v>131.37</v>
      </c>
      <c r="C298">
        <f>C290+A298*1024*C288</f>
        <v/>
      </c>
      <c r="D298">
        <f>B298/C298</f>
        <v/>
      </c>
      <c r="E298" t="n">
        <v>0.49</v>
      </c>
      <c r="F298">
        <f>A298*1024/(C298*0.000001)/1000000000*C289</f>
        <v/>
      </c>
      <c r="G298">
        <f>E298/F298</f>
        <v/>
      </c>
    </row>
    <row r="299">
      <c r="A299" t="n">
        <v>64</v>
      </c>
      <c r="B299" t="n">
        <v>150.72</v>
      </c>
      <c r="C299">
        <f>C290+A299*1024*C288</f>
        <v/>
      </c>
      <c r="D299">
        <f>B299/C299</f>
        <v/>
      </c>
      <c r="E299" t="n">
        <v>0.86</v>
      </c>
      <c r="F299">
        <f>A299*1024/(C299*0.000001)/1000000000*C289</f>
        <v/>
      </c>
      <c r="G299">
        <f>E299/F299</f>
        <v/>
      </c>
    </row>
    <row r="300">
      <c r="A300" t="n">
        <v>128</v>
      </c>
      <c r="B300" t="n">
        <v>190.73</v>
      </c>
      <c r="C300">
        <f>C290+A300*1024*C288</f>
        <v/>
      </c>
      <c r="D300">
        <f>B300/C300</f>
        <v/>
      </c>
      <c r="E300" t="n">
        <v>1.35</v>
      </c>
      <c r="F300">
        <f>A300*1024/(C300*0.000001)/1000000000*C289</f>
        <v/>
      </c>
      <c r="G300">
        <f>E300/F300</f>
        <v/>
      </c>
    </row>
    <row r="301">
      <c r="A301" t="n">
        <v>256</v>
      </c>
      <c r="B301" t="n">
        <v>211.65</v>
      </c>
      <c r="C301">
        <f>C290+A301*1024*C288</f>
        <v/>
      </c>
      <c r="D301">
        <f>B301/C301</f>
        <v/>
      </c>
      <c r="E301" t="n">
        <v>2.44</v>
      </c>
      <c r="F301">
        <f>A301*1024/(C301*0.000001)/1000000000*C289</f>
        <v/>
      </c>
      <c r="G301">
        <f>E301/F301</f>
        <v/>
      </c>
    </row>
    <row r="302">
      <c r="A302" t="n">
        <v>512</v>
      </c>
      <c r="B302" t="n">
        <v>243.73</v>
      </c>
      <c r="C302">
        <f>C290+A302*1024*C288</f>
        <v/>
      </c>
      <c r="D302">
        <f>B302/C302</f>
        <v/>
      </c>
      <c r="E302" t="n">
        <v>4.23</v>
      </c>
      <c r="F302">
        <f>A302*1024/(C302*0.000001)/1000000000*C289</f>
        <v/>
      </c>
      <c r="G302">
        <f>E302/F302</f>
        <v/>
      </c>
    </row>
    <row r="303">
      <c r="A303" t="n">
        <v>1024</v>
      </c>
      <c r="B303" t="n">
        <v>313.76</v>
      </c>
      <c r="C303">
        <f>C290+A303*1024*C288</f>
        <v/>
      </c>
      <c r="D303">
        <f>B303/C303</f>
        <v/>
      </c>
      <c r="E303" t="n">
        <v>6.58</v>
      </c>
      <c r="F303">
        <f>A303*1024/(C303*0.000001)/1000000000*C289</f>
        <v/>
      </c>
      <c r="G303">
        <f>E303/F303</f>
        <v/>
      </c>
    </row>
    <row r="304">
      <c r="A304" t="n">
        <v>2048</v>
      </c>
      <c r="B304" t="n">
        <v>495.85</v>
      </c>
      <c r="C304">
        <f>C290+A304*1024*C288</f>
        <v/>
      </c>
      <c r="D304">
        <f>B304/C304</f>
        <v/>
      </c>
      <c r="E304" t="n">
        <v>8.33</v>
      </c>
      <c r="F304">
        <f>A304*1024/(C304*0.000001)/1000000000*C289</f>
        <v/>
      </c>
      <c r="G304">
        <f>E304/F304</f>
        <v/>
      </c>
    </row>
    <row r="305">
      <c r="A305" t="n">
        <v>4096</v>
      </c>
      <c r="B305" t="n">
        <v>871.92</v>
      </c>
      <c r="C305">
        <f>C290+A305*1024*C288</f>
        <v/>
      </c>
      <c r="D305">
        <f>B305/C305</f>
        <v/>
      </c>
      <c r="E305" t="n">
        <v>9.470000000000001</v>
      </c>
      <c r="F305">
        <f>A305*1024/(C305*0.000001)/1000000000*C289</f>
        <v/>
      </c>
      <c r="G305">
        <f>E305/F305</f>
        <v/>
      </c>
    </row>
    <row r="306">
      <c r="A306" t="n">
        <v>8192</v>
      </c>
      <c r="B306" t="n">
        <v>1584.8</v>
      </c>
      <c r="C306">
        <f>C290+A306*1024*C288</f>
        <v/>
      </c>
      <c r="D306">
        <f>B306/C306</f>
        <v/>
      </c>
      <c r="E306" t="n">
        <v>10.42</v>
      </c>
      <c r="F306">
        <f>A306*1024/(C306*0.000001)/1000000000*C289</f>
        <v/>
      </c>
      <c r="G306">
        <f>E306/F306</f>
        <v/>
      </c>
    </row>
    <row r="307">
      <c r="A307" t="n">
        <v>16384</v>
      </c>
      <c r="B307" t="n">
        <v>3017.46</v>
      </c>
      <c r="C307">
        <f>C290+A307*1024*C288</f>
        <v/>
      </c>
      <c r="D307">
        <f>B307/C307</f>
        <v/>
      </c>
      <c r="E307" t="n">
        <v>10.95</v>
      </c>
      <c r="F307">
        <f>A307*1024/(C307*0.000001)/1000000000*C289</f>
        <v/>
      </c>
      <c r="G307">
        <f>E307/F307</f>
        <v/>
      </c>
    </row>
    <row r="308">
      <c r="A308" t="n">
        <v>32768</v>
      </c>
      <c r="B308" t="n">
        <v>5868.8</v>
      </c>
      <c r="C308">
        <f>C290+A308*1024*C288</f>
        <v/>
      </c>
      <c r="D308">
        <f>B308/C308</f>
        <v/>
      </c>
      <c r="E308" t="n">
        <v>11.26</v>
      </c>
      <c r="F308">
        <f>A308*1024/(C308*0.000001)/1000000000*C289</f>
        <v/>
      </c>
      <c r="G308">
        <f>E308/F308</f>
        <v/>
      </c>
    </row>
    <row r="309">
      <c r="A309" t="n">
        <v>65536</v>
      </c>
      <c r="B309" t="n">
        <v>11573</v>
      </c>
      <c r="C309">
        <f>C290+A309*1024*C288</f>
        <v/>
      </c>
      <c r="D309">
        <f>B309/C309</f>
        <v/>
      </c>
      <c r="E309" t="n">
        <v>11.42</v>
      </c>
      <c r="F309">
        <f>A309*1024/(C309*0.000001)/1000000000*C289</f>
        <v/>
      </c>
      <c r="G309">
        <f>E309/F309</f>
        <v/>
      </c>
    </row>
    <row r="310">
      <c r="A310" t="n">
        <v>131072</v>
      </c>
      <c r="B310" t="n">
        <v>22930.2</v>
      </c>
      <c r="C310">
        <f>C290+A310*1024*C288</f>
        <v/>
      </c>
      <c r="D310">
        <f>B310/C310</f>
        <v/>
      </c>
      <c r="E310" t="n">
        <v>11.52</v>
      </c>
      <c r="F310">
        <f>A310*1024/(C310*0.000001)/1000000000*C289</f>
        <v/>
      </c>
      <c r="G310">
        <f>E310/F310</f>
        <v/>
      </c>
    </row>
    <row r="311">
      <c r="A311" t="n">
        <v>262144</v>
      </c>
      <c r="B311" t="n">
        <v>45599.3</v>
      </c>
      <c r="C311">
        <f>C290+A311*1024*C288</f>
        <v/>
      </c>
      <c r="D311">
        <f>B311/C311</f>
        <v/>
      </c>
      <c r="E311" t="n">
        <v>11.59</v>
      </c>
      <c r="F311">
        <f>A311*1024/(C311*0.000001)/1000000000*C289</f>
        <v/>
      </c>
      <c r="G311">
        <f>E311/F311</f>
        <v/>
      </c>
    </row>
    <row r="312">
      <c r="A312" t="n">
        <v>524288</v>
      </c>
      <c r="B312" t="n">
        <v>90856.3</v>
      </c>
      <c r="C312">
        <f>C290+A312*1024*C288</f>
        <v/>
      </c>
      <c r="D312">
        <f>B312/C312</f>
        <v/>
      </c>
      <c r="E312" t="n">
        <v>11.63</v>
      </c>
      <c r="F312">
        <f>A312*1024/(C312*0.000001)/1000000000*C289</f>
        <v/>
      </c>
      <c r="G312">
        <f>E312/F312</f>
        <v/>
      </c>
    </row>
    <row r="313">
      <c r="A313" t="n">
        <v>1048576</v>
      </c>
      <c r="B313" t="n">
        <v>181336</v>
      </c>
      <c r="C313">
        <f>C290+A313*1024*C288</f>
        <v/>
      </c>
      <c r="D313">
        <f>B313/C313</f>
        <v/>
      </c>
      <c r="E313" t="n">
        <v>11.66</v>
      </c>
      <c r="F313">
        <f>A313*1024/(C313*0.000001)/1000000000*C289</f>
        <v/>
      </c>
      <c r="G313">
        <f>E313/F313</f>
        <v/>
      </c>
    </row>
    <row r="314"/>
    <row r="315">
      <c r="A315" t="inlineStr">
        <is>
          <t>Nodes: 8, Protocol: LL, Channels: 8</t>
        </is>
      </c>
    </row>
    <row r="316">
      <c r="A316" t="inlineStr">
        <is>
          <t>Parameter</t>
        </is>
      </c>
      <c r="B316" t="inlineStr">
        <is>
          <t>Formula</t>
        </is>
      </c>
      <c r="C316" t="inlineStr">
        <is>
          <t>Value</t>
        </is>
      </c>
    </row>
    <row r="317">
      <c r="A317" t="inlineStr">
        <is>
          <t>N</t>
        </is>
      </c>
      <c r="B317" t="inlineStr">
        <is>
          <t>nodes</t>
        </is>
      </c>
      <c r="C317" t="n">
        <v>8</v>
      </c>
    </row>
    <row r="318">
      <c r="A318" t="inlineStr">
        <is>
          <t>n</t>
        </is>
      </c>
      <c r="B318" t="inlineStr">
        <is>
          <t>GPUs/node</t>
        </is>
      </c>
      <c r="C318" t="n">
        <v>8</v>
      </c>
    </row>
    <row r="319">
      <c r="A319" t="inlineStr">
        <is>
          <t>n_total</t>
        </is>
      </c>
      <c r="B319" t="inlineStr">
        <is>
          <t>N*n</t>
        </is>
      </c>
      <c r="C319" t="n">
        <v>64</v>
      </c>
    </row>
    <row r="320">
      <c r="A320" t="inlineStr">
        <is>
          <t>nch_raw</t>
        </is>
      </c>
      <c r="B320" t="inlineStr">
        <is>
          <t>raw channels</t>
        </is>
      </c>
      <c r="C320" t="n">
        <v>8</v>
      </c>
    </row>
    <row r="321">
      <c r="A321" t="inlineStr">
        <is>
          <t>nch_eff</t>
        </is>
      </c>
      <c r="B321" t="inlineStr">
        <is>
          <t>min(nch_raw,8)</t>
        </is>
      </c>
      <c r="C321" t="n">
        <v>8</v>
      </c>
    </row>
    <row r="322">
      <c r="A322" t="inlineStr">
        <is>
          <t>a</t>
        </is>
      </c>
      <c r="B322" t="inlineStr">
        <is>
          <t>RTT (us)</t>
        </is>
      </c>
      <c r="C322" t="n">
        <v>24.92</v>
      </c>
    </row>
    <row r="323">
      <c r="A323" t="inlineStr">
        <is>
          <t>NIC_BW</t>
        </is>
      </c>
      <c r="B323" t="inlineStr">
        <is>
          <t>bytes/us</t>
        </is>
      </c>
      <c r="C323" t="n">
        <v>48750</v>
      </c>
    </row>
    <row r="324">
      <c r="A324" t="inlineStr">
        <is>
          <t>intra_node_latency</t>
        </is>
      </c>
      <c r="B324" t="inlineStr">
        <is>
          <t>us</t>
        </is>
      </c>
      <c r="C324" t="n">
        <v>8.4</v>
      </c>
    </row>
    <row r="325">
      <c r="A325" t="inlineStr">
        <is>
          <t>NIC_BW_REAL</t>
        </is>
      </c>
      <c r="B325" t="inlineStr">
        <is>
          <t>nch_eff*(NIC_BW/2)/3</t>
        </is>
      </c>
      <c r="C325">
        <f>C321*(C323/2)/3</f>
        <v/>
      </c>
    </row>
    <row r="326">
      <c r="A326" t="inlineStr">
        <is>
          <t>G</t>
        </is>
      </c>
      <c r="B326" t="inlineStr">
        <is>
          <t>1/NIC_BW_REAL</t>
        </is>
      </c>
      <c r="C326">
        <f>1/C325</f>
        <v/>
      </c>
    </row>
    <row r="327">
      <c r="A327" t="inlineStr">
        <is>
          <t>busbw_factor</t>
        </is>
      </c>
      <c r="B327" t="inlineStr">
        <is>
          <t>2*(n_total-1)/n_total</t>
        </is>
      </c>
      <c r="C327">
        <f>2*(C319-1)/C319</f>
        <v/>
      </c>
    </row>
    <row r="328">
      <c r="A328" t="inlineStr">
        <is>
          <t>fixed_overhead</t>
        </is>
      </c>
      <c r="B328" t="inlineStr">
        <is>
          <t>(2*LOG2(N)+1)*a/2+2*intra</t>
        </is>
      </c>
      <c r="C328">
        <f>(2*LOG(C317,2)+1)*C322/2+2*C324</f>
        <v/>
      </c>
    </row>
    <row r="329"/>
    <row r="330">
      <c r="A330" t="inlineStr">
        <is>
          <t>size_KB</t>
        </is>
      </c>
      <c r="B330" t="inlineStr">
        <is>
          <t>Actual Time (us)</t>
        </is>
      </c>
      <c r="C330" t="inlineStr">
        <is>
          <t>Roofline Time (us)</t>
        </is>
      </c>
      <c r="D330" t="inlineStr">
        <is>
          <t>Actual/Roofline</t>
        </is>
      </c>
      <c r="E330" t="inlineStr">
        <is>
          <t>Actual busBW (GB/s)</t>
        </is>
      </c>
      <c r="F330" t="inlineStr">
        <is>
          <t>Roofline busBW (GB/s)</t>
        </is>
      </c>
      <c r="G330" t="inlineStr">
        <is>
          <t>Meas/Roof busBW</t>
        </is>
      </c>
    </row>
    <row r="331">
      <c r="A331" t="n">
        <v>1</v>
      </c>
      <c r="B331" t="n">
        <v>102.91</v>
      </c>
      <c r="C331">
        <f>C328+A331*1024*C326</f>
        <v/>
      </c>
      <c r="D331">
        <f>B331/C331</f>
        <v/>
      </c>
      <c r="E331" t="n">
        <v>0.02</v>
      </c>
      <c r="F331">
        <f>A331*1024/(C331*0.000001)/1000000000*C327</f>
        <v/>
      </c>
      <c r="G331">
        <f>E331/F331</f>
        <v/>
      </c>
    </row>
    <row r="332">
      <c r="A332" t="n">
        <v>2</v>
      </c>
      <c r="B332" t="n">
        <v>102.69</v>
      </c>
      <c r="C332">
        <f>C328+A332*1024*C326</f>
        <v/>
      </c>
      <c r="D332">
        <f>B332/C332</f>
        <v/>
      </c>
      <c r="E332" t="n">
        <v>0.04</v>
      </c>
      <c r="F332">
        <f>A332*1024/(C332*0.000001)/1000000000*C327</f>
        <v/>
      </c>
      <c r="G332">
        <f>E332/F332</f>
        <v/>
      </c>
    </row>
    <row r="333">
      <c r="A333" t="n">
        <v>4</v>
      </c>
      <c r="B333" t="n">
        <v>117.3</v>
      </c>
      <c r="C333">
        <f>C328+A333*1024*C326</f>
        <v/>
      </c>
      <c r="D333">
        <f>B333/C333</f>
        <v/>
      </c>
      <c r="E333" t="n">
        <v>0.07000000000000001</v>
      </c>
      <c r="F333">
        <f>A333*1024/(C333*0.000001)/1000000000*C327</f>
        <v/>
      </c>
      <c r="G333">
        <f>E333/F333</f>
        <v/>
      </c>
    </row>
    <row r="334">
      <c r="A334" t="n">
        <v>8</v>
      </c>
      <c r="B334" t="n">
        <v>119.13</v>
      </c>
      <c r="C334">
        <f>C328+A334*1024*C326</f>
        <v/>
      </c>
      <c r="D334">
        <f>B334/C334</f>
        <v/>
      </c>
      <c r="E334" t="n">
        <v>0.14</v>
      </c>
      <c r="F334">
        <f>A334*1024/(C334*0.000001)/1000000000*C327</f>
        <v/>
      </c>
      <c r="G334">
        <f>E334/F334</f>
        <v/>
      </c>
    </row>
    <row r="335">
      <c r="A335" t="n">
        <v>16</v>
      </c>
      <c r="B335" t="n">
        <v>118.76</v>
      </c>
      <c r="C335">
        <f>C328+A335*1024*C326</f>
        <v/>
      </c>
      <c r="D335">
        <f>B335/C335</f>
        <v/>
      </c>
      <c r="E335" t="n">
        <v>0.27</v>
      </c>
      <c r="F335">
        <f>A335*1024/(C335*0.000001)/1000000000*C327</f>
        <v/>
      </c>
      <c r="G335">
        <f>E335/F335</f>
        <v/>
      </c>
    </row>
    <row r="336">
      <c r="A336" t="n">
        <v>32</v>
      </c>
      <c r="B336" t="n">
        <v>120.18</v>
      </c>
      <c r="C336">
        <f>C328+A336*1024*C326</f>
        <v/>
      </c>
      <c r="D336">
        <f>B336/C336</f>
        <v/>
      </c>
      <c r="E336" t="n">
        <v>0.54</v>
      </c>
      <c r="F336">
        <f>A336*1024/(C336*0.000001)/1000000000*C327</f>
        <v/>
      </c>
      <c r="G336">
        <f>E336/F336</f>
        <v/>
      </c>
    </row>
    <row r="337">
      <c r="A337" t="n">
        <v>64</v>
      </c>
      <c r="B337" t="n">
        <v>133.01</v>
      </c>
      <c r="C337">
        <f>C328+A337*1024*C326</f>
        <v/>
      </c>
      <c r="D337">
        <f>B337/C337</f>
        <v/>
      </c>
      <c r="E337" t="n">
        <v>0.97</v>
      </c>
      <c r="F337">
        <f>A337*1024/(C337*0.000001)/1000000000*C327</f>
        <v/>
      </c>
      <c r="G337">
        <f>E337/F337</f>
        <v/>
      </c>
    </row>
    <row r="338">
      <c r="A338" t="n">
        <v>128</v>
      </c>
      <c r="B338" t="n">
        <v>152.56</v>
      </c>
      <c r="C338">
        <f>C328+A338*1024*C326</f>
        <v/>
      </c>
      <c r="D338">
        <f>B338/C338</f>
        <v/>
      </c>
      <c r="E338" t="n">
        <v>1.69</v>
      </c>
      <c r="F338">
        <f>A338*1024/(C338*0.000001)/1000000000*C327</f>
        <v/>
      </c>
      <c r="G338">
        <f>E338/F338</f>
        <v/>
      </c>
    </row>
    <row r="339">
      <c r="A339" t="n">
        <v>256</v>
      </c>
      <c r="B339" t="n">
        <v>197.88</v>
      </c>
      <c r="C339">
        <f>C328+A339*1024*C326</f>
        <v/>
      </c>
      <c r="D339">
        <f>B339/C339</f>
        <v/>
      </c>
      <c r="E339" t="n">
        <v>2.61</v>
      </c>
      <c r="F339">
        <f>A339*1024/(C339*0.000001)/1000000000*C327</f>
        <v/>
      </c>
      <c r="G339">
        <f>E339/F339</f>
        <v/>
      </c>
    </row>
    <row r="340">
      <c r="A340" t="n">
        <v>512</v>
      </c>
      <c r="B340" t="n">
        <v>218.54</v>
      </c>
      <c r="C340">
        <f>C328+A340*1024*C326</f>
        <v/>
      </c>
      <c r="D340">
        <f>B340/C340</f>
        <v/>
      </c>
      <c r="E340" t="n">
        <v>4.72</v>
      </c>
      <c r="F340">
        <f>A340*1024/(C340*0.000001)/1000000000*C327</f>
        <v/>
      </c>
      <c r="G340">
        <f>E340/F340</f>
        <v/>
      </c>
    </row>
    <row r="341">
      <c r="A341" t="n">
        <v>1024</v>
      </c>
      <c r="B341" t="n">
        <v>245.93</v>
      </c>
      <c r="C341">
        <f>C328+A341*1024*C326</f>
        <v/>
      </c>
      <c r="D341">
        <f>B341/C341</f>
        <v/>
      </c>
      <c r="E341" t="n">
        <v>8.390000000000001</v>
      </c>
      <c r="F341">
        <f>A341*1024/(C341*0.000001)/1000000000*C327</f>
        <v/>
      </c>
      <c r="G341">
        <f>E341/F341</f>
        <v/>
      </c>
    </row>
    <row r="342">
      <c r="A342" t="n">
        <v>2048</v>
      </c>
      <c r="B342" t="n">
        <v>318.92</v>
      </c>
      <c r="C342">
        <f>C328+A342*1024*C326</f>
        <v/>
      </c>
      <c r="D342">
        <f>B342/C342</f>
        <v/>
      </c>
      <c r="E342" t="n">
        <v>12.95</v>
      </c>
      <c r="F342">
        <f>A342*1024/(C342*0.000001)/1000000000*C327</f>
        <v/>
      </c>
      <c r="G342">
        <f>E342/F342</f>
        <v/>
      </c>
    </row>
    <row r="343">
      <c r="A343" t="n">
        <v>4096</v>
      </c>
      <c r="B343" t="n">
        <v>502.45</v>
      </c>
      <c r="C343">
        <f>C328+A343*1024*C326</f>
        <v/>
      </c>
      <c r="D343">
        <f>B343/C343</f>
        <v/>
      </c>
      <c r="E343" t="n">
        <v>16.43</v>
      </c>
      <c r="F343">
        <f>A343*1024/(C343*0.000001)/1000000000*C327</f>
        <v/>
      </c>
      <c r="G343">
        <f>E343/F343</f>
        <v/>
      </c>
    </row>
    <row r="344">
      <c r="A344" t="n">
        <v>8192</v>
      </c>
      <c r="B344" t="n">
        <v>878.58</v>
      </c>
      <c r="C344">
        <f>C328+A344*1024*C326</f>
        <v/>
      </c>
      <c r="D344">
        <f>B344/C344</f>
        <v/>
      </c>
      <c r="E344" t="n">
        <v>18.8</v>
      </c>
      <c r="F344">
        <f>A344*1024/(C344*0.000001)/1000000000*C327</f>
        <v/>
      </c>
      <c r="G344">
        <f>E344/F344</f>
        <v/>
      </c>
    </row>
    <row r="345">
      <c r="A345" t="n">
        <v>16384</v>
      </c>
      <c r="B345" t="n">
        <v>1601.15</v>
      </c>
      <c r="C345">
        <f>C328+A345*1024*C326</f>
        <v/>
      </c>
      <c r="D345">
        <f>B345/C345</f>
        <v/>
      </c>
      <c r="E345" t="n">
        <v>20.63</v>
      </c>
      <c r="F345">
        <f>A345*1024/(C345*0.000001)/1000000000*C327</f>
        <v/>
      </c>
      <c r="G345">
        <f>E345/F345</f>
        <v/>
      </c>
    </row>
    <row r="346">
      <c r="A346" t="n">
        <v>32768</v>
      </c>
      <c r="B346" t="n">
        <v>3071.86</v>
      </c>
      <c r="C346">
        <f>C328+A346*1024*C326</f>
        <v/>
      </c>
      <c r="D346">
        <f>B346/C346</f>
        <v/>
      </c>
      <c r="E346" t="n">
        <v>21.5</v>
      </c>
      <c r="F346">
        <f>A346*1024/(C346*0.000001)/1000000000*C327</f>
        <v/>
      </c>
      <c r="G346">
        <f>E346/F346</f>
        <v/>
      </c>
    </row>
    <row r="347">
      <c r="A347" t="n">
        <v>65536</v>
      </c>
      <c r="B347" t="n">
        <v>5974.13</v>
      </c>
      <c r="C347">
        <f>C328+A347*1024*C326</f>
        <v/>
      </c>
      <c r="D347">
        <f>B347/C347</f>
        <v/>
      </c>
      <c r="E347" t="n">
        <v>22.12</v>
      </c>
      <c r="F347">
        <f>A347*1024/(C347*0.000001)/1000000000*C327</f>
        <v/>
      </c>
      <c r="G347">
        <f>E347/F347</f>
        <v/>
      </c>
    </row>
    <row r="348">
      <c r="A348" t="n">
        <v>131072</v>
      </c>
      <c r="B348" t="n">
        <v>11704.1</v>
      </c>
      <c r="C348">
        <f>C328+A348*1024*C326</f>
        <v/>
      </c>
      <c r="D348">
        <f>B348/C348</f>
        <v/>
      </c>
      <c r="E348" t="n">
        <v>22.58</v>
      </c>
      <c r="F348">
        <f>A348*1024/(C348*0.000001)/1000000000*C327</f>
        <v/>
      </c>
      <c r="G348">
        <f>E348/F348</f>
        <v/>
      </c>
    </row>
    <row r="349">
      <c r="A349" t="n">
        <v>262144</v>
      </c>
      <c r="B349" t="n">
        <v>23070</v>
      </c>
      <c r="C349">
        <f>C328+A349*1024*C326</f>
        <v/>
      </c>
      <c r="D349">
        <f>B349/C349</f>
        <v/>
      </c>
      <c r="E349" t="n">
        <v>22.91</v>
      </c>
      <c r="F349">
        <f>A349*1024/(C349*0.000001)/1000000000*C327</f>
        <v/>
      </c>
      <c r="G349">
        <f>E349/F349</f>
        <v/>
      </c>
    </row>
    <row r="350">
      <c r="A350" t="n">
        <v>524288</v>
      </c>
      <c r="B350" t="n">
        <v>45876.5</v>
      </c>
      <c r="C350">
        <f>C328+A350*1024*C326</f>
        <v/>
      </c>
      <c r="D350">
        <f>B350/C350</f>
        <v/>
      </c>
      <c r="E350" t="n">
        <v>23.04</v>
      </c>
      <c r="F350">
        <f>A350*1024/(C350*0.000001)/1000000000*C327</f>
        <v/>
      </c>
      <c r="G350">
        <f>E350/F350</f>
        <v/>
      </c>
    </row>
    <row r="351">
      <c r="A351" t="n">
        <v>1048576</v>
      </c>
      <c r="B351" t="n">
        <v>91359.2</v>
      </c>
      <c r="C351">
        <f>C328+A351*1024*C326</f>
        <v/>
      </c>
      <c r="D351">
        <f>B351/C351</f>
        <v/>
      </c>
      <c r="E351" t="n">
        <v>23.14</v>
      </c>
      <c r="F351">
        <f>A351*1024/(C351*0.000001)/1000000000*C327</f>
        <v/>
      </c>
      <c r="G351">
        <f>E351/F351</f>
        <v/>
      </c>
    </row>
    <row r="352"/>
    <row r="353">
      <c r="A353" t="inlineStr">
        <is>
          <t>Nodes: 8, Protocol: LL, Channels: 16</t>
        </is>
      </c>
    </row>
    <row r="354">
      <c r="A354" t="inlineStr">
        <is>
          <t>Parameter</t>
        </is>
      </c>
      <c r="B354" t="inlineStr">
        <is>
          <t>Formula</t>
        </is>
      </c>
      <c r="C354" t="inlineStr">
        <is>
          <t>Value</t>
        </is>
      </c>
    </row>
    <row r="355">
      <c r="A355" t="inlineStr">
        <is>
          <t>N</t>
        </is>
      </c>
      <c r="B355" t="inlineStr">
        <is>
          <t>nodes</t>
        </is>
      </c>
      <c r="C355" t="n">
        <v>8</v>
      </c>
    </row>
    <row r="356">
      <c r="A356" t="inlineStr">
        <is>
          <t>n</t>
        </is>
      </c>
      <c r="B356" t="inlineStr">
        <is>
          <t>GPUs/node</t>
        </is>
      </c>
      <c r="C356" t="n">
        <v>8</v>
      </c>
    </row>
    <row r="357">
      <c r="A357" t="inlineStr">
        <is>
          <t>n_total</t>
        </is>
      </c>
      <c r="B357" t="inlineStr">
        <is>
          <t>N*n</t>
        </is>
      </c>
      <c r="C357" t="n">
        <v>64</v>
      </c>
    </row>
    <row r="358">
      <c r="A358" t="inlineStr">
        <is>
          <t>nch_raw</t>
        </is>
      </c>
      <c r="B358" t="inlineStr">
        <is>
          <t>raw channels</t>
        </is>
      </c>
      <c r="C358" t="n">
        <v>16</v>
      </c>
    </row>
    <row r="359">
      <c r="A359" t="inlineStr">
        <is>
          <t>nch_eff</t>
        </is>
      </c>
      <c r="B359" t="inlineStr">
        <is>
          <t>min(nch_raw,8)</t>
        </is>
      </c>
      <c r="C359" t="n">
        <v>8</v>
      </c>
    </row>
    <row r="360">
      <c r="A360" t="inlineStr">
        <is>
          <t>a</t>
        </is>
      </c>
      <c r="B360" t="inlineStr">
        <is>
          <t>RTT (us)</t>
        </is>
      </c>
      <c r="C360" t="n">
        <v>24.92</v>
      </c>
    </row>
    <row r="361">
      <c r="A361" t="inlineStr">
        <is>
          <t>NIC_BW</t>
        </is>
      </c>
      <c r="B361" t="inlineStr">
        <is>
          <t>bytes/us</t>
        </is>
      </c>
      <c r="C361" t="n">
        <v>48750</v>
      </c>
    </row>
    <row r="362">
      <c r="A362" t="inlineStr">
        <is>
          <t>intra_node_latency</t>
        </is>
      </c>
      <c r="B362" t="inlineStr">
        <is>
          <t>us</t>
        </is>
      </c>
      <c r="C362" t="n">
        <v>8.4</v>
      </c>
    </row>
    <row r="363">
      <c r="A363" t="inlineStr">
        <is>
          <t>NIC_BW_REAL</t>
        </is>
      </c>
      <c r="B363" t="inlineStr">
        <is>
          <t>nch_eff*(NIC_BW/2)/3</t>
        </is>
      </c>
      <c r="C363">
        <f>C359*(C361/2)/3</f>
        <v/>
      </c>
    </row>
    <row r="364">
      <c r="A364" t="inlineStr">
        <is>
          <t>G</t>
        </is>
      </c>
      <c r="B364" t="inlineStr">
        <is>
          <t>1/NIC_BW_REAL</t>
        </is>
      </c>
      <c r="C364">
        <f>1/C363</f>
        <v/>
      </c>
    </row>
    <row r="365">
      <c r="A365" t="inlineStr">
        <is>
          <t>busbw_factor</t>
        </is>
      </c>
      <c r="B365" t="inlineStr">
        <is>
          <t>2*(n_total-1)/n_total</t>
        </is>
      </c>
      <c r="C365">
        <f>2*(C357-1)/C357</f>
        <v/>
      </c>
    </row>
    <row r="366">
      <c r="A366" t="inlineStr">
        <is>
          <t>fixed_overhead</t>
        </is>
      </c>
      <c r="B366" t="inlineStr">
        <is>
          <t>(2*LOG2(N)+1)*a/2+2*intra</t>
        </is>
      </c>
      <c r="C366">
        <f>(2*LOG(C355,2)+1)*C360/2+2*C362</f>
        <v/>
      </c>
    </row>
    <row r="367"/>
    <row r="368">
      <c r="A368" t="inlineStr">
        <is>
          <t>size_KB</t>
        </is>
      </c>
      <c r="B368" t="inlineStr">
        <is>
          <t>Actual Time (us)</t>
        </is>
      </c>
      <c r="C368" t="inlineStr">
        <is>
          <t>Roofline Time (us)</t>
        </is>
      </c>
      <c r="D368" t="inlineStr">
        <is>
          <t>Actual/Roofline</t>
        </is>
      </c>
      <c r="E368" t="inlineStr">
        <is>
          <t>Actual busBW (GB/s)</t>
        </is>
      </c>
      <c r="F368" t="inlineStr">
        <is>
          <t>Roofline busBW (GB/s)</t>
        </is>
      </c>
      <c r="G368" t="inlineStr">
        <is>
          <t>Meas/Roof busBW</t>
        </is>
      </c>
    </row>
    <row r="369">
      <c r="A369" t="n">
        <v>1</v>
      </c>
      <c r="B369" t="n">
        <v>109.87</v>
      </c>
      <c r="C369">
        <f>C366+A369*1024*C364</f>
        <v/>
      </c>
      <c r="D369">
        <f>B369/C369</f>
        <v/>
      </c>
      <c r="E369" t="n">
        <v>0.02</v>
      </c>
      <c r="F369">
        <f>A369*1024/(C369*0.000001)/1000000000*C365</f>
        <v/>
      </c>
      <c r="G369">
        <f>E369/F369</f>
        <v/>
      </c>
    </row>
    <row r="370">
      <c r="A370" t="n">
        <v>2</v>
      </c>
      <c r="B370" t="n">
        <v>102.52</v>
      </c>
      <c r="C370">
        <f>C366+A370*1024*C364</f>
        <v/>
      </c>
      <c r="D370">
        <f>B370/C370</f>
        <v/>
      </c>
      <c r="E370" t="n">
        <v>0.04</v>
      </c>
      <c r="F370">
        <f>A370*1024/(C370*0.000001)/1000000000*C365</f>
        <v/>
      </c>
      <c r="G370">
        <f>E370/F370</f>
        <v/>
      </c>
    </row>
    <row r="371">
      <c r="A371" t="n">
        <v>4</v>
      </c>
      <c r="B371" t="n">
        <v>116.07</v>
      </c>
      <c r="C371">
        <f>C366+A371*1024*C364</f>
        <v/>
      </c>
      <c r="D371">
        <f>B371/C371</f>
        <v/>
      </c>
      <c r="E371" t="n">
        <v>0.07000000000000001</v>
      </c>
      <c r="F371">
        <f>A371*1024/(C371*0.000001)/1000000000*C365</f>
        <v/>
      </c>
      <c r="G371">
        <f>E371/F371</f>
        <v/>
      </c>
    </row>
    <row r="372">
      <c r="A372" t="n">
        <v>8</v>
      </c>
      <c r="B372" t="n">
        <v>118.32</v>
      </c>
      <c r="C372">
        <f>C366+A372*1024*C364</f>
        <v/>
      </c>
      <c r="D372">
        <f>B372/C372</f>
        <v/>
      </c>
      <c r="E372" t="n">
        <v>0.14</v>
      </c>
      <c r="F372">
        <f>A372*1024/(C372*0.000001)/1000000000*C365</f>
        <v/>
      </c>
      <c r="G372">
        <f>E372/F372</f>
        <v/>
      </c>
    </row>
    <row r="373">
      <c r="A373" t="n">
        <v>16</v>
      </c>
      <c r="B373" t="n">
        <v>120.44</v>
      </c>
      <c r="C373">
        <f>C366+A373*1024*C364</f>
        <v/>
      </c>
      <c r="D373">
        <f>B373/C373</f>
        <v/>
      </c>
      <c r="E373" t="n">
        <v>0.27</v>
      </c>
      <c r="F373">
        <f>A373*1024/(C373*0.000001)/1000000000*C365</f>
        <v/>
      </c>
      <c r="G373">
        <f>E373/F373</f>
        <v/>
      </c>
    </row>
    <row r="374">
      <c r="A374" t="n">
        <v>32</v>
      </c>
      <c r="B374" t="n">
        <v>120.5</v>
      </c>
      <c r="C374">
        <f>C366+A374*1024*C364</f>
        <v/>
      </c>
      <c r="D374">
        <f>B374/C374</f>
        <v/>
      </c>
      <c r="E374" t="n">
        <v>0.54</v>
      </c>
      <c r="F374">
        <f>A374*1024/(C374*0.000001)/1000000000*C365</f>
        <v/>
      </c>
      <c r="G374">
        <f>E374/F374</f>
        <v/>
      </c>
    </row>
    <row r="375">
      <c r="A375" t="n">
        <v>64</v>
      </c>
      <c r="B375" t="n">
        <v>128.45</v>
      </c>
      <c r="C375">
        <f>C366+A375*1024*C364</f>
        <v/>
      </c>
      <c r="D375">
        <f>B375/C375</f>
        <v/>
      </c>
      <c r="E375" t="n">
        <v>1</v>
      </c>
      <c r="F375">
        <f>A375*1024/(C375*0.000001)/1000000000*C365</f>
        <v/>
      </c>
      <c r="G375">
        <f>E375/F375</f>
        <v/>
      </c>
    </row>
    <row r="376">
      <c r="A376" t="n">
        <v>128</v>
      </c>
      <c r="B376" t="n">
        <v>141.04</v>
      </c>
      <c r="C376">
        <f>C366+A376*1024*C364</f>
        <v/>
      </c>
      <c r="D376">
        <f>B376/C376</f>
        <v/>
      </c>
      <c r="E376" t="n">
        <v>1.83</v>
      </c>
      <c r="F376">
        <f>A376*1024/(C376*0.000001)/1000000000*C365</f>
        <v/>
      </c>
      <c r="G376">
        <f>E376/F376</f>
        <v/>
      </c>
    </row>
    <row r="377">
      <c r="A377" t="n">
        <v>256</v>
      </c>
      <c r="B377" t="n">
        <v>165.47</v>
      </c>
      <c r="C377">
        <f>C366+A377*1024*C364</f>
        <v/>
      </c>
      <c r="D377">
        <f>B377/C377</f>
        <v/>
      </c>
      <c r="E377" t="n">
        <v>3.12</v>
      </c>
      <c r="F377">
        <f>A377*1024/(C377*0.000001)/1000000000*C365</f>
        <v/>
      </c>
      <c r="G377">
        <f>E377/F377</f>
        <v/>
      </c>
    </row>
    <row r="378">
      <c r="A378" t="n">
        <v>512</v>
      </c>
      <c r="B378" t="n">
        <v>209.82</v>
      </c>
      <c r="C378">
        <f>C366+A378*1024*C364</f>
        <v/>
      </c>
      <c r="D378">
        <f>B378/C378</f>
        <v/>
      </c>
      <c r="E378" t="n">
        <v>4.92</v>
      </c>
      <c r="F378">
        <f>A378*1024/(C378*0.000001)/1000000000*C365</f>
        <v/>
      </c>
      <c r="G378">
        <f>E378/F378</f>
        <v/>
      </c>
    </row>
    <row r="379">
      <c r="A379" t="n">
        <v>1024</v>
      </c>
      <c r="B379" t="n">
        <v>232.2</v>
      </c>
      <c r="C379">
        <f>C366+A379*1024*C364</f>
        <v/>
      </c>
      <c r="D379">
        <f>B379/C379</f>
        <v/>
      </c>
      <c r="E379" t="n">
        <v>8.890000000000001</v>
      </c>
      <c r="F379">
        <f>A379*1024/(C379*0.000001)/1000000000*C365</f>
        <v/>
      </c>
      <c r="G379">
        <f>E379/F379</f>
        <v/>
      </c>
    </row>
    <row r="380">
      <c r="A380" t="n">
        <v>2048</v>
      </c>
      <c r="B380" t="n">
        <v>259.33</v>
      </c>
      <c r="C380">
        <f>C366+A380*1024*C364</f>
        <v/>
      </c>
      <c r="D380">
        <f>B380/C380</f>
        <v/>
      </c>
      <c r="E380" t="n">
        <v>15.92</v>
      </c>
      <c r="F380">
        <f>A380*1024/(C380*0.000001)/1000000000*C365</f>
        <v/>
      </c>
      <c r="G380">
        <f>E380/F380</f>
        <v/>
      </c>
    </row>
    <row r="381">
      <c r="A381" t="n">
        <v>4096</v>
      </c>
      <c r="B381" t="n">
        <v>350.9</v>
      </c>
      <c r="C381">
        <f>C366+A381*1024*C364</f>
        <v/>
      </c>
      <c r="D381">
        <f>B381/C381</f>
        <v/>
      </c>
      <c r="E381" t="n">
        <v>23.53</v>
      </c>
      <c r="F381">
        <f>A381*1024/(C381*0.000001)/1000000000*C365</f>
        <v/>
      </c>
      <c r="G381">
        <f>E381/F381</f>
        <v/>
      </c>
    </row>
    <row r="382">
      <c r="A382" t="n">
        <v>8192</v>
      </c>
      <c r="B382" t="n">
        <v>573.48</v>
      </c>
      <c r="C382">
        <f>C366+A382*1024*C364</f>
        <v/>
      </c>
      <c r="D382">
        <f>B382/C382</f>
        <v/>
      </c>
      <c r="E382" t="n">
        <v>28.8</v>
      </c>
      <c r="F382">
        <f>A382*1024/(C382*0.000001)/1000000000*C365</f>
        <v/>
      </c>
      <c r="G382">
        <f>E382/F382</f>
        <v/>
      </c>
    </row>
    <row r="383">
      <c r="A383" t="n">
        <v>16384</v>
      </c>
      <c r="B383" t="n">
        <v>1045.8</v>
      </c>
      <c r="C383">
        <f>C366+A383*1024*C364</f>
        <v/>
      </c>
      <c r="D383">
        <f>B383/C383</f>
        <v/>
      </c>
      <c r="E383" t="n">
        <v>31.58</v>
      </c>
      <c r="F383">
        <f>A383*1024/(C383*0.000001)/1000000000*C365</f>
        <v/>
      </c>
      <c r="G383">
        <f>E383/F383</f>
        <v/>
      </c>
    </row>
    <row r="384">
      <c r="A384" t="n">
        <v>32768</v>
      </c>
      <c r="B384" t="n">
        <v>1990.06</v>
      </c>
      <c r="C384">
        <f>C366+A384*1024*C364</f>
        <v/>
      </c>
      <c r="D384">
        <f>B384/C384</f>
        <v/>
      </c>
      <c r="E384" t="n">
        <v>33.2</v>
      </c>
      <c r="F384">
        <f>A384*1024/(C384*0.000001)/1000000000*C365</f>
        <v/>
      </c>
      <c r="G384">
        <f>E384/F384</f>
        <v/>
      </c>
    </row>
    <row r="385">
      <c r="A385" t="n">
        <v>65536</v>
      </c>
      <c r="B385" t="n">
        <v>3858.17</v>
      </c>
      <c r="C385">
        <f>C366+A385*1024*C364</f>
        <v/>
      </c>
      <c r="D385">
        <f>B385/C385</f>
        <v/>
      </c>
      <c r="E385" t="n">
        <v>34.24</v>
      </c>
      <c r="F385">
        <f>A385*1024/(C385*0.000001)/1000000000*C365</f>
        <v/>
      </c>
      <c r="G385">
        <f>E385/F385</f>
        <v/>
      </c>
    </row>
    <row r="386">
      <c r="A386" t="n">
        <v>131072</v>
      </c>
      <c r="B386" t="n">
        <v>7592.31</v>
      </c>
      <c r="C386">
        <f>C366+A386*1024*C364</f>
        <v/>
      </c>
      <c r="D386">
        <f>B386/C386</f>
        <v/>
      </c>
      <c r="E386" t="n">
        <v>34.8</v>
      </c>
      <c r="F386">
        <f>A386*1024/(C386*0.000001)/1000000000*C365</f>
        <v/>
      </c>
      <c r="G386">
        <f>E386/F386</f>
        <v/>
      </c>
    </row>
    <row r="387">
      <c r="A387" t="n">
        <v>262144</v>
      </c>
      <c r="B387" t="n">
        <v>15066</v>
      </c>
      <c r="C387">
        <f>C366+A387*1024*C364</f>
        <v/>
      </c>
      <c r="D387">
        <f>B387/C387</f>
        <v/>
      </c>
      <c r="E387" t="n">
        <v>35.08</v>
      </c>
      <c r="F387">
        <f>A387*1024/(C387*0.000001)/1000000000*C365</f>
        <v/>
      </c>
      <c r="G387">
        <f>E387/F387</f>
        <v/>
      </c>
    </row>
    <row r="388">
      <c r="A388" t="n">
        <v>524288</v>
      </c>
      <c r="B388" t="n">
        <v>29896.1</v>
      </c>
      <c r="C388">
        <f>C366+A388*1024*C364</f>
        <v/>
      </c>
      <c r="D388">
        <f>B388/C388</f>
        <v/>
      </c>
      <c r="E388" t="n">
        <v>35.35</v>
      </c>
      <c r="F388">
        <f>A388*1024/(C388*0.000001)/1000000000*C365</f>
        <v/>
      </c>
      <c r="G388">
        <f>E388/F388</f>
        <v/>
      </c>
    </row>
    <row r="389">
      <c r="A389" t="n">
        <v>1048576</v>
      </c>
      <c r="B389" t="n">
        <v>59550.8</v>
      </c>
      <c r="C389">
        <f>C366+A389*1024*C364</f>
        <v/>
      </c>
      <c r="D389">
        <f>B389/C389</f>
        <v/>
      </c>
      <c r="E389" t="n">
        <v>35.5</v>
      </c>
      <c r="F389">
        <f>A389*1024/(C389*0.000001)/1000000000*C365</f>
        <v/>
      </c>
      <c r="G389">
        <f>E389/F389</f>
        <v/>
      </c>
    </row>
    <row r="390"/>
    <row r="391">
      <c r="A391" t="inlineStr">
        <is>
          <t>Nodes: 8, Protocol: LL128, Channels: 1</t>
        </is>
      </c>
    </row>
    <row r="392">
      <c r="A392" t="inlineStr">
        <is>
          <t>Parameter</t>
        </is>
      </c>
      <c r="B392" t="inlineStr">
        <is>
          <t>Formula</t>
        </is>
      </c>
      <c r="C392" t="inlineStr">
        <is>
          <t>Value</t>
        </is>
      </c>
    </row>
    <row r="393">
      <c r="A393" t="inlineStr">
        <is>
          <t>N</t>
        </is>
      </c>
      <c r="B393" t="inlineStr">
        <is>
          <t>nodes</t>
        </is>
      </c>
      <c r="C393" t="n">
        <v>8</v>
      </c>
    </row>
    <row r="394">
      <c r="A394" t="inlineStr">
        <is>
          <t>n</t>
        </is>
      </c>
      <c r="B394" t="inlineStr">
        <is>
          <t>GPUs/node</t>
        </is>
      </c>
      <c r="C394" t="n">
        <v>8</v>
      </c>
    </row>
    <row r="395">
      <c r="A395" t="inlineStr">
        <is>
          <t>n_total</t>
        </is>
      </c>
      <c r="B395" t="inlineStr">
        <is>
          <t>N*n</t>
        </is>
      </c>
      <c r="C395" t="n">
        <v>64</v>
      </c>
    </row>
    <row r="396">
      <c r="A396" t="inlineStr">
        <is>
          <t>nch_raw</t>
        </is>
      </c>
      <c r="B396" t="inlineStr">
        <is>
          <t>raw channels</t>
        </is>
      </c>
      <c r="C396" t="n">
        <v>1</v>
      </c>
    </row>
    <row r="397">
      <c r="A397" t="inlineStr">
        <is>
          <t>nch_eff</t>
        </is>
      </c>
      <c r="B397" t="inlineStr">
        <is>
          <t>min(nch_raw,8)</t>
        </is>
      </c>
      <c r="C397" t="n">
        <v>1</v>
      </c>
    </row>
    <row r="398">
      <c r="A398" t="inlineStr">
        <is>
          <t>a</t>
        </is>
      </c>
      <c r="B398" t="inlineStr">
        <is>
          <t>RTT (us)</t>
        </is>
      </c>
      <c r="C398" t="n">
        <v>24.92</v>
      </c>
    </row>
    <row r="399">
      <c r="A399" t="inlineStr">
        <is>
          <t>NIC_BW</t>
        </is>
      </c>
      <c r="B399" t="inlineStr">
        <is>
          <t>bytes/us</t>
        </is>
      </c>
      <c r="C399" t="n">
        <v>48750</v>
      </c>
    </row>
    <row r="400">
      <c r="A400" t="inlineStr">
        <is>
          <t>intra_node_latency</t>
        </is>
      </c>
      <c r="B400" t="inlineStr">
        <is>
          <t>us</t>
        </is>
      </c>
      <c r="C400" t="n">
        <v>8.4</v>
      </c>
    </row>
    <row r="401">
      <c r="A401" t="inlineStr">
        <is>
          <t>NIC_BW_REAL</t>
        </is>
      </c>
      <c r="B401" t="inlineStr">
        <is>
          <t>nch_eff*(NIC_BW*15/16)/3</t>
        </is>
      </c>
      <c r="C401">
        <f>C397*(C399*15/16)/3</f>
        <v/>
      </c>
    </row>
    <row r="402">
      <c r="A402" t="inlineStr">
        <is>
          <t>G</t>
        </is>
      </c>
      <c r="B402" t="inlineStr">
        <is>
          <t>1/NIC_BW_REAL</t>
        </is>
      </c>
      <c r="C402">
        <f>1/C401</f>
        <v/>
      </c>
    </row>
    <row r="403">
      <c r="A403" t="inlineStr">
        <is>
          <t>busbw_factor</t>
        </is>
      </c>
      <c r="B403" t="inlineStr">
        <is>
          <t>2*(n_total-1)/n_total</t>
        </is>
      </c>
      <c r="C403">
        <f>2*(C395-1)/C395</f>
        <v/>
      </c>
    </row>
    <row r="404">
      <c r="A404" t="inlineStr">
        <is>
          <t>fixed_overhead</t>
        </is>
      </c>
      <c r="B404" t="inlineStr">
        <is>
          <t>(2*LOG2(N)+1)*a/2+2*intra</t>
        </is>
      </c>
      <c r="C404">
        <f>(2*LOG(C393,2)+1)*C398/2+2*C400</f>
        <v/>
      </c>
    </row>
    <row r="405"/>
    <row r="406">
      <c r="A406" t="inlineStr">
        <is>
          <t>size_KB</t>
        </is>
      </c>
      <c r="B406" t="inlineStr">
        <is>
          <t>Actual Time (us)</t>
        </is>
      </c>
      <c r="C406" t="inlineStr">
        <is>
          <t>Roofline Time (us)</t>
        </is>
      </c>
      <c r="D406" t="inlineStr">
        <is>
          <t>Actual/Roofline</t>
        </is>
      </c>
      <c r="E406" t="inlineStr">
        <is>
          <t>Actual busBW (GB/s)</t>
        </is>
      </c>
      <c r="F406" t="inlineStr">
        <is>
          <t>Roofline busBW (GB/s)</t>
        </is>
      </c>
      <c r="G406" t="inlineStr">
        <is>
          <t>Meas/Roof busBW</t>
        </is>
      </c>
    </row>
    <row r="407">
      <c r="A407" t="n">
        <v>1</v>
      </c>
      <c r="B407" t="n">
        <v>128.83</v>
      </c>
      <c r="C407">
        <f>C404+A407*1024*C402</f>
        <v/>
      </c>
      <c r="D407">
        <f>B407/C407</f>
        <v/>
      </c>
      <c r="E407" t="n">
        <v>0.02</v>
      </c>
      <c r="F407">
        <f>A407*1024/(C407*0.000001)/1000000000*C403</f>
        <v/>
      </c>
      <c r="G407">
        <f>E407/F407</f>
        <v/>
      </c>
    </row>
    <row r="408">
      <c r="A408" t="n">
        <v>2</v>
      </c>
      <c r="B408" t="n">
        <v>123.14</v>
      </c>
      <c r="C408">
        <f>C404+A408*1024*C402</f>
        <v/>
      </c>
      <c r="D408">
        <f>B408/C408</f>
        <v/>
      </c>
      <c r="E408" t="n">
        <v>0.03</v>
      </c>
      <c r="F408">
        <f>A408*1024/(C408*0.000001)/1000000000*C403</f>
        <v/>
      </c>
      <c r="G408">
        <f>E408/F408</f>
        <v/>
      </c>
    </row>
    <row r="409">
      <c r="A409" t="n">
        <v>4</v>
      </c>
      <c r="B409" t="n">
        <v>129.42</v>
      </c>
      <c r="C409">
        <f>C404+A409*1024*C402</f>
        <v/>
      </c>
      <c r="D409">
        <f>B409/C409</f>
        <v/>
      </c>
      <c r="E409" t="n">
        <v>0.06</v>
      </c>
      <c r="F409">
        <f>A409*1024/(C409*0.000001)/1000000000*C403</f>
        <v/>
      </c>
      <c r="G409">
        <f>E409/F409</f>
        <v/>
      </c>
    </row>
    <row r="410">
      <c r="A410" t="n">
        <v>8</v>
      </c>
      <c r="B410" t="n">
        <v>137.84</v>
      </c>
      <c r="C410">
        <f>C404+A410*1024*C402</f>
        <v/>
      </c>
      <c r="D410">
        <f>B410/C410</f>
        <v/>
      </c>
      <c r="E410" t="n">
        <v>0.12</v>
      </c>
      <c r="F410">
        <f>A410*1024/(C410*0.000001)/1000000000*C403</f>
        <v/>
      </c>
      <c r="G410">
        <f>E410/F410</f>
        <v/>
      </c>
    </row>
    <row r="411">
      <c r="A411" t="n">
        <v>16</v>
      </c>
      <c r="B411" t="n">
        <v>144.4</v>
      </c>
      <c r="C411">
        <f>C404+A411*1024*C402</f>
        <v/>
      </c>
      <c r="D411">
        <f>B411/C411</f>
        <v/>
      </c>
      <c r="E411" t="n">
        <v>0.22</v>
      </c>
      <c r="F411">
        <f>A411*1024/(C411*0.000001)/1000000000*C403</f>
        <v/>
      </c>
      <c r="G411">
        <f>E411/F411</f>
        <v/>
      </c>
    </row>
    <row r="412">
      <c r="A412" t="n">
        <v>32</v>
      </c>
      <c r="B412" t="n">
        <v>149.9</v>
      </c>
      <c r="C412">
        <f>C404+A412*1024*C402</f>
        <v/>
      </c>
      <c r="D412">
        <f>B412/C412</f>
        <v/>
      </c>
      <c r="E412" t="n">
        <v>0.43</v>
      </c>
      <c r="F412">
        <f>A412*1024/(C412*0.000001)/1000000000*C403</f>
        <v/>
      </c>
      <c r="G412">
        <f>E412/F412</f>
        <v/>
      </c>
    </row>
    <row r="413">
      <c r="A413" t="n">
        <v>64</v>
      </c>
      <c r="B413" t="n">
        <v>160.29</v>
      </c>
      <c r="C413">
        <f>C404+A413*1024*C402</f>
        <v/>
      </c>
      <c r="D413">
        <f>B413/C413</f>
        <v/>
      </c>
      <c r="E413" t="n">
        <v>0.8</v>
      </c>
      <c r="F413">
        <f>A413*1024/(C413*0.000001)/1000000000*C403</f>
        <v/>
      </c>
      <c r="G413">
        <f>E413/F413</f>
        <v/>
      </c>
    </row>
    <row r="414">
      <c r="A414" t="n">
        <v>128</v>
      </c>
      <c r="B414" t="n">
        <v>179.96</v>
      </c>
      <c r="C414">
        <f>C404+A414*1024*C402</f>
        <v/>
      </c>
      <c r="D414">
        <f>B414/C414</f>
        <v/>
      </c>
      <c r="E414" t="n">
        <v>1.43</v>
      </c>
      <c r="F414">
        <f>A414*1024/(C414*0.000001)/1000000000*C403</f>
        <v/>
      </c>
      <c r="G414">
        <f>E414/F414</f>
        <v/>
      </c>
    </row>
    <row r="415">
      <c r="A415" t="n">
        <v>256</v>
      </c>
      <c r="B415" t="n">
        <v>227.44</v>
      </c>
      <c r="C415">
        <f>C404+A415*1024*C402</f>
        <v/>
      </c>
      <c r="D415">
        <f>B415/C415</f>
        <v/>
      </c>
      <c r="E415" t="n">
        <v>2.27</v>
      </c>
      <c r="F415">
        <f>A415*1024/(C415*0.000001)/1000000000*C403</f>
        <v/>
      </c>
      <c r="G415">
        <f>E415/F415</f>
        <v/>
      </c>
    </row>
    <row r="416">
      <c r="A416" t="n">
        <v>512</v>
      </c>
      <c r="B416" t="n">
        <v>275.38</v>
      </c>
      <c r="C416">
        <f>C404+A416*1024*C402</f>
        <v/>
      </c>
      <c r="D416">
        <f>B416/C416</f>
        <v/>
      </c>
      <c r="E416" t="n">
        <v>3.75</v>
      </c>
      <c r="F416">
        <f>A416*1024/(C416*0.000001)/1000000000*C403</f>
        <v/>
      </c>
      <c r="G416">
        <f>E416/F416</f>
        <v/>
      </c>
    </row>
    <row r="417">
      <c r="A417" t="n">
        <v>1024</v>
      </c>
      <c r="B417" t="n">
        <v>370.66</v>
      </c>
      <c r="C417">
        <f>C404+A417*1024*C402</f>
        <v/>
      </c>
      <c r="D417">
        <f>B417/C417</f>
        <v/>
      </c>
      <c r="E417" t="n">
        <v>5.57</v>
      </c>
      <c r="F417">
        <f>A417*1024/(C417*0.000001)/1000000000*C403</f>
        <v/>
      </c>
      <c r="G417">
        <f>E417/F417</f>
        <v/>
      </c>
    </row>
    <row r="418">
      <c r="A418" t="n">
        <v>2048</v>
      </c>
      <c r="B418" t="n">
        <v>572.66</v>
      </c>
      <c r="C418">
        <f>C404+A418*1024*C402</f>
        <v/>
      </c>
      <c r="D418">
        <f>B418/C418</f>
        <v/>
      </c>
      <c r="E418" t="n">
        <v>7.21</v>
      </c>
      <c r="F418">
        <f>A418*1024/(C418*0.000001)/1000000000*C403</f>
        <v/>
      </c>
      <c r="G418">
        <f>E418/F418</f>
        <v/>
      </c>
    </row>
    <row r="419">
      <c r="A419" t="n">
        <v>4096</v>
      </c>
      <c r="B419" t="n">
        <v>977.3099999999999</v>
      </c>
      <c r="C419">
        <f>C404+A419*1024*C402</f>
        <v/>
      </c>
      <c r="D419">
        <f>B419/C419</f>
        <v/>
      </c>
      <c r="E419" t="n">
        <v>8.449999999999999</v>
      </c>
      <c r="F419">
        <f>A419*1024/(C419*0.000001)/1000000000*C403</f>
        <v/>
      </c>
      <c r="G419">
        <f>E419/F419</f>
        <v/>
      </c>
    </row>
    <row r="420">
      <c r="A420" t="n">
        <v>8192</v>
      </c>
      <c r="B420" t="n">
        <v>1611.34</v>
      </c>
      <c r="C420">
        <f>C404+A420*1024*C402</f>
        <v/>
      </c>
      <c r="D420">
        <f>B420/C420</f>
        <v/>
      </c>
      <c r="E420" t="n">
        <v>10.25</v>
      </c>
      <c r="F420">
        <f>A420*1024/(C420*0.000001)/1000000000*C403</f>
        <v/>
      </c>
      <c r="G420">
        <f>E420/F420</f>
        <v/>
      </c>
    </row>
    <row r="421">
      <c r="A421" t="n">
        <v>16384</v>
      </c>
      <c r="B421" t="n">
        <v>2945.51</v>
      </c>
      <c r="C421">
        <f>C404+A421*1024*C402</f>
        <v/>
      </c>
      <c r="D421">
        <f>B421/C421</f>
        <v/>
      </c>
      <c r="E421" t="n">
        <v>11.21</v>
      </c>
      <c r="F421">
        <f>A421*1024/(C421*0.000001)/1000000000*C403</f>
        <v/>
      </c>
      <c r="G421">
        <f>E421/F421</f>
        <v/>
      </c>
    </row>
    <row r="422">
      <c r="A422" t="n">
        <v>32768</v>
      </c>
      <c r="B422" t="n">
        <v>5698.2</v>
      </c>
      <c r="C422">
        <f>C404+A422*1024*C402</f>
        <v/>
      </c>
      <c r="D422">
        <f>B422/C422</f>
        <v/>
      </c>
      <c r="E422" t="n">
        <v>11.59</v>
      </c>
      <c r="F422">
        <f>A422*1024/(C422*0.000001)/1000000000*C403</f>
        <v/>
      </c>
      <c r="G422">
        <f>E422/F422</f>
        <v/>
      </c>
    </row>
    <row r="423">
      <c r="A423" t="n">
        <v>65536</v>
      </c>
      <c r="B423" t="n">
        <v>11014.4</v>
      </c>
      <c r="C423">
        <f>C404+A423*1024*C402</f>
        <v/>
      </c>
      <c r="D423">
        <f>B423/C423</f>
        <v/>
      </c>
      <c r="E423" t="n">
        <v>12</v>
      </c>
      <c r="F423">
        <f>A423*1024/(C423*0.000001)/1000000000*C403</f>
        <v/>
      </c>
      <c r="G423">
        <f>E423/F423</f>
        <v/>
      </c>
    </row>
    <row r="424">
      <c r="A424" t="n">
        <v>131072</v>
      </c>
      <c r="B424" t="n">
        <v>21531.5</v>
      </c>
      <c r="C424">
        <f>C404+A424*1024*C402</f>
        <v/>
      </c>
      <c r="D424">
        <f>B424/C424</f>
        <v/>
      </c>
      <c r="E424" t="n">
        <v>12.27</v>
      </c>
      <c r="F424">
        <f>A424*1024/(C424*0.000001)/1000000000*C403</f>
        <v/>
      </c>
      <c r="G424">
        <f>E424/F424</f>
        <v/>
      </c>
    </row>
    <row r="425">
      <c r="A425" t="n">
        <v>262144</v>
      </c>
      <c r="B425" t="n">
        <v>42512.8</v>
      </c>
      <c r="C425">
        <f>C404+A425*1024*C402</f>
        <v/>
      </c>
      <c r="D425">
        <f>B425/C425</f>
        <v/>
      </c>
      <c r="E425" t="n">
        <v>12.43</v>
      </c>
      <c r="F425">
        <f>A425*1024/(C425*0.000001)/1000000000*C403</f>
        <v/>
      </c>
      <c r="G425">
        <f>E425/F425</f>
        <v/>
      </c>
    </row>
    <row r="426">
      <c r="A426" t="n">
        <v>524288</v>
      </c>
      <c r="B426" t="n">
        <v>84447</v>
      </c>
      <c r="C426">
        <f>C404+A426*1024*C402</f>
        <v/>
      </c>
      <c r="D426">
        <f>B426/C426</f>
        <v/>
      </c>
      <c r="E426" t="n">
        <v>12.52</v>
      </c>
      <c r="F426">
        <f>A426*1024/(C426*0.000001)/1000000000*C403</f>
        <v/>
      </c>
      <c r="G426">
        <f>E426/F426</f>
        <v/>
      </c>
    </row>
    <row r="427">
      <c r="A427" t="n">
        <v>1048576</v>
      </c>
      <c r="B427" t="n">
        <v>168478</v>
      </c>
      <c r="C427">
        <f>C404+A427*1024*C402</f>
        <v/>
      </c>
      <c r="D427">
        <f>B427/C427</f>
        <v/>
      </c>
      <c r="E427" t="n">
        <v>12.55</v>
      </c>
      <c r="F427">
        <f>A427*1024/(C427*0.000001)/1000000000*C403</f>
        <v/>
      </c>
      <c r="G427">
        <f>E427/F427</f>
        <v/>
      </c>
    </row>
    <row r="428"/>
    <row r="429">
      <c r="A429" t="inlineStr">
        <is>
          <t>Nodes: 8, Protocol: LL128, Channels: 2</t>
        </is>
      </c>
    </row>
    <row r="430">
      <c r="A430" t="inlineStr">
        <is>
          <t>Parameter</t>
        </is>
      </c>
      <c r="B430" t="inlineStr">
        <is>
          <t>Formula</t>
        </is>
      </c>
      <c r="C430" t="inlineStr">
        <is>
          <t>Value</t>
        </is>
      </c>
    </row>
    <row r="431">
      <c r="A431" t="inlineStr">
        <is>
          <t>N</t>
        </is>
      </c>
      <c r="B431" t="inlineStr">
        <is>
          <t>nodes</t>
        </is>
      </c>
      <c r="C431" t="n">
        <v>8</v>
      </c>
    </row>
    <row r="432">
      <c r="A432" t="inlineStr">
        <is>
          <t>n</t>
        </is>
      </c>
      <c r="B432" t="inlineStr">
        <is>
          <t>GPUs/node</t>
        </is>
      </c>
      <c r="C432" t="n">
        <v>8</v>
      </c>
    </row>
    <row r="433">
      <c r="A433" t="inlineStr">
        <is>
          <t>n_total</t>
        </is>
      </c>
      <c r="B433" t="inlineStr">
        <is>
          <t>N*n</t>
        </is>
      </c>
      <c r="C433" t="n">
        <v>64</v>
      </c>
    </row>
    <row r="434">
      <c r="A434" t="inlineStr">
        <is>
          <t>nch_raw</t>
        </is>
      </c>
      <c r="B434" t="inlineStr">
        <is>
          <t>raw channels</t>
        </is>
      </c>
      <c r="C434" t="n">
        <v>2</v>
      </c>
    </row>
    <row r="435">
      <c r="A435" t="inlineStr">
        <is>
          <t>nch_eff</t>
        </is>
      </c>
      <c r="B435" t="inlineStr">
        <is>
          <t>min(nch_raw,8)</t>
        </is>
      </c>
      <c r="C435" t="n">
        <v>2</v>
      </c>
    </row>
    <row r="436">
      <c r="A436" t="inlineStr">
        <is>
          <t>a</t>
        </is>
      </c>
      <c r="B436" t="inlineStr">
        <is>
          <t>RTT (us)</t>
        </is>
      </c>
      <c r="C436" t="n">
        <v>24.92</v>
      </c>
    </row>
    <row r="437">
      <c r="A437" t="inlineStr">
        <is>
          <t>NIC_BW</t>
        </is>
      </c>
      <c r="B437" t="inlineStr">
        <is>
          <t>bytes/us</t>
        </is>
      </c>
      <c r="C437" t="n">
        <v>48750</v>
      </c>
    </row>
    <row r="438">
      <c r="A438" t="inlineStr">
        <is>
          <t>intra_node_latency</t>
        </is>
      </c>
      <c r="B438" t="inlineStr">
        <is>
          <t>us</t>
        </is>
      </c>
      <c r="C438" t="n">
        <v>8.4</v>
      </c>
    </row>
    <row r="439">
      <c r="A439" t="inlineStr">
        <is>
          <t>NIC_BW_REAL</t>
        </is>
      </c>
      <c r="B439" t="inlineStr">
        <is>
          <t>nch_eff*(NIC_BW*15/16)/3</t>
        </is>
      </c>
      <c r="C439">
        <f>C435*(C437*15/16)/3</f>
        <v/>
      </c>
    </row>
    <row r="440">
      <c r="A440" t="inlineStr">
        <is>
          <t>G</t>
        </is>
      </c>
      <c r="B440" t="inlineStr">
        <is>
          <t>1/NIC_BW_REAL</t>
        </is>
      </c>
      <c r="C440">
        <f>1/C439</f>
        <v/>
      </c>
    </row>
    <row r="441">
      <c r="A441" t="inlineStr">
        <is>
          <t>busbw_factor</t>
        </is>
      </c>
      <c r="B441" t="inlineStr">
        <is>
          <t>2*(n_total-1)/n_total</t>
        </is>
      </c>
      <c r="C441">
        <f>2*(C433-1)/C433</f>
        <v/>
      </c>
    </row>
    <row r="442">
      <c r="A442" t="inlineStr">
        <is>
          <t>fixed_overhead</t>
        </is>
      </c>
      <c r="B442" t="inlineStr">
        <is>
          <t>(2*LOG2(N)+1)*a/2+2*intra</t>
        </is>
      </c>
      <c r="C442">
        <f>(2*LOG(C431,2)+1)*C436/2+2*C438</f>
        <v/>
      </c>
    </row>
    <row r="443"/>
    <row r="444">
      <c r="A444" t="inlineStr">
        <is>
          <t>size_KB</t>
        </is>
      </c>
      <c r="B444" t="inlineStr">
        <is>
          <t>Actual Time (us)</t>
        </is>
      </c>
      <c r="C444" t="inlineStr">
        <is>
          <t>Roofline Time (us)</t>
        </is>
      </c>
      <c r="D444" t="inlineStr">
        <is>
          <t>Actual/Roofline</t>
        </is>
      </c>
      <c r="E444" t="inlineStr">
        <is>
          <t>Actual busBW (GB/s)</t>
        </is>
      </c>
      <c r="F444" t="inlineStr">
        <is>
          <t>Roofline busBW (GB/s)</t>
        </is>
      </c>
      <c r="G444" t="inlineStr">
        <is>
          <t>Meas/Roof busBW</t>
        </is>
      </c>
    </row>
    <row r="445">
      <c r="A445" t="n">
        <v>1</v>
      </c>
      <c r="B445" t="n">
        <v>124.54</v>
      </c>
      <c r="C445">
        <f>C442+A445*1024*C440</f>
        <v/>
      </c>
      <c r="D445">
        <f>B445/C445</f>
        <v/>
      </c>
      <c r="E445" t="n">
        <v>0.02</v>
      </c>
      <c r="F445">
        <f>A445*1024/(C445*0.000001)/1000000000*C441</f>
        <v/>
      </c>
      <c r="G445">
        <f>E445/F445</f>
        <v/>
      </c>
    </row>
    <row r="446">
      <c r="A446" t="n">
        <v>2</v>
      </c>
      <c r="B446" t="n">
        <v>122.94</v>
      </c>
      <c r="C446">
        <f>C442+A446*1024*C440</f>
        <v/>
      </c>
      <c r="D446">
        <f>B446/C446</f>
        <v/>
      </c>
      <c r="E446" t="n">
        <v>0.03</v>
      </c>
      <c r="F446">
        <f>A446*1024/(C446*0.000001)/1000000000*C441</f>
        <v/>
      </c>
      <c r="G446">
        <f>E446/F446</f>
        <v/>
      </c>
    </row>
    <row r="447">
      <c r="A447" t="n">
        <v>4</v>
      </c>
      <c r="B447" t="n">
        <v>128.46</v>
      </c>
      <c r="C447">
        <f>C442+A447*1024*C440</f>
        <v/>
      </c>
      <c r="D447">
        <f>B447/C447</f>
        <v/>
      </c>
      <c r="E447" t="n">
        <v>0.06</v>
      </c>
      <c r="F447">
        <f>A447*1024/(C447*0.000001)/1000000000*C441</f>
        <v/>
      </c>
      <c r="G447">
        <f>E447/F447</f>
        <v/>
      </c>
    </row>
    <row r="448">
      <c r="A448" t="n">
        <v>8</v>
      </c>
      <c r="B448" t="n">
        <v>137.58</v>
      </c>
      <c r="C448">
        <f>C442+A448*1024*C440</f>
        <v/>
      </c>
      <c r="D448">
        <f>B448/C448</f>
        <v/>
      </c>
      <c r="E448" t="n">
        <v>0.12</v>
      </c>
      <c r="F448">
        <f>A448*1024/(C448*0.000001)/1000000000*C441</f>
        <v/>
      </c>
      <c r="G448">
        <f>E448/F448</f>
        <v/>
      </c>
    </row>
    <row r="449">
      <c r="A449" t="n">
        <v>16</v>
      </c>
      <c r="B449" t="n">
        <v>145.13</v>
      </c>
      <c r="C449">
        <f>C442+A449*1024*C440</f>
        <v/>
      </c>
      <c r="D449">
        <f>B449/C449</f>
        <v/>
      </c>
      <c r="E449" t="n">
        <v>0.22</v>
      </c>
      <c r="F449">
        <f>A449*1024/(C449*0.000001)/1000000000*C441</f>
        <v/>
      </c>
      <c r="G449">
        <f>E449/F449</f>
        <v/>
      </c>
    </row>
    <row r="450">
      <c r="A450" t="n">
        <v>32</v>
      </c>
      <c r="B450" t="n">
        <v>165.69</v>
      </c>
      <c r="C450">
        <f>C442+A450*1024*C440</f>
        <v/>
      </c>
      <c r="D450">
        <f>B450/C450</f>
        <v/>
      </c>
      <c r="E450" t="n">
        <v>0.39</v>
      </c>
      <c r="F450">
        <f>A450*1024/(C450*0.000001)/1000000000*C441</f>
        <v/>
      </c>
      <c r="G450">
        <f>E450/F450</f>
        <v/>
      </c>
    </row>
    <row r="451">
      <c r="A451" t="n">
        <v>64</v>
      </c>
      <c r="B451" t="n">
        <v>154.13</v>
      </c>
      <c r="C451">
        <f>C442+A451*1024*C440</f>
        <v/>
      </c>
      <c r="D451">
        <f>B451/C451</f>
        <v/>
      </c>
      <c r="E451" t="n">
        <v>0.84</v>
      </c>
      <c r="F451">
        <f>A451*1024/(C451*0.000001)/1000000000*C441</f>
        <v/>
      </c>
      <c r="G451">
        <f>E451/F451</f>
        <v/>
      </c>
    </row>
    <row r="452">
      <c r="A452" t="n">
        <v>128</v>
      </c>
      <c r="B452" t="n">
        <v>163.27</v>
      </c>
      <c r="C452">
        <f>C442+A452*1024*C440</f>
        <v/>
      </c>
      <c r="D452">
        <f>B452/C452</f>
        <v/>
      </c>
      <c r="E452" t="n">
        <v>1.58</v>
      </c>
      <c r="F452">
        <f>A452*1024/(C452*0.000001)/1000000000*C441</f>
        <v/>
      </c>
      <c r="G452">
        <f>E452/F452</f>
        <v/>
      </c>
    </row>
    <row r="453">
      <c r="A453" t="n">
        <v>256</v>
      </c>
      <c r="B453" t="n">
        <v>182.83</v>
      </c>
      <c r="C453">
        <f>C442+A453*1024*C440</f>
        <v/>
      </c>
      <c r="D453">
        <f>B453/C453</f>
        <v/>
      </c>
      <c r="E453" t="n">
        <v>2.82</v>
      </c>
      <c r="F453">
        <f>A453*1024/(C453*0.000001)/1000000000*C441</f>
        <v/>
      </c>
      <c r="G453">
        <f>E453/F453</f>
        <v/>
      </c>
    </row>
    <row r="454">
      <c r="A454" t="n">
        <v>512</v>
      </c>
      <c r="B454" t="n">
        <v>231.9</v>
      </c>
      <c r="C454">
        <f>C442+A454*1024*C440</f>
        <v/>
      </c>
      <c r="D454">
        <f>B454/C454</f>
        <v/>
      </c>
      <c r="E454" t="n">
        <v>4.45</v>
      </c>
      <c r="F454">
        <f>A454*1024/(C454*0.000001)/1000000000*C441</f>
        <v/>
      </c>
      <c r="G454">
        <f>E454/F454</f>
        <v/>
      </c>
    </row>
    <row r="455">
      <c r="A455" t="n">
        <v>1024</v>
      </c>
      <c r="B455" t="n">
        <v>278.33</v>
      </c>
      <c r="C455">
        <f>C442+A455*1024*C440</f>
        <v/>
      </c>
      <c r="D455">
        <f>B455/C455</f>
        <v/>
      </c>
      <c r="E455" t="n">
        <v>7.42</v>
      </c>
      <c r="F455">
        <f>A455*1024/(C455*0.000001)/1000000000*C441</f>
        <v/>
      </c>
      <c r="G455">
        <f>E455/F455</f>
        <v/>
      </c>
    </row>
    <row r="456">
      <c r="A456" t="n">
        <v>2048</v>
      </c>
      <c r="B456" t="n">
        <v>375.13</v>
      </c>
      <c r="C456">
        <f>C442+A456*1024*C440</f>
        <v/>
      </c>
      <c r="D456">
        <f>B456/C456</f>
        <v/>
      </c>
      <c r="E456" t="n">
        <v>11.01</v>
      </c>
      <c r="F456">
        <f>A456*1024/(C456*0.000001)/1000000000*C441</f>
        <v/>
      </c>
      <c r="G456">
        <f>E456/F456</f>
        <v/>
      </c>
    </row>
    <row r="457">
      <c r="A457" t="n">
        <v>4096</v>
      </c>
      <c r="B457" t="n">
        <v>577.86</v>
      </c>
      <c r="C457">
        <f>C442+A457*1024*C440</f>
        <v/>
      </c>
      <c r="D457">
        <f>B457/C457</f>
        <v/>
      </c>
      <c r="E457" t="n">
        <v>14.29</v>
      </c>
      <c r="F457">
        <f>A457*1024/(C457*0.000001)/1000000000*C441</f>
        <v/>
      </c>
      <c r="G457">
        <f>E457/F457</f>
        <v/>
      </c>
    </row>
    <row r="458">
      <c r="A458" t="n">
        <v>8192</v>
      </c>
      <c r="B458" t="n">
        <v>995.59</v>
      </c>
      <c r="C458">
        <f>C442+A458*1024*C440</f>
        <v/>
      </c>
      <c r="D458">
        <f>B458/C458</f>
        <v/>
      </c>
      <c r="E458" t="n">
        <v>16.59</v>
      </c>
      <c r="F458">
        <f>A458*1024/(C458*0.000001)/1000000000*C441</f>
        <v/>
      </c>
      <c r="G458">
        <f>E458/F458</f>
        <v/>
      </c>
    </row>
    <row r="459">
      <c r="A459" t="n">
        <v>16384</v>
      </c>
      <c r="B459" t="n">
        <v>1635.03</v>
      </c>
      <c r="C459">
        <f>C442+A459*1024*C440</f>
        <v/>
      </c>
      <c r="D459">
        <f>B459/C459</f>
        <v/>
      </c>
      <c r="E459" t="n">
        <v>20.2</v>
      </c>
      <c r="F459">
        <f>A459*1024/(C459*0.000001)/1000000000*C441</f>
        <v/>
      </c>
      <c r="G459">
        <f>E459/F459</f>
        <v/>
      </c>
    </row>
    <row r="460">
      <c r="A460" t="n">
        <v>32768</v>
      </c>
      <c r="B460" t="n">
        <v>2990.15</v>
      </c>
      <c r="C460">
        <f>C442+A460*1024*C440</f>
        <v/>
      </c>
      <c r="D460">
        <f>B460/C460</f>
        <v/>
      </c>
      <c r="E460" t="n">
        <v>22.09</v>
      </c>
      <c r="F460">
        <f>A460*1024/(C460*0.000001)/1000000000*C441</f>
        <v/>
      </c>
      <c r="G460">
        <f>E460/F460</f>
        <v/>
      </c>
    </row>
    <row r="461">
      <c r="A461" t="n">
        <v>65536</v>
      </c>
      <c r="B461" t="n">
        <v>5766.05</v>
      </c>
      <c r="C461">
        <f>C442+A461*1024*C440</f>
        <v/>
      </c>
      <c r="D461">
        <f>B461/C461</f>
        <v/>
      </c>
      <c r="E461" t="n">
        <v>22.91</v>
      </c>
      <c r="F461">
        <f>A461*1024/(C461*0.000001)/1000000000*C441</f>
        <v/>
      </c>
      <c r="G461">
        <f>E461/F461</f>
        <v/>
      </c>
    </row>
    <row r="462">
      <c r="A462" t="n">
        <v>131072</v>
      </c>
      <c r="B462" t="n">
        <v>11082.2</v>
      </c>
      <c r="C462">
        <f>C442+A462*1024*C440</f>
        <v/>
      </c>
      <c r="D462">
        <f>B462/C462</f>
        <v/>
      </c>
      <c r="E462" t="n">
        <v>23.84</v>
      </c>
      <c r="F462">
        <f>A462*1024/(C462*0.000001)/1000000000*C441</f>
        <v/>
      </c>
      <c r="G462">
        <f>E462/F462</f>
        <v/>
      </c>
    </row>
    <row r="463">
      <c r="A463" t="n">
        <v>262144</v>
      </c>
      <c r="B463" t="n">
        <v>21748.2</v>
      </c>
      <c r="C463">
        <f>C442+A463*1024*C440</f>
        <v/>
      </c>
      <c r="D463">
        <f>B463/C463</f>
        <v/>
      </c>
      <c r="E463" t="n">
        <v>24.3</v>
      </c>
      <c r="F463">
        <f>A463*1024/(C463*0.000001)/1000000000*C441</f>
        <v/>
      </c>
      <c r="G463">
        <f>E463/F463</f>
        <v/>
      </c>
    </row>
    <row r="464">
      <c r="A464" t="n">
        <v>524288</v>
      </c>
      <c r="B464" t="n">
        <v>42874.5</v>
      </c>
      <c r="C464">
        <f>C442+A464*1024*C440</f>
        <v/>
      </c>
      <c r="D464">
        <f>B464/C464</f>
        <v/>
      </c>
      <c r="E464" t="n">
        <v>24.65</v>
      </c>
      <c r="F464">
        <f>A464*1024/(C464*0.000001)/1000000000*C441</f>
        <v/>
      </c>
      <c r="G464">
        <f>E464/F464</f>
        <v/>
      </c>
    </row>
    <row r="465">
      <c r="A465" t="n">
        <v>1048576</v>
      </c>
      <c r="B465" t="n">
        <v>85178.5</v>
      </c>
      <c r="C465">
        <f>C442+A465*1024*C440</f>
        <v/>
      </c>
      <c r="D465">
        <f>B465/C465</f>
        <v/>
      </c>
      <c r="E465" t="n">
        <v>24.82</v>
      </c>
      <c r="F465">
        <f>A465*1024/(C465*0.000001)/1000000000*C441</f>
        <v/>
      </c>
      <c r="G465">
        <f>E465/F465</f>
        <v/>
      </c>
    </row>
    <row r="466"/>
    <row r="467">
      <c r="A467" t="inlineStr">
        <is>
          <t>Nodes: 8, Protocol: LL128, Channels: 4</t>
        </is>
      </c>
    </row>
    <row r="468">
      <c r="A468" t="inlineStr">
        <is>
          <t>Parameter</t>
        </is>
      </c>
      <c r="B468" t="inlineStr">
        <is>
          <t>Formula</t>
        </is>
      </c>
      <c r="C468" t="inlineStr">
        <is>
          <t>Value</t>
        </is>
      </c>
    </row>
    <row r="469">
      <c r="A469" t="inlineStr">
        <is>
          <t>N</t>
        </is>
      </c>
      <c r="B469" t="inlineStr">
        <is>
          <t>nodes</t>
        </is>
      </c>
      <c r="C469" t="n">
        <v>8</v>
      </c>
    </row>
    <row r="470">
      <c r="A470" t="inlineStr">
        <is>
          <t>n</t>
        </is>
      </c>
      <c r="B470" t="inlineStr">
        <is>
          <t>GPUs/node</t>
        </is>
      </c>
      <c r="C470" t="n">
        <v>8</v>
      </c>
    </row>
    <row r="471">
      <c r="A471" t="inlineStr">
        <is>
          <t>n_total</t>
        </is>
      </c>
      <c r="B471" t="inlineStr">
        <is>
          <t>N*n</t>
        </is>
      </c>
      <c r="C471" t="n">
        <v>64</v>
      </c>
    </row>
    <row r="472">
      <c r="A472" t="inlineStr">
        <is>
          <t>nch_raw</t>
        </is>
      </c>
      <c r="B472" t="inlineStr">
        <is>
          <t>raw channels</t>
        </is>
      </c>
      <c r="C472" t="n">
        <v>4</v>
      </c>
    </row>
    <row r="473">
      <c r="A473" t="inlineStr">
        <is>
          <t>nch_eff</t>
        </is>
      </c>
      <c r="B473" t="inlineStr">
        <is>
          <t>min(nch_raw,8)</t>
        </is>
      </c>
      <c r="C473" t="n">
        <v>4</v>
      </c>
    </row>
    <row r="474">
      <c r="A474" t="inlineStr">
        <is>
          <t>a</t>
        </is>
      </c>
      <c r="B474" t="inlineStr">
        <is>
          <t>RTT (us)</t>
        </is>
      </c>
      <c r="C474" t="n">
        <v>24.92</v>
      </c>
    </row>
    <row r="475">
      <c r="A475" t="inlineStr">
        <is>
          <t>NIC_BW</t>
        </is>
      </c>
      <c r="B475" t="inlineStr">
        <is>
          <t>bytes/us</t>
        </is>
      </c>
      <c r="C475" t="n">
        <v>48750</v>
      </c>
    </row>
    <row r="476">
      <c r="A476" t="inlineStr">
        <is>
          <t>intra_node_latency</t>
        </is>
      </c>
      <c r="B476" t="inlineStr">
        <is>
          <t>us</t>
        </is>
      </c>
      <c r="C476" t="n">
        <v>8.4</v>
      </c>
    </row>
    <row r="477">
      <c r="A477" t="inlineStr">
        <is>
          <t>NIC_BW_REAL</t>
        </is>
      </c>
      <c r="B477" t="inlineStr">
        <is>
          <t>nch_eff*(NIC_BW*15/16)/3</t>
        </is>
      </c>
      <c r="C477">
        <f>C473*(C475*15/16)/3</f>
        <v/>
      </c>
    </row>
    <row r="478">
      <c r="A478" t="inlineStr">
        <is>
          <t>G</t>
        </is>
      </c>
      <c r="B478" t="inlineStr">
        <is>
          <t>1/NIC_BW_REAL</t>
        </is>
      </c>
      <c r="C478">
        <f>1/C477</f>
        <v/>
      </c>
    </row>
    <row r="479">
      <c r="A479" t="inlineStr">
        <is>
          <t>busbw_factor</t>
        </is>
      </c>
      <c r="B479" t="inlineStr">
        <is>
          <t>2*(n_total-1)/n_total</t>
        </is>
      </c>
      <c r="C479">
        <f>2*(C471-1)/C471</f>
        <v/>
      </c>
    </row>
    <row r="480">
      <c r="A480" t="inlineStr">
        <is>
          <t>fixed_overhead</t>
        </is>
      </c>
      <c r="B480" t="inlineStr">
        <is>
          <t>(2*LOG2(N)+1)*a/2+2*intra</t>
        </is>
      </c>
      <c r="C480">
        <f>(2*LOG(C469,2)+1)*C474/2+2*C476</f>
        <v/>
      </c>
    </row>
    <row r="481"/>
    <row r="482">
      <c r="A482" t="inlineStr">
        <is>
          <t>size_KB</t>
        </is>
      </c>
      <c r="B482" t="inlineStr">
        <is>
          <t>Actual Time (us)</t>
        </is>
      </c>
      <c r="C482" t="inlineStr">
        <is>
          <t>Roofline Time (us)</t>
        </is>
      </c>
      <c r="D482" t="inlineStr">
        <is>
          <t>Actual/Roofline</t>
        </is>
      </c>
      <c r="E482" t="inlineStr">
        <is>
          <t>Actual busBW (GB/s)</t>
        </is>
      </c>
      <c r="F482" t="inlineStr">
        <is>
          <t>Roofline busBW (GB/s)</t>
        </is>
      </c>
      <c r="G482" t="inlineStr">
        <is>
          <t>Meas/Roof busBW</t>
        </is>
      </c>
    </row>
    <row r="483">
      <c r="A483" t="n">
        <v>1</v>
      </c>
      <c r="B483" t="n">
        <v>126.77</v>
      </c>
      <c r="C483">
        <f>C480+A483*1024*C478</f>
        <v/>
      </c>
      <c r="D483">
        <f>B483/C483</f>
        <v/>
      </c>
      <c r="E483" t="n">
        <v>0.02</v>
      </c>
      <c r="F483">
        <f>A483*1024/(C483*0.000001)/1000000000*C479</f>
        <v/>
      </c>
      <c r="G483">
        <f>E483/F483</f>
        <v/>
      </c>
    </row>
    <row r="484">
      <c r="A484" t="n">
        <v>2</v>
      </c>
      <c r="B484" t="n">
        <v>123.74</v>
      </c>
      <c r="C484">
        <f>C480+A484*1024*C478</f>
        <v/>
      </c>
      <c r="D484">
        <f>B484/C484</f>
        <v/>
      </c>
      <c r="E484" t="n">
        <v>0.03</v>
      </c>
      <c r="F484">
        <f>A484*1024/(C484*0.000001)/1000000000*C479</f>
        <v/>
      </c>
      <c r="G484">
        <f>E484/F484</f>
        <v/>
      </c>
    </row>
    <row r="485">
      <c r="A485" t="n">
        <v>4</v>
      </c>
      <c r="B485" t="n">
        <v>129.05</v>
      </c>
      <c r="C485">
        <f>C480+A485*1024*C478</f>
        <v/>
      </c>
      <c r="D485">
        <f>B485/C485</f>
        <v/>
      </c>
      <c r="E485" t="n">
        <v>0.06</v>
      </c>
      <c r="F485">
        <f>A485*1024/(C485*0.000001)/1000000000*C479</f>
        <v/>
      </c>
      <c r="G485">
        <f>E485/F485</f>
        <v/>
      </c>
    </row>
    <row r="486">
      <c r="A486" t="n">
        <v>8</v>
      </c>
      <c r="B486" t="n">
        <v>138.26</v>
      </c>
      <c r="C486">
        <f>C480+A486*1024*C478</f>
        <v/>
      </c>
      <c r="D486">
        <f>B486/C486</f>
        <v/>
      </c>
      <c r="E486" t="n">
        <v>0.12</v>
      </c>
      <c r="F486">
        <f>A486*1024/(C486*0.000001)/1000000000*C479</f>
        <v/>
      </c>
      <c r="G486">
        <f>E486/F486</f>
        <v/>
      </c>
    </row>
    <row r="487">
      <c r="A487" t="n">
        <v>16</v>
      </c>
      <c r="B487" t="n">
        <v>145.87</v>
      </c>
      <c r="C487">
        <f>C480+A487*1024*C478</f>
        <v/>
      </c>
      <c r="D487">
        <f>B487/C487</f>
        <v/>
      </c>
      <c r="E487" t="n">
        <v>0.22</v>
      </c>
      <c r="F487">
        <f>A487*1024/(C487*0.000001)/1000000000*C479</f>
        <v/>
      </c>
      <c r="G487">
        <f>E487/F487</f>
        <v/>
      </c>
    </row>
    <row r="488">
      <c r="A488" t="n">
        <v>32</v>
      </c>
      <c r="B488" t="n">
        <v>146.53</v>
      </c>
      <c r="C488">
        <f>C480+A488*1024*C478</f>
        <v/>
      </c>
      <c r="D488">
        <f>B488/C488</f>
        <v/>
      </c>
      <c r="E488" t="n">
        <v>0.44</v>
      </c>
      <c r="F488">
        <f>A488*1024/(C488*0.000001)/1000000000*C479</f>
        <v/>
      </c>
      <c r="G488">
        <f>E488/F488</f>
        <v/>
      </c>
    </row>
    <row r="489">
      <c r="A489" t="n">
        <v>64</v>
      </c>
      <c r="B489" t="n">
        <v>147.3</v>
      </c>
      <c r="C489">
        <f>C480+A489*1024*C478</f>
        <v/>
      </c>
      <c r="D489">
        <f>B489/C489</f>
        <v/>
      </c>
      <c r="E489" t="n">
        <v>0.88</v>
      </c>
      <c r="F489">
        <f>A489*1024/(C489*0.000001)/1000000000*C479</f>
        <v/>
      </c>
      <c r="G489">
        <f>E489/F489</f>
        <v/>
      </c>
    </row>
    <row r="490">
      <c r="A490" t="n">
        <v>128</v>
      </c>
      <c r="B490" t="n">
        <v>154.3</v>
      </c>
      <c r="C490">
        <f>C480+A490*1024*C478</f>
        <v/>
      </c>
      <c r="D490">
        <f>B490/C490</f>
        <v/>
      </c>
      <c r="E490" t="n">
        <v>1.67</v>
      </c>
      <c r="F490">
        <f>A490*1024/(C490*0.000001)/1000000000*C479</f>
        <v/>
      </c>
      <c r="G490">
        <f>E490/F490</f>
        <v/>
      </c>
    </row>
    <row r="491">
      <c r="A491" t="n">
        <v>256</v>
      </c>
      <c r="B491" t="n">
        <v>164.26</v>
      </c>
      <c r="C491">
        <f>C480+A491*1024*C478</f>
        <v/>
      </c>
      <c r="D491">
        <f>B491/C491</f>
        <v/>
      </c>
      <c r="E491" t="n">
        <v>3.14</v>
      </c>
      <c r="F491">
        <f>A491*1024/(C491*0.000001)/1000000000*C479</f>
        <v/>
      </c>
      <c r="G491">
        <f>E491/F491</f>
        <v/>
      </c>
    </row>
    <row r="492">
      <c r="A492" t="n">
        <v>512</v>
      </c>
      <c r="B492" t="n">
        <v>182.59</v>
      </c>
      <c r="C492">
        <f>C480+A492*1024*C478</f>
        <v/>
      </c>
      <c r="D492">
        <f>B492/C492</f>
        <v/>
      </c>
      <c r="E492" t="n">
        <v>5.65</v>
      </c>
      <c r="F492">
        <f>A492*1024/(C492*0.000001)/1000000000*C479</f>
        <v/>
      </c>
      <c r="G492">
        <f>E492/F492</f>
        <v/>
      </c>
    </row>
    <row r="493">
      <c r="A493" t="n">
        <v>1024</v>
      </c>
      <c r="B493" t="n">
        <v>234.23</v>
      </c>
      <c r="C493">
        <f>C480+A493*1024*C478</f>
        <v/>
      </c>
      <c r="D493">
        <f>B493/C493</f>
        <v/>
      </c>
      <c r="E493" t="n">
        <v>8.81</v>
      </c>
      <c r="F493">
        <f>A493*1024/(C493*0.000001)/1000000000*C479</f>
        <v/>
      </c>
      <c r="G493">
        <f>E493/F493</f>
        <v/>
      </c>
    </row>
    <row r="494">
      <c r="A494" t="n">
        <v>2048</v>
      </c>
      <c r="B494" t="n">
        <v>281.41</v>
      </c>
      <c r="C494">
        <f>C480+A494*1024*C478</f>
        <v/>
      </c>
      <c r="D494">
        <f>B494/C494</f>
        <v/>
      </c>
      <c r="E494" t="n">
        <v>14.67</v>
      </c>
      <c r="F494">
        <f>A494*1024/(C494*0.000001)/1000000000*C479</f>
        <v/>
      </c>
      <c r="G494">
        <f>E494/F494</f>
        <v/>
      </c>
    </row>
    <row r="495">
      <c r="A495" t="n">
        <v>4096</v>
      </c>
      <c r="B495" t="n">
        <v>378.24</v>
      </c>
      <c r="C495">
        <f>C480+A495*1024*C478</f>
        <v/>
      </c>
      <c r="D495">
        <f>B495/C495</f>
        <v/>
      </c>
      <c r="E495" t="n">
        <v>21.83</v>
      </c>
      <c r="F495">
        <f>A495*1024/(C495*0.000001)/1000000000*C479</f>
        <v/>
      </c>
      <c r="G495">
        <f>E495/F495</f>
        <v/>
      </c>
    </row>
    <row r="496">
      <c r="A496" t="n">
        <v>8192</v>
      </c>
      <c r="B496" t="n">
        <v>581.58</v>
      </c>
      <c r="C496">
        <f>C480+A496*1024*C478</f>
        <v/>
      </c>
      <c r="D496">
        <f>B496/C496</f>
        <v/>
      </c>
      <c r="E496" t="n">
        <v>28.4</v>
      </c>
      <c r="F496">
        <f>A496*1024/(C496*0.000001)/1000000000*C479</f>
        <v/>
      </c>
      <c r="G496">
        <f>E496/F496</f>
        <v/>
      </c>
    </row>
    <row r="497">
      <c r="A497" t="n">
        <v>16384</v>
      </c>
      <c r="B497" t="n">
        <v>995.92</v>
      </c>
      <c r="C497">
        <f>C480+A497*1024*C478</f>
        <v/>
      </c>
      <c r="D497">
        <f>B497/C497</f>
        <v/>
      </c>
      <c r="E497" t="n">
        <v>33.17</v>
      </c>
      <c r="F497">
        <f>A497*1024/(C497*0.000001)/1000000000*C479</f>
        <v/>
      </c>
      <c r="G497">
        <f>E497/F497</f>
        <v/>
      </c>
    </row>
    <row r="498">
      <c r="A498" t="n">
        <v>32768</v>
      </c>
      <c r="B498" t="n">
        <v>1651.3</v>
      </c>
      <c r="C498">
        <f>C480+A498*1024*C478</f>
        <v/>
      </c>
      <c r="D498">
        <f>B498/C498</f>
        <v/>
      </c>
      <c r="E498" t="n">
        <v>40.01</v>
      </c>
      <c r="F498">
        <f>A498*1024/(C498*0.000001)/1000000000*C479</f>
        <v/>
      </c>
      <c r="G498">
        <f>E498/F498</f>
        <v/>
      </c>
    </row>
    <row r="499">
      <c r="A499" t="n">
        <v>65536</v>
      </c>
      <c r="B499" t="n">
        <v>3047.18</v>
      </c>
      <c r="C499">
        <f>C480+A499*1024*C478</f>
        <v/>
      </c>
      <c r="D499">
        <f>B499/C499</f>
        <v/>
      </c>
      <c r="E499" t="n">
        <v>43.36</v>
      </c>
      <c r="F499">
        <f>A499*1024/(C499*0.000001)/1000000000*C479</f>
        <v/>
      </c>
      <c r="G499">
        <f>E499/F499</f>
        <v/>
      </c>
    </row>
    <row r="500">
      <c r="A500" t="n">
        <v>131072</v>
      </c>
      <c r="B500" t="n">
        <v>5778.53</v>
      </c>
      <c r="C500">
        <f>C480+A500*1024*C478</f>
        <v/>
      </c>
      <c r="D500">
        <f>B500/C500</f>
        <v/>
      </c>
      <c r="E500" t="n">
        <v>45.73</v>
      </c>
      <c r="F500">
        <f>A500*1024/(C500*0.000001)/1000000000*C479</f>
        <v/>
      </c>
      <c r="G500">
        <f>E500/F500</f>
        <v/>
      </c>
    </row>
    <row r="501">
      <c r="A501" t="n">
        <v>262144</v>
      </c>
      <c r="B501" t="n">
        <v>11139.6</v>
      </c>
      <c r="C501">
        <f>C480+A501*1024*C478</f>
        <v/>
      </c>
      <c r="D501">
        <f>B501/C501</f>
        <v/>
      </c>
      <c r="E501" t="n">
        <v>47.44</v>
      </c>
      <c r="F501">
        <f>A501*1024/(C501*0.000001)/1000000000*C479</f>
        <v/>
      </c>
      <c r="G501">
        <f>E501/F501</f>
        <v/>
      </c>
    </row>
    <row r="502">
      <c r="A502" t="n">
        <v>524288</v>
      </c>
      <c r="B502" t="n">
        <v>21840.5</v>
      </c>
      <c r="C502">
        <f>C480+A502*1024*C478</f>
        <v/>
      </c>
      <c r="D502">
        <f>B502/C502</f>
        <v/>
      </c>
      <c r="E502" t="n">
        <v>48.39</v>
      </c>
      <c r="F502">
        <f>A502*1024/(C502*0.000001)/1000000000*C479</f>
        <v/>
      </c>
      <c r="G502">
        <f>E502/F502</f>
        <v/>
      </c>
    </row>
    <row r="503">
      <c r="A503" t="n">
        <v>1048576</v>
      </c>
      <c r="B503" t="n">
        <v>43149.2</v>
      </c>
      <c r="C503">
        <f>C480+A503*1024*C478</f>
        <v/>
      </c>
      <c r="D503">
        <f>B503/C503</f>
        <v/>
      </c>
      <c r="E503" t="n">
        <v>48.99</v>
      </c>
      <c r="F503">
        <f>A503*1024/(C503*0.000001)/1000000000*C479</f>
        <v/>
      </c>
      <c r="G503">
        <f>E503/F503</f>
        <v/>
      </c>
    </row>
    <row r="504"/>
    <row r="505">
      <c r="A505" t="inlineStr">
        <is>
          <t>Nodes: 8, Protocol: LL128, Channels: 8</t>
        </is>
      </c>
    </row>
    <row r="506">
      <c r="A506" t="inlineStr">
        <is>
          <t>Parameter</t>
        </is>
      </c>
      <c r="B506" t="inlineStr">
        <is>
          <t>Formula</t>
        </is>
      </c>
      <c r="C506" t="inlineStr">
        <is>
          <t>Value</t>
        </is>
      </c>
    </row>
    <row r="507">
      <c r="A507" t="inlineStr">
        <is>
          <t>N</t>
        </is>
      </c>
      <c r="B507" t="inlineStr">
        <is>
          <t>nodes</t>
        </is>
      </c>
      <c r="C507" t="n">
        <v>8</v>
      </c>
    </row>
    <row r="508">
      <c r="A508" t="inlineStr">
        <is>
          <t>n</t>
        </is>
      </c>
      <c r="B508" t="inlineStr">
        <is>
          <t>GPUs/node</t>
        </is>
      </c>
      <c r="C508" t="n">
        <v>8</v>
      </c>
    </row>
    <row r="509">
      <c r="A509" t="inlineStr">
        <is>
          <t>n_total</t>
        </is>
      </c>
      <c r="B509" t="inlineStr">
        <is>
          <t>N*n</t>
        </is>
      </c>
      <c r="C509" t="n">
        <v>64</v>
      </c>
    </row>
    <row r="510">
      <c r="A510" t="inlineStr">
        <is>
          <t>nch_raw</t>
        </is>
      </c>
      <c r="B510" t="inlineStr">
        <is>
          <t>raw channels</t>
        </is>
      </c>
      <c r="C510" t="n">
        <v>8</v>
      </c>
    </row>
    <row r="511">
      <c r="A511" t="inlineStr">
        <is>
          <t>nch_eff</t>
        </is>
      </c>
      <c r="B511" t="inlineStr">
        <is>
          <t>min(nch_raw,8)</t>
        </is>
      </c>
      <c r="C511" t="n">
        <v>8</v>
      </c>
    </row>
    <row r="512">
      <c r="A512" t="inlineStr">
        <is>
          <t>a</t>
        </is>
      </c>
      <c r="B512" t="inlineStr">
        <is>
          <t>RTT (us)</t>
        </is>
      </c>
      <c r="C512" t="n">
        <v>24.92</v>
      </c>
    </row>
    <row r="513">
      <c r="A513" t="inlineStr">
        <is>
          <t>NIC_BW</t>
        </is>
      </c>
      <c r="B513" t="inlineStr">
        <is>
          <t>bytes/us</t>
        </is>
      </c>
      <c r="C513" t="n">
        <v>48750</v>
      </c>
    </row>
    <row r="514">
      <c r="A514" t="inlineStr">
        <is>
          <t>intra_node_latency</t>
        </is>
      </c>
      <c r="B514" t="inlineStr">
        <is>
          <t>us</t>
        </is>
      </c>
      <c r="C514" t="n">
        <v>8.4</v>
      </c>
    </row>
    <row r="515">
      <c r="A515" t="inlineStr">
        <is>
          <t>NIC_BW_REAL</t>
        </is>
      </c>
      <c r="B515" t="inlineStr">
        <is>
          <t>nch_eff*(NIC_BW*15/16)/3</t>
        </is>
      </c>
      <c r="C515">
        <f>C511*(C513*15/16)/3</f>
        <v/>
      </c>
    </row>
    <row r="516">
      <c r="A516" t="inlineStr">
        <is>
          <t>G</t>
        </is>
      </c>
      <c r="B516" t="inlineStr">
        <is>
          <t>1/NIC_BW_REAL</t>
        </is>
      </c>
      <c r="C516">
        <f>1/C515</f>
        <v/>
      </c>
    </row>
    <row r="517">
      <c r="A517" t="inlineStr">
        <is>
          <t>busbw_factor</t>
        </is>
      </c>
      <c r="B517" t="inlineStr">
        <is>
          <t>2*(n_total-1)/n_total</t>
        </is>
      </c>
      <c r="C517">
        <f>2*(C509-1)/C509</f>
        <v/>
      </c>
    </row>
    <row r="518">
      <c r="A518" t="inlineStr">
        <is>
          <t>fixed_overhead</t>
        </is>
      </c>
      <c r="B518" t="inlineStr">
        <is>
          <t>(2*LOG2(N)+1)*a/2+2*intra</t>
        </is>
      </c>
      <c r="C518">
        <f>(2*LOG(C507,2)+1)*C512/2+2*C514</f>
        <v/>
      </c>
    </row>
    <row r="519"/>
    <row r="520">
      <c r="A520" t="inlineStr">
        <is>
          <t>size_KB</t>
        </is>
      </c>
      <c r="B520" t="inlineStr">
        <is>
          <t>Actual Time (us)</t>
        </is>
      </c>
      <c r="C520" t="inlineStr">
        <is>
          <t>Roofline Time (us)</t>
        </is>
      </c>
      <c r="D520" t="inlineStr">
        <is>
          <t>Actual/Roofline</t>
        </is>
      </c>
      <c r="E520" t="inlineStr">
        <is>
          <t>Actual busBW (GB/s)</t>
        </is>
      </c>
      <c r="F520" t="inlineStr">
        <is>
          <t>Roofline busBW (GB/s)</t>
        </is>
      </c>
      <c r="G520" t="inlineStr">
        <is>
          <t>Meas/Roof busBW</t>
        </is>
      </c>
    </row>
    <row r="521">
      <c r="A521" t="n">
        <v>1</v>
      </c>
      <c r="B521" t="n">
        <v>121.16</v>
      </c>
      <c r="C521">
        <f>C518+A521*1024*C516</f>
        <v/>
      </c>
      <c r="D521">
        <f>B521/C521</f>
        <v/>
      </c>
      <c r="E521" t="n">
        <v>0.02</v>
      </c>
      <c r="F521">
        <f>A521*1024/(C521*0.000001)/1000000000*C517</f>
        <v/>
      </c>
      <c r="G521">
        <f>E521/F521</f>
        <v/>
      </c>
    </row>
    <row r="522">
      <c r="A522" t="n">
        <v>2</v>
      </c>
      <c r="B522" t="n">
        <v>123.61</v>
      </c>
      <c r="C522">
        <f>C518+A522*1024*C516</f>
        <v/>
      </c>
      <c r="D522">
        <f>B522/C522</f>
        <v/>
      </c>
      <c r="E522" t="n">
        <v>0.03</v>
      </c>
      <c r="F522">
        <f>A522*1024/(C522*0.000001)/1000000000*C517</f>
        <v/>
      </c>
      <c r="G522">
        <f>E522/F522</f>
        <v/>
      </c>
    </row>
    <row r="523">
      <c r="A523" t="n">
        <v>4</v>
      </c>
      <c r="B523" t="n">
        <v>129.06</v>
      </c>
      <c r="C523">
        <f>C518+A523*1024*C516</f>
        <v/>
      </c>
      <c r="D523">
        <f>B523/C523</f>
        <v/>
      </c>
      <c r="E523" t="n">
        <v>0.06</v>
      </c>
      <c r="F523">
        <f>A523*1024/(C523*0.000001)/1000000000*C517</f>
        <v/>
      </c>
      <c r="G523">
        <f>E523/F523</f>
        <v/>
      </c>
    </row>
    <row r="524">
      <c r="A524" t="n">
        <v>8</v>
      </c>
      <c r="B524" t="n">
        <v>138.4</v>
      </c>
      <c r="C524">
        <f>C518+A524*1024*C516</f>
        <v/>
      </c>
      <c r="D524">
        <f>B524/C524</f>
        <v/>
      </c>
      <c r="E524" t="n">
        <v>0.12</v>
      </c>
      <c r="F524">
        <f>A524*1024/(C524*0.000001)/1000000000*C517</f>
        <v/>
      </c>
      <c r="G524">
        <f>E524/F524</f>
        <v/>
      </c>
    </row>
    <row r="525">
      <c r="A525" t="n">
        <v>16</v>
      </c>
      <c r="B525" t="n">
        <v>144.38</v>
      </c>
      <c r="C525">
        <f>C518+A525*1024*C516</f>
        <v/>
      </c>
      <c r="D525">
        <f>B525/C525</f>
        <v/>
      </c>
      <c r="E525" t="n">
        <v>0.22</v>
      </c>
      <c r="F525">
        <f>A525*1024/(C525*0.000001)/1000000000*C517</f>
        <v/>
      </c>
      <c r="G525">
        <f>E525/F525</f>
        <v/>
      </c>
    </row>
    <row r="526">
      <c r="A526" t="n">
        <v>32</v>
      </c>
      <c r="B526" t="n">
        <v>154.07</v>
      </c>
      <c r="C526">
        <f>C518+A526*1024*C516</f>
        <v/>
      </c>
      <c r="D526">
        <f>B526/C526</f>
        <v/>
      </c>
      <c r="E526" t="n">
        <v>0.42</v>
      </c>
      <c r="F526">
        <f>A526*1024/(C526*0.000001)/1000000000*C517</f>
        <v/>
      </c>
      <c r="G526">
        <f>E526/F526</f>
        <v/>
      </c>
    </row>
    <row r="527">
      <c r="A527" t="n">
        <v>64</v>
      </c>
      <c r="B527" t="n">
        <v>147.96</v>
      </c>
      <c r="C527">
        <f>C518+A527*1024*C516</f>
        <v/>
      </c>
      <c r="D527">
        <f>B527/C527</f>
        <v/>
      </c>
      <c r="E527" t="n">
        <v>0.87</v>
      </c>
      <c r="F527">
        <f>A527*1024/(C527*0.000001)/1000000000*C517</f>
        <v/>
      </c>
      <c r="G527">
        <f>E527/F527</f>
        <v/>
      </c>
    </row>
    <row r="528">
      <c r="A528" t="n">
        <v>128</v>
      </c>
      <c r="B528" t="n">
        <v>149.78</v>
      </c>
      <c r="C528">
        <f>C518+A528*1024*C516</f>
        <v/>
      </c>
      <c r="D528">
        <f>B528/C528</f>
        <v/>
      </c>
      <c r="E528" t="n">
        <v>1.72</v>
      </c>
      <c r="F528">
        <f>A528*1024/(C528*0.000001)/1000000000*C517</f>
        <v/>
      </c>
      <c r="G528">
        <f>E528/F528</f>
        <v/>
      </c>
    </row>
    <row r="529">
      <c r="A529" t="n">
        <v>256</v>
      </c>
      <c r="B529" t="n">
        <v>213.87</v>
      </c>
      <c r="C529">
        <f>C518+A529*1024*C516</f>
        <v/>
      </c>
      <c r="D529">
        <f>B529/C529</f>
        <v/>
      </c>
      <c r="E529" t="n">
        <v>2.41</v>
      </c>
      <c r="F529">
        <f>A529*1024/(C529*0.000001)/1000000000*C517</f>
        <v/>
      </c>
      <c r="G529">
        <f>E529/F529</f>
        <v/>
      </c>
    </row>
    <row r="530">
      <c r="A530" t="n">
        <v>512</v>
      </c>
      <c r="B530" t="n">
        <v>167.43</v>
      </c>
      <c r="C530">
        <f>C518+A530*1024*C516</f>
        <v/>
      </c>
      <c r="D530">
        <f>B530/C530</f>
        <v/>
      </c>
      <c r="E530" t="n">
        <v>6.17</v>
      </c>
      <c r="F530">
        <f>A530*1024/(C530*0.000001)/1000000000*C517</f>
        <v/>
      </c>
      <c r="G530">
        <f>E530/F530</f>
        <v/>
      </c>
    </row>
    <row r="531">
      <c r="A531" t="n">
        <v>1024</v>
      </c>
      <c r="B531" t="n">
        <v>185.21</v>
      </c>
      <c r="C531">
        <f>C518+A531*1024*C516</f>
        <v/>
      </c>
      <c r="D531">
        <f>B531/C531</f>
        <v/>
      </c>
      <c r="E531" t="n">
        <v>11.15</v>
      </c>
      <c r="F531">
        <f>A531*1024/(C531*0.000001)/1000000000*C517</f>
        <v/>
      </c>
      <c r="G531">
        <f>E531/F531</f>
        <v/>
      </c>
    </row>
    <row r="532">
      <c r="A532" t="n">
        <v>2048</v>
      </c>
      <c r="B532" t="n">
        <v>235.15</v>
      </c>
      <c r="C532">
        <f>C518+A532*1024*C516</f>
        <v/>
      </c>
      <c r="D532">
        <f>B532/C532</f>
        <v/>
      </c>
      <c r="E532" t="n">
        <v>17.56</v>
      </c>
      <c r="F532">
        <f>A532*1024/(C532*0.000001)/1000000000*C517</f>
        <v/>
      </c>
      <c r="G532">
        <f>E532/F532</f>
        <v/>
      </c>
    </row>
    <row r="533">
      <c r="A533" t="n">
        <v>4096</v>
      </c>
      <c r="B533" t="n">
        <v>283.81</v>
      </c>
      <c r="C533">
        <f>C518+A533*1024*C516</f>
        <v/>
      </c>
      <c r="D533">
        <f>B533/C533</f>
        <v/>
      </c>
      <c r="E533" t="n">
        <v>29.1</v>
      </c>
      <c r="F533">
        <f>A533*1024/(C533*0.000001)/1000000000*C517</f>
        <v/>
      </c>
      <c r="G533">
        <f>E533/F533</f>
        <v/>
      </c>
    </row>
    <row r="534">
      <c r="A534" t="n">
        <v>8192</v>
      </c>
      <c r="B534" t="n">
        <v>380.67</v>
      </c>
      <c r="C534">
        <f>C518+A534*1024*C516</f>
        <v/>
      </c>
      <c r="D534">
        <f>B534/C534</f>
        <v/>
      </c>
      <c r="E534" t="n">
        <v>43.38</v>
      </c>
      <c r="F534">
        <f>A534*1024/(C534*0.000001)/1000000000*C517</f>
        <v/>
      </c>
      <c r="G534">
        <f>E534/F534</f>
        <v/>
      </c>
    </row>
    <row r="535">
      <c r="A535" t="n">
        <v>16384</v>
      </c>
      <c r="B535" t="n">
        <v>585.8</v>
      </c>
      <c r="C535">
        <f>C518+A535*1024*C516</f>
        <v/>
      </c>
      <c r="D535">
        <f>B535/C535</f>
        <v/>
      </c>
      <c r="E535" t="n">
        <v>56.38</v>
      </c>
      <c r="F535">
        <f>A535*1024/(C535*0.000001)/1000000000*C517</f>
        <v/>
      </c>
      <c r="G535">
        <f>E535/F535</f>
        <v/>
      </c>
    </row>
    <row r="536">
      <c r="A536" t="n">
        <v>32768</v>
      </c>
      <c r="B536" t="n">
        <v>1006.54</v>
      </c>
      <c r="C536">
        <f>C518+A536*1024*C516</f>
        <v/>
      </c>
      <c r="D536">
        <f>B536/C536</f>
        <v/>
      </c>
      <c r="E536" t="n">
        <v>65.63</v>
      </c>
      <c r="F536">
        <f>A536*1024/(C536*0.000001)/1000000000*C517</f>
        <v/>
      </c>
      <c r="G536">
        <f>E536/F536</f>
        <v/>
      </c>
    </row>
    <row r="537">
      <c r="A537" t="n">
        <v>65536</v>
      </c>
      <c r="B537" t="n">
        <v>1697.6</v>
      </c>
      <c r="C537">
        <f>C518+A537*1024*C516</f>
        <v/>
      </c>
      <c r="D537">
        <f>B537/C537</f>
        <v/>
      </c>
      <c r="E537" t="n">
        <v>77.83</v>
      </c>
      <c r="F537">
        <f>A537*1024/(C537*0.000001)/1000000000*C517</f>
        <v/>
      </c>
      <c r="G537">
        <f>E537/F537</f>
        <v/>
      </c>
    </row>
    <row r="538">
      <c r="A538" t="n">
        <v>131072</v>
      </c>
      <c r="B538" t="n">
        <v>3077.95</v>
      </c>
      <c r="C538">
        <f>C518+A538*1024*C516</f>
        <v/>
      </c>
      <c r="D538">
        <f>B538/C538</f>
        <v/>
      </c>
      <c r="E538" t="n">
        <v>85.84999999999999</v>
      </c>
      <c r="F538">
        <f>A538*1024/(C538*0.000001)/1000000000*C517</f>
        <v/>
      </c>
      <c r="G538">
        <f>E538/F538</f>
        <v/>
      </c>
    </row>
    <row r="539">
      <c r="A539" t="n">
        <v>262144</v>
      </c>
      <c r="B539" t="n">
        <v>5833.26</v>
      </c>
      <c r="C539">
        <f>C518+A539*1024*C516</f>
        <v/>
      </c>
      <c r="D539">
        <f>B539/C539</f>
        <v/>
      </c>
      <c r="E539" t="n">
        <v>90.59999999999999</v>
      </c>
      <c r="F539">
        <f>A539*1024/(C539*0.000001)/1000000000*C517</f>
        <v/>
      </c>
      <c r="G539">
        <f>E539/F539</f>
        <v/>
      </c>
    </row>
    <row r="540">
      <c r="A540" t="n">
        <v>524288</v>
      </c>
      <c r="B540" t="n">
        <v>11191.9</v>
      </c>
      <c r="C540">
        <f>C518+A540*1024*C516</f>
        <v/>
      </c>
      <c r="D540">
        <f>B540/C540</f>
        <v/>
      </c>
      <c r="E540" t="n">
        <v>94.44</v>
      </c>
      <c r="F540">
        <f>A540*1024/(C540*0.000001)/1000000000*C517</f>
        <v/>
      </c>
      <c r="G540">
        <f>E540/F540</f>
        <v/>
      </c>
    </row>
    <row r="541">
      <c r="A541" t="n">
        <v>1048576</v>
      </c>
      <c r="B541" t="n">
        <v>21974.8</v>
      </c>
      <c r="C541">
        <f>C518+A541*1024*C516</f>
        <v/>
      </c>
      <c r="D541">
        <f>B541/C541</f>
        <v/>
      </c>
      <c r="E541" t="n">
        <v>96.2</v>
      </c>
      <c r="F541">
        <f>A541*1024/(C541*0.000001)/1000000000*C517</f>
        <v/>
      </c>
      <c r="G541">
        <f>E541/F541</f>
        <v/>
      </c>
    </row>
    <row r="542"/>
    <row r="543">
      <c r="A543" t="inlineStr">
        <is>
          <t>Nodes: 8, Protocol: LL128, Channels: 16</t>
        </is>
      </c>
    </row>
    <row r="544">
      <c r="A544" t="inlineStr">
        <is>
          <t>Parameter</t>
        </is>
      </c>
      <c r="B544" t="inlineStr">
        <is>
          <t>Formula</t>
        </is>
      </c>
      <c r="C544" t="inlineStr">
        <is>
          <t>Value</t>
        </is>
      </c>
    </row>
    <row r="545">
      <c r="A545" t="inlineStr">
        <is>
          <t>N</t>
        </is>
      </c>
      <c r="B545" t="inlineStr">
        <is>
          <t>nodes</t>
        </is>
      </c>
      <c r="C545" t="n">
        <v>8</v>
      </c>
    </row>
    <row r="546">
      <c r="A546" t="inlineStr">
        <is>
          <t>n</t>
        </is>
      </c>
      <c r="B546" t="inlineStr">
        <is>
          <t>GPUs/node</t>
        </is>
      </c>
      <c r="C546" t="n">
        <v>8</v>
      </c>
    </row>
    <row r="547">
      <c r="A547" t="inlineStr">
        <is>
          <t>n_total</t>
        </is>
      </c>
      <c r="B547" t="inlineStr">
        <is>
          <t>N*n</t>
        </is>
      </c>
      <c r="C547" t="n">
        <v>64</v>
      </c>
    </row>
    <row r="548">
      <c r="A548" t="inlineStr">
        <is>
          <t>nch_raw</t>
        </is>
      </c>
      <c r="B548" t="inlineStr">
        <is>
          <t>raw channels</t>
        </is>
      </c>
      <c r="C548" t="n">
        <v>16</v>
      </c>
    </row>
    <row r="549">
      <c r="A549" t="inlineStr">
        <is>
          <t>nch_eff</t>
        </is>
      </c>
      <c r="B549" t="inlineStr">
        <is>
          <t>min(nch_raw,8)</t>
        </is>
      </c>
      <c r="C549" t="n">
        <v>8</v>
      </c>
    </row>
    <row r="550">
      <c r="A550" t="inlineStr">
        <is>
          <t>a</t>
        </is>
      </c>
      <c r="B550" t="inlineStr">
        <is>
          <t>RTT (us)</t>
        </is>
      </c>
      <c r="C550" t="n">
        <v>24.92</v>
      </c>
    </row>
    <row r="551">
      <c r="A551" t="inlineStr">
        <is>
          <t>NIC_BW</t>
        </is>
      </c>
      <c r="B551" t="inlineStr">
        <is>
          <t>bytes/us</t>
        </is>
      </c>
      <c r="C551" t="n">
        <v>48750</v>
      </c>
    </row>
    <row r="552">
      <c r="A552" t="inlineStr">
        <is>
          <t>intra_node_latency</t>
        </is>
      </c>
      <c r="B552" t="inlineStr">
        <is>
          <t>us</t>
        </is>
      </c>
      <c r="C552" t="n">
        <v>8.4</v>
      </c>
    </row>
    <row r="553">
      <c r="A553" t="inlineStr">
        <is>
          <t>NIC_BW_REAL</t>
        </is>
      </c>
      <c r="B553" t="inlineStr">
        <is>
          <t>nch_eff*(NIC_BW*15/16)/3</t>
        </is>
      </c>
      <c r="C553">
        <f>C549*(C551*15/16)/3</f>
        <v/>
      </c>
    </row>
    <row r="554">
      <c r="A554" t="inlineStr">
        <is>
          <t>G</t>
        </is>
      </c>
      <c r="B554" t="inlineStr">
        <is>
          <t>1/NIC_BW_REAL</t>
        </is>
      </c>
      <c r="C554">
        <f>1/C553</f>
        <v/>
      </c>
    </row>
    <row r="555">
      <c r="A555" t="inlineStr">
        <is>
          <t>busbw_factor</t>
        </is>
      </c>
      <c r="B555" t="inlineStr">
        <is>
          <t>2*(n_total-1)/n_total</t>
        </is>
      </c>
      <c r="C555">
        <f>2*(C547-1)/C547</f>
        <v/>
      </c>
    </row>
    <row r="556">
      <c r="A556" t="inlineStr">
        <is>
          <t>fixed_overhead</t>
        </is>
      </c>
      <c r="B556" t="inlineStr">
        <is>
          <t>(2*LOG2(N)+1)*a/2+2*intra</t>
        </is>
      </c>
      <c r="C556">
        <f>(2*LOG(C545,2)+1)*C550/2+2*C552</f>
        <v/>
      </c>
    </row>
    <row r="557"/>
    <row r="558">
      <c r="A558" t="inlineStr">
        <is>
          <t>size_KB</t>
        </is>
      </c>
      <c r="B558" t="inlineStr">
        <is>
          <t>Actual Time (us)</t>
        </is>
      </c>
      <c r="C558" t="inlineStr">
        <is>
          <t>Roofline Time (us)</t>
        </is>
      </c>
      <c r="D558" t="inlineStr">
        <is>
          <t>Actual/Roofline</t>
        </is>
      </c>
      <c r="E558" t="inlineStr">
        <is>
          <t>Actual busBW (GB/s)</t>
        </is>
      </c>
      <c r="F558" t="inlineStr">
        <is>
          <t>Roofline busBW (GB/s)</t>
        </is>
      </c>
      <c r="G558" t="inlineStr">
        <is>
          <t>Meas/Roof busBW</t>
        </is>
      </c>
    </row>
    <row r="559">
      <c r="A559" t="n">
        <v>1</v>
      </c>
      <c r="B559" t="n">
        <v>121.33</v>
      </c>
      <c r="C559">
        <f>C556+A559*1024*C554</f>
        <v/>
      </c>
      <c r="D559">
        <f>B559/C559</f>
        <v/>
      </c>
      <c r="E559" t="n">
        <v>0.02</v>
      </c>
      <c r="F559">
        <f>A559*1024/(C559*0.000001)/1000000000*C555</f>
        <v/>
      </c>
      <c r="G559">
        <f>E559/F559</f>
        <v/>
      </c>
    </row>
    <row r="560">
      <c r="A560" t="n">
        <v>2</v>
      </c>
      <c r="B560" t="n">
        <v>128.64</v>
      </c>
      <c r="C560">
        <f>C556+A560*1024*C554</f>
        <v/>
      </c>
      <c r="D560">
        <f>B560/C560</f>
        <v/>
      </c>
      <c r="E560" t="n">
        <v>0.03</v>
      </c>
      <c r="F560">
        <f>A560*1024/(C560*0.000001)/1000000000*C555</f>
        <v/>
      </c>
      <c r="G560">
        <f>E560/F560</f>
        <v/>
      </c>
    </row>
    <row r="561">
      <c r="A561" t="n">
        <v>4</v>
      </c>
      <c r="B561" t="n">
        <v>129.06</v>
      </c>
      <c r="C561">
        <f>C556+A561*1024*C554</f>
        <v/>
      </c>
      <c r="D561">
        <f>B561/C561</f>
        <v/>
      </c>
      <c r="E561" t="n">
        <v>0.06</v>
      </c>
      <c r="F561">
        <f>A561*1024/(C561*0.000001)/1000000000*C555</f>
        <v/>
      </c>
      <c r="G561">
        <f>E561/F561</f>
        <v/>
      </c>
    </row>
    <row r="562">
      <c r="A562" t="n">
        <v>8</v>
      </c>
      <c r="B562" t="n">
        <v>137.48</v>
      </c>
      <c r="C562">
        <f>C556+A562*1024*C554</f>
        <v/>
      </c>
      <c r="D562">
        <f>B562/C562</f>
        <v/>
      </c>
      <c r="E562" t="n">
        <v>0.12</v>
      </c>
      <c r="F562">
        <f>A562*1024/(C562*0.000001)/1000000000*C555</f>
        <v/>
      </c>
      <c r="G562">
        <f>E562/F562</f>
        <v/>
      </c>
    </row>
    <row r="563">
      <c r="A563" t="n">
        <v>16</v>
      </c>
      <c r="B563" t="n">
        <v>144.69</v>
      </c>
      <c r="C563">
        <f>C556+A563*1024*C554</f>
        <v/>
      </c>
      <c r="D563">
        <f>B563/C563</f>
        <v/>
      </c>
      <c r="E563" t="n">
        <v>0.22</v>
      </c>
      <c r="F563">
        <f>A563*1024/(C563*0.000001)/1000000000*C555</f>
        <v/>
      </c>
      <c r="G563">
        <f>E563/F563</f>
        <v/>
      </c>
    </row>
    <row r="564">
      <c r="A564" t="n">
        <v>32</v>
      </c>
      <c r="B564" t="n">
        <v>146.4</v>
      </c>
      <c r="C564">
        <f>C556+A564*1024*C554</f>
        <v/>
      </c>
      <c r="D564">
        <f>B564/C564</f>
        <v/>
      </c>
      <c r="E564" t="n">
        <v>0.44</v>
      </c>
      <c r="F564">
        <f>A564*1024/(C564*0.000001)/1000000000*C555</f>
        <v/>
      </c>
      <c r="G564">
        <f>E564/F564</f>
        <v/>
      </c>
    </row>
    <row r="565">
      <c r="A565" t="n">
        <v>64</v>
      </c>
      <c r="B565" t="n">
        <v>147.45</v>
      </c>
      <c r="C565">
        <f>C556+A565*1024*C554</f>
        <v/>
      </c>
      <c r="D565">
        <f>B565/C565</f>
        <v/>
      </c>
      <c r="E565" t="n">
        <v>0.88</v>
      </c>
      <c r="F565">
        <f>A565*1024/(C565*0.000001)/1000000000*C555</f>
        <v/>
      </c>
      <c r="G565">
        <f>E565/F565</f>
        <v/>
      </c>
    </row>
    <row r="566">
      <c r="A566" t="n">
        <v>128</v>
      </c>
      <c r="B566" t="n">
        <v>148.72</v>
      </c>
      <c r="C566">
        <f>C556+A566*1024*C554</f>
        <v/>
      </c>
      <c r="D566">
        <f>B566/C566</f>
        <v/>
      </c>
      <c r="E566" t="n">
        <v>1.74</v>
      </c>
      <c r="F566">
        <f>A566*1024/(C566*0.000001)/1000000000*C555</f>
        <v/>
      </c>
      <c r="G566">
        <f>E566/F566</f>
        <v/>
      </c>
    </row>
    <row r="567">
      <c r="A567" t="n">
        <v>256</v>
      </c>
      <c r="B567" t="n">
        <v>155.96</v>
      </c>
      <c r="C567">
        <f>C556+A567*1024*C554</f>
        <v/>
      </c>
      <c r="D567">
        <f>B567/C567</f>
        <v/>
      </c>
      <c r="E567" t="n">
        <v>3.31</v>
      </c>
      <c r="F567">
        <f>A567*1024/(C567*0.000001)/1000000000*C555</f>
        <v/>
      </c>
      <c r="G567">
        <f>E567/F567</f>
        <v/>
      </c>
    </row>
    <row r="568">
      <c r="A568" t="n">
        <v>512</v>
      </c>
      <c r="B568" t="n">
        <v>162.03</v>
      </c>
      <c r="C568">
        <f>C556+A568*1024*C554</f>
        <v/>
      </c>
      <c r="D568">
        <f>B568/C568</f>
        <v/>
      </c>
      <c r="E568" t="n">
        <v>6.37</v>
      </c>
      <c r="F568">
        <f>A568*1024/(C568*0.000001)/1000000000*C555</f>
        <v/>
      </c>
      <c r="G568">
        <f>E568/F568</f>
        <v/>
      </c>
    </row>
    <row r="569">
      <c r="A569" t="n">
        <v>1024</v>
      </c>
      <c r="B569" t="n">
        <v>173.01</v>
      </c>
      <c r="C569">
        <f>C556+A569*1024*C554</f>
        <v/>
      </c>
      <c r="D569">
        <f>B569/C569</f>
        <v/>
      </c>
      <c r="E569" t="n">
        <v>11.93</v>
      </c>
      <c r="F569">
        <f>A569*1024/(C569*0.000001)/1000000000*C555</f>
        <v/>
      </c>
      <c r="G569">
        <f>E569/F569</f>
        <v/>
      </c>
    </row>
    <row r="570">
      <c r="A570" t="n">
        <v>2048</v>
      </c>
      <c r="B570" t="n">
        <v>193.5</v>
      </c>
      <c r="C570">
        <f>C556+A570*1024*C554</f>
        <v/>
      </c>
      <c r="D570">
        <f>B570/C570</f>
        <v/>
      </c>
      <c r="E570" t="n">
        <v>21.34</v>
      </c>
      <c r="F570">
        <f>A570*1024/(C570*0.000001)/1000000000*C555</f>
        <v/>
      </c>
      <c r="G570">
        <f>E570/F570</f>
        <v/>
      </c>
    </row>
    <row r="571">
      <c r="A571" t="n">
        <v>4096</v>
      </c>
      <c r="B571" t="n">
        <v>249.79</v>
      </c>
      <c r="C571">
        <f>C556+A571*1024*C554</f>
        <v/>
      </c>
      <c r="D571">
        <f>B571/C571</f>
        <v/>
      </c>
      <c r="E571" t="n">
        <v>33.06</v>
      </c>
      <c r="F571">
        <f>A571*1024/(C571*0.000001)/1000000000*C555</f>
        <v/>
      </c>
      <c r="G571">
        <f>E571/F571</f>
        <v/>
      </c>
    </row>
    <row r="572">
      <c r="A572" t="n">
        <v>8192</v>
      </c>
      <c r="B572" t="n">
        <v>295.47</v>
      </c>
      <c r="C572">
        <f>C556+A572*1024*C554</f>
        <v/>
      </c>
      <c r="D572">
        <f>B572/C572</f>
        <v/>
      </c>
      <c r="E572" t="n">
        <v>55.9</v>
      </c>
      <c r="F572">
        <f>A572*1024/(C572*0.000001)/1000000000*C555</f>
        <v/>
      </c>
      <c r="G572">
        <f>E572/F572</f>
        <v/>
      </c>
    </row>
    <row r="573">
      <c r="A573" t="n">
        <v>16384</v>
      </c>
      <c r="B573" t="n">
        <v>395.33</v>
      </c>
      <c r="C573">
        <f>C556+A573*1024*C554</f>
        <v/>
      </c>
      <c r="D573">
        <f>B573/C573</f>
        <v/>
      </c>
      <c r="E573" t="n">
        <v>83.55</v>
      </c>
      <c r="F573">
        <f>A573*1024/(C573*0.000001)/1000000000*C555</f>
        <v/>
      </c>
      <c r="G573">
        <f>E573/F573</f>
        <v/>
      </c>
    </row>
    <row r="574">
      <c r="A574" t="n">
        <v>32768</v>
      </c>
      <c r="B574" t="n">
        <v>615.58</v>
      </c>
      <c r="C574">
        <f>C556+A574*1024*C554</f>
        <v/>
      </c>
      <c r="D574">
        <f>B574/C574</f>
        <v/>
      </c>
      <c r="E574" t="n">
        <v>107.31</v>
      </c>
      <c r="F574">
        <f>A574*1024/(C574*0.000001)/1000000000*C555</f>
        <v/>
      </c>
      <c r="G574">
        <f>E574/F574</f>
        <v/>
      </c>
    </row>
    <row r="575">
      <c r="A575" t="n">
        <v>65536</v>
      </c>
      <c r="B575" t="n">
        <v>1046.56</v>
      </c>
      <c r="C575">
        <f>C556+A575*1024*C554</f>
        <v/>
      </c>
      <c r="D575">
        <f>B575/C575</f>
        <v/>
      </c>
      <c r="E575" t="n">
        <v>126.24</v>
      </c>
      <c r="F575">
        <f>A575*1024/(C575*0.000001)/1000000000*C555</f>
        <v/>
      </c>
      <c r="G575">
        <f>E575/F575</f>
        <v/>
      </c>
    </row>
    <row r="576">
      <c r="A576" t="n">
        <v>131072</v>
      </c>
      <c r="B576" t="n">
        <v>1740.79</v>
      </c>
      <c r="C576">
        <f>C556+A576*1024*C554</f>
        <v/>
      </c>
      <c r="D576">
        <f>B576/C576</f>
        <v/>
      </c>
      <c r="E576" t="n">
        <v>151.79</v>
      </c>
      <c r="F576">
        <f>A576*1024/(C576*0.000001)/1000000000*C555</f>
        <v/>
      </c>
      <c r="G576">
        <f>E576/F576</f>
        <v/>
      </c>
    </row>
    <row r="577">
      <c r="A577" t="n">
        <v>262144</v>
      </c>
      <c r="B577" t="n">
        <v>3137.71</v>
      </c>
      <c r="C577">
        <f>C556+A577*1024*C554</f>
        <v/>
      </c>
      <c r="D577">
        <f>B577/C577</f>
        <v/>
      </c>
      <c r="E577" t="n">
        <v>168.43</v>
      </c>
      <c r="F577">
        <f>A577*1024/(C577*0.000001)/1000000000*C555</f>
        <v/>
      </c>
      <c r="G577">
        <f>E577/F577</f>
        <v/>
      </c>
    </row>
    <row r="578">
      <c r="A578" t="n">
        <v>524288</v>
      </c>
      <c r="B578" t="n">
        <v>5921.68</v>
      </c>
      <c r="C578">
        <f>C556+A578*1024*C554</f>
        <v/>
      </c>
      <c r="D578">
        <f>B578/C578</f>
        <v/>
      </c>
      <c r="E578" t="n">
        <v>178.49</v>
      </c>
      <c r="F578">
        <f>A578*1024/(C578*0.000001)/1000000000*C555</f>
        <v/>
      </c>
      <c r="G578">
        <f>E578/F578</f>
        <v/>
      </c>
    </row>
    <row r="579">
      <c r="A579" t="n">
        <v>1048576</v>
      </c>
      <c r="B579" t="n">
        <v>11389.8</v>
      </c>
      <c r="C579">
        <f>C556+A579*1024*C554</f>
        <v/>
      </c>
      <c r="D579">
        <f>B579/C579</f>
        <v/>
      </c>
      <c r="E579" t="n">
        <v>185.6</v>
      </c>
      <c r="F579">
        <f>A579*1024/(C579*0.000001)/1000000000*C555</f>
        <v/>
      </c>
      <c r="G579">
        <f>E579/F579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Nodes: 16, Protocol: Simple, Channels: 1</t>
        </is>
      </c>
    </row>
    <row r="2">
      <c r="A2" t="inlineStr">
        <is>
          <t>Parameter</t>
        </is>
      </c>
      <c r="B2" t="inlineStr">
        <is>
          <t>Formula</t>
        </is>
      </c>
      <c r="C2" t="inlineStr">
        <is>
          <t>Value</t>
        </is>
      </c>
    </row>
    <row r="3">
      <c r="A3" t="inlineStr">
        <is>
          <t>N</t>
        </is>
      </c>
      <c r="B3" t="inlineStr">
        <is>
          <t>nodes</t>
        </is>
      </c>
      <c r="C3" t="n">
        <v>16</v>
      </c>
    </row>
    <row r="4">
      <c r="A4" t="inlineStr">
        <is>
          <t>n</t>
        </is>
      </c>
      <c r="B4" t="inlineStr">
        <is>
          <t>GPUs/node</t>
        </is>
      </c>
      <c r="C4" t="n">
        <v>8</v>
      </c>
    </row>
    <row r="5">
      <c r="A5" t="inlineStr">
        <is>
          <t>n_total</t>
        </is>
      </c>
      <c r="B5" t="inlineStr">
        <is>
          <t>N*n</t>
        </is>
      </c>
      <c r="C5" t="n">
        <v>128</v>
      </c>
    </row>
    <row r="6">
      <c r="A6" t="inlineStr">
        <is>
          <t>nch_raw</t>
        </is>
      </c>
      <c r="B6" t="inlineStr">
        <is>
          <t>raw channels</t>
        </is>
      </c>
      <c r="C6" t="n">
        <v>1</v>
      </c>
    </row>
    <row r="7">
      <c r="A7" t="inlineStr">
        <is>
          <t>nch</t>
        </is>
      </c>
      <c r="B7" t="inlineStr">
        <is>
          <t>min(nch_raw,8)</t>
        </is>
      </c>
      <c r="C7" t="n">
        <v>1</v>
      </c>
    </row>
    <row r="8">
      <c r="A8" t="inlineStr">
        <is>
          <t>a</t>
        </is>
      </c>
      <c r="B8" t="inlineStr">
        <is>
          <t>RTT (us)</t>
        </is>
      </c>
      <c r="C8" t="n">
        <v>24.92</v>
      </c>
    </row>
    <row r="9">
      <c r="A9" t="inlineStr">
        <is>
          <t>NIC_BW</t>
        </is>
      </c>
      <c r="B9" t="inlineStr">
        <is>
          <t>bytes/us</t>
        </is>
      </c>
      <c r="C9" t="n">
        <v>48750</v>
      </c>
    </row>
    <row r="10">
      <c r="A10" t="inlineStr">
        <is>
          <t>G_agg</t>
        </is>
      </c>
      <c r="B10" t="inlineStr">
        <is>
          <t>nch*NIC_BW</t>
        </is>
      </c>
      <c r="C10">
        <f>C7*C9</f>
        <v/>
      </c>
    </row>
    <row r="11">
      <c r="A11" t="inlineStr">
        <is>
          <t>busbw_factor</t>
        </is>
      </c>
      <c r="B11" t="inlineStr">
        <is>
          <t>2*(n_total-1)/n_total</t>
        </is>
      </c>
      <c r="C11">
        <f>2*(C5-1)/C5</f>
        <v/>
      </c>
    </row>
    <row r="12">
      <c r="A12" t="inlineStr">
        <is>
          <t>G_per_byte</t>
        </is>
      </c>
      <c r="B12" t="inlineStr">
        <is>
          <t>busbw_factor/G_agg</t>
        </is>
      </c>
      <c r="C12">
        <f>C11/C10</f>
        <v/>
      </c>
    </row>
    <row r="13">
      <c r="A13" t="inlineStr">
        <is>
          <t>fixed_small</t>
        </is>
      </c>
      <c r="B13" t="inlineStr">
        <is>
          <t>(2*n_total-1)*a/2</t>
        </is>
      </c>
      <c r="C13">
        <f>(2*C5-1)*C8/2</f>
        <v/>
      </c>
    </row>
    <row r="14">
      <c r="A14" t="inlineStr">
        <is>
          <t>fixed_large</t>
        </is>
      </c>
      <c r="B14" t="inlineStr">
        <is>
          <t>(2*N-1)*a/2</t>
        </is>
      </c>
      <c r="C14">
        <f>(2*C3-1)*C8/2</f>
        <v/>
      </c>
    </row>
    <row r="15">
      <c r="A15" t="inlineStr">
        <is>
          <t>threshold</t>
        </is>
      </c>
      <c r="B15" t="inlineStr">
        <is>
          <t>700</t>
        </is>
      </c>
      <c r="C15" t="n">
        <v>700</v>
      </c>
    </row>
    <row r="16"/>
    <row r="17">
      <c r="A17" t="inlineStr">
        <is>
          <t>size_KB</t>
        </is>
      </c>
      <c r="B17" t="inlineStr">
        <is>
          <t>Actual Time (us)</t>
        </is>
      </c>
      <c r="C17" t="inlineStr">
        <is>
          <t>Roofline Time (us)</t>
        </is>
      </c>
      <c r="D17" t="inlineStr">
        <is>
          <t>Actual/Roofline</t>
        </is>
      </c>
      <c r="E17" t="inlineStr">
        <is>
          <t>Actual busBW (GB/s)</t>
        </is>
      </c>
      <c r="F17" t="inlineStr">
        <is>
          <t>Roofline busBW (GB/s)</t>
        </is>
      </c>
      <c r="G17" t="inlineStr">
        <is>
          <t>Meas/Roof busBW</t>
        </is>
      </c>
    </row>
    <row r="18">
      <c r="A18" t="n">
        <v>1</v>
      </c>
      <c r="B18" t="n">
        <v>3969.64</v>
      </c>
      <c r="C18">
        <f>IF(A18*1024/(C6*C9)&lt;C15,C13,C14)+A18*1024*C12</f>
        <v/>
      </c>
      <c r="D18">
        <f>B18/C18</f>
        <v/>
      </c>
      <c r="E18" t="n">
        <v>0</v>
      </c>
      <c r="F18">
        <f>A18*1024/(C18*0.000001)/1000000000*C11</f>
        <v/>
      </c>
      <c r="G18">
        <f>E18/F18</f>
        <v/>
      </c>
    </row>
    <row r="19">
      <c r="A19" t="n">
        <v>2</v>
      </c>
      <c r="B19" t="n">
        <v>3986.41</v>
      </c>
      <c r="C19">
        <f>IF(A19*1024/(C6*C9)&lt;C15,C13,C14)+A19*1024*C12</f>
        <v/>
      </c>
      <c r="D19">
        <f>B19/C19</f>
        <v/>
      </c>
      <c r="E19" t="n">
        <v>0</v>
      </c>
      <c r="F19">
        <f>A19*1024/(C19*0.000001)/1000000000*C11</f>
        <v/>
      </c>
      <c r="G19">
        <f>E19/F19</f>
        <v/>
      </c>
    </row>
    <row r="20">
      <c r="A20" t="n">
        <v>4</v>
      </c>
      <c r="B20" t="n">
        <v>3963.49</v>
      </c>
      <c r="C20">
        <f>IF(A20*1024/(C6*C9)&lt;C15,C13,C14)+A20*1024*C12</f>
        <v/>
      </c>
      <c r="D20">
        <f>B20/C20</f>
        <v/>
      </c>
      <c r="E20" t="n">
        <v>0</v>
      </c>
      <c r="F20">
        <f>A20*1024/(C20*0.000001)/1000000000*C11</f>
        <v/>
      </c>
      <c r="G20">
        <f>E20/F20</f>
        <v/>
      </c>
    </row>
    <row r="21">
      <c r="A21" t="n">
        <v>8</v>
      </c>
      <c r="B21" t="n">
        <v>3988.7</v>
      </c>
      <c r="C21">
        <f>IF(A21*1024/(C6*C9)&lt;C15,C13,C14)+A21*1024*C12</f>
        <v/>
      </c>
      <c r="D21">
        <f>B21/C21</f>
        <v/>
      </c>
      <c r="E21" t="n">
        <v>0</v>
      </c>
      <c r="F21">
        <f>A21*1024/(C21*0.000001)/1000000000*C11</f>
        <v/>
      </c>
      <c r="G21">
        <f>E21/F21</f>
        <v/>
      </c>
    </row>
    <row r="22">
      <c r="A22" t="n">
        <v>16</v>
      </c>
      <c r="B22" t="n">
        <v>3973.81</v>
      </c>
      <c r="C22">
        <f>IF(A22*1024/(C6*C9)&lt;C15,C13,C14)+A22*1024*C12</f>
        <v/>
      </c>
      <c r="D22">
        <f>B22/C22</f>
        <v/>
      </c>
      <c r="E22" t="n">
        <v>0.01</v>
      </c>
      <c r="F22">
        <f>A22*1024/(C22*0.000001)/1000000000*C11</f>
        <v/>
      </c>
      <c r="G22">
        <f>E22/F22</f>
        <v/>
      </c>
    </row>
    <row r="23">
      <c r="A23" t="n">
        <v>32</v>
      </c>
      <c r="B23" t="n">
        <v>3982.65</v>
      </c>
      <c r="C23">
        <f>IF(A23*1024/(C6*C9)&lt;C15,C13,C14)+A23*1024*C12</f>
        <v/>
      </c>
      <c r="D23">
        <f>B23/C23</f>
        <v/>
      </c>
      <c r="E23" t="n">
        <v>0.02</v>
      </c>
      <c r="F23">
        <f>A23*1024/(C23*0.000001)/1000000000*C11</f>
        <v/>
      </c>
      <c r="G23">
        <f>E23/F23</f>
        <v/>
      </c>
    </row>
    <row r="24">
      <c r="A24" t="n">
        <v>64</v>
      </c>
      <c r="B24" t="n">
        <v>4011.31</v>
      </c>
      <c r="C24">
        <f>IF(A24*1024/(C6*C9)&lt;C15,C13,C14)+A24*1024*C12</f>
        <v/>
      </c>
      <c r="D24">
        <f>B24/C24</f>
        <v/>
      </c>
      <c r="E24" t="n">
        <v>0.03</v>
      </c>
      <c r="F24">
        <f>A24*1024/(C24*0.000001)/1000000000*C11</f>
        <v/>
      </c>
      <c r="G24">
        <f>E24/F24</f>
        <v/>
      </c>
    </row>
    <row r="25">
      <c r="A25" t="n">
        <v>128</v>
      </c>
      <c r="B25" t="n">
        <v>4037.49</v>
      </c>
      <c r="C25">
        <f>IF(A25*1024/(C6*C9)&lt;C15,C13,C14)+A25*1024*C12</f>
        <v/>
      </c>
      <c r="D25">
        <f>B25/C25</f>
        <v/>
      </c>
      <c r="E25" t="n">
        <v>0.06</v>
      </c>
      <c r="F25">
        <f>A25*1024/(C25*0.000001)/1000000000*C11</f>
        <v/>
      </c>
      <c r="G25">
        <f>E25/F25</f>
        <v/>
      </c>
    </row>
    <row r="26">
      <c r="A26" t="n">
        <v>256</v>
      </c>
      <c r="B26" t="n">
        <v>4071.92</v>
      </c>
      <c r="C26">
        <f>IF(A26*1024/(C6*C9)&lt;C15,C13,C14)+A26*1024*C12</f>
        <v/>
      </c>
      <c r="D26">
        <f>B26/C26</f>
        <v/>
      </c>
      <c r="E26" t="n">
        <v>0.13</v>
      </c>
      <c r="F26">
        <f>A26*1024/(C26*0.000001)/1000000000*C11</f>
        <v/>
      </c>
      <c r="G26">
        <f>E26/F26</f>
        <v/>
      </c>
    </row>
    <row r="27">
      <c r="A27" t="n">
        <v>512</v>
      </c>
      <c r="B27" t="n">
        <v>4199.34</v>
      </c>
      <c r="C27">
        <f>IF(A27*1024/(C6*C9)&lt;C15,C13,C14)+A27*1024*C12</f>
        <v/>
      </c>
      <c r="D27">
        <f>B27/C27</f>
        <v/>
      </c>
      <c r="E27" t="n">
        <v>0.25</v>
      </c>
      <c r="F27">
        <f>A27*1024/(C27*0.000001)/1000000000*C11</f>
        <v/>
      </c>
      <c r="G27">
        <f>E27/F27</f>
        <v/>
      </c>
    </row>
    <row r="28">
      <c r="A28" t="n">
        <v>1024</v>
      </c>
      <c r="B28" t="n">
        <v>4432.32</v>
      </c>
      <c r="C28">
        <f>IF(A28*1024/(C6*C9)&lt;C15,C13,C14)+A28*1024*C12</f>
        <v/>
      </c>
      <c r="D28">
        <f>B28/C28</f>
        <v/>
      </c>
      <c r="E28" t="n">
        <v>0.47</v>
      </c>
      <c r="F28">
        <f>A28*1024/(C28*0.000001)/1000000000*C11</f>
        <v/>
      </c>
      <c r="G28">
        <f>E28/F28</f>
        <v/>
      </c>
    </row>
    <row r="29">
      <c r="A29" t="n">
        <v>2048</v>
      </c>
      <c r="B29" t="n">
        <v>5114.65</v>
      </c>
      <c r="C29">
        <f>IF(A29*1024/(C6*C9)&lt;C15,C13,C14)+A29*1024*C12</f>
        <v/>
      </c>
      <c r="D29">
        <f>B29/C29</f>
        <v/>
      </c>
      <c r="E29" t="n">
        <v>0.8100000000000001</v>
      </c>
      <c r="F29">
        <f>A29*1024/(C29*0.000001)/1000000000*C11</f>
        <v/>
      </c>
      <c r="G29">
        <f>E29/F29</f>
        <v/>
      </c>
    </row>
    <row r="30">
      <c r="A30" t="n">
        <v>4096</v>
      </c>
      <c r="B30" t="n">
        <v>5526.16</v>
      </c>
      <c r="C30">
        <f>IF(A30*1024/(C6*C9)&lt;C15,C13,C14)+A30*1024*C12</f>
        <v/>
      </c>
      <c r="D30">
        <f>B30/C30</f>
        <v/>
      </c>
      <c r="E30" t="n">
        <v>1.51</v>
      </c>
      <c r="F30">
        <f>A30*1024/(C30*0.000001)/1000000000*C11</f>
        <v/>
      </c>
      <c r="G30">
        <f>E30/F30</f>
        <v/>
      </c>
    </row>
    <row r="31">
      <c r="A31" t="n">
        <v>8192</v>
      </c>
      <c r="B31" t="n">
        <v>5971.15</v>
      </c>
      <c r="C31">
        <f>IF(A31*1024/(C6*C9)&lt;C15,C13,C14)+A31*1024*C12</f>
        <v/>
      </c>
      <c r="D31">
        <f>B31/C31</f>
        <v/>
      </c>
      <c r="E31" t="n">
        <v>2.79</v>
      </c>
      <c r="F31">
        <f>A31*1024/(C31*0.000001)/1000000000*C11</f>
        <v/>
      </c>
      <c r="G31">
        <f>E31/F31</f>
        <v/>
      </c>
    </row>
    <row r="32">
      <c r="A32" t="n">
        <v>16384</v>
      </c>
      <c r="B32" t="n">
        <v>6046.3</v>
      </c>
      <c r="C32">
        <f>IF(A32*1024/(C6*C9)&lt;C15,C13,C14)+A32*1024*C12</f>
        <v/>
      </c>
      <c r="D32">
        <f>B32/C32</f>
        <v/>
      </c>
      <c r="E32" t="n">
        <v>5.51</v>
      </c>
      <c r="F32">
        <f>A32*1024/(C32*0.000001)/1000000000*C11</f>
        <v/>
      </c>
      <c r="G32">
        <f>E32/F32</f>
        <v/>
      </c>
    </row>
    <row r="33">
      <c r="A33" t="n">
        <v>32768</v>
      </c>
      <c r="B33" t="n">
        <v>6980.99</v>
      </c>
      <c r="C33">
        <f>IF(A33*1024/(C6*C9)&lt;C15,C13,C14)+A33*1024*C12</f>
        <v/>
      </c>
      <c r="D33">
        <f>B33/C33</f>
        <v/>
      </c>
      <c r="E33" t="n">
        <v>9.539999999999999</v>
      </c>
      <c r="F33">
        <f>A33*1024/(C33*0.000001)/1000000000*C11</f>
        <v/>
      </c>
      <c r="G33">
        <f>E33/F33</f>
        <v/>
      </c>
    </row>
    <row r="34">
      <c r="A34" t="n">
        <v>65536</v>
      </c>
      <c r="B34" t="n">
        <v>8008.33</v>
      </c>
      <c r="C34">
        <f>IF(A34*1024/(C6*C9)&lt;C15,C13,C14)+A34*1024*C12</f>
        <v/>
      </c>
      <c r="D34">
        <f>B34/C34</f>
        <v/>
      </c>
      <c r="E34" t="n">
        <v>16.63</v>
      </c>
      <c r="F34">
        <f>A34*1024/(C34*0.000001)/1000000000*C11</f>
        <v/>
      </c>
      <c r="G34">
        <f>E34/F34</f>
        <v/>
      </c>
    </row>
    <row r="35">
      <c r="A35" t="n">
        <v>131072</v>
      </c>
      <c r="B35" t="n">
        <v>11633.4</v>
      </c>
      <c r="C35">
        <f>IF(A35*1024/(C6*C9)&lt;C15,C13,C14)+A35*1024*C12</f>
        <v/>
      </c>
      <c r="D35">
        <f>B35/C35</f>
        <v/>
      </c>
      <c r="E35" t="n">
        <v>22.89</v>
      </c>
      <c r="F35">
        <f>A35*1024/(C35*0.000001)/1000000000*C11</f>
        <v/>
      </c>
      <c r="G35">
        <f>E35/F35</f>
        <v/>
      </c>
    </row>
    <row r="36">
      <c r="A36" t="n">
        <v>262144</v>
      </c>
      <c r="B36" t="n">
        <v>20556.4</v>
      </c>
      <c r="C36">
        <f>IF(A36*1024/(C6*C9)&lt;C15,C13,C14)+A36*1024*C12</f>
        <v/>
      </c>
      <c r="D36">
        <f>B36/C36</f>
        <v/>
      </c>
      <c r="E36" t="n">
        <v>25.91</v>
      </c>
      <c r="F36">
        <f>A36*1024/(C36*0.000001)/1000000000*C11</f>
        <v/>
      </c>
      <c r="G36">
        <f>E36/F36</f>
        <v/>
      </c>
    </row>
    <row r="37">
      <c r="A37" t="n">
        <v>524288</v>
      </c>
      <c r="B37" t="n">
        <v>38485.4</v>
      </c>
      <c r="C37">
        <f>IF(A37*1024/(C6*C9)&lt;C15,C13,C14)+A37*1024*C12</f>
        <v/>
      </c>
      <c r="D37">
        <f>B37/C37</f>
        <v/>
      </c>
      <c r="E37" t="n">
        <v>27.68</v>
      </c>
      <c r="F37">
        <f>A37*1024/(C37*0.000001)/1000000000*C11</f>
        <v/>
      </c>
      <c r="G37">
        <f>E37/F37</f>
        <v/>
      </c>
    </row>
    <row r="38">
      <c r="A38" t="n">
        <v>1048576</v>
      </c>
      <c r="B38" t="n">
        <v>76972.39999999999</v>
      </c>
      <c r="C38">
        <f>IF(A38*1024/(C6*C9)&lt;C15,C13,C14)+A38*1024*C12</f>
        <v/>
      </c>
      <c r="D38">
        <f>B38/C38</f>
        <v/>
      </c>
      <c r="E38" t="n">
        <v>27.68</v>
      </c>
      <c r="F38">
        <f>A38*1024/(C38*0.000001)/1000000000*C11</f>
        <v/>
      </c>
      <c r="G38">
        <f>E38/F38</f>
        <v/>
      </c>
    </row>
    <row r="39">
      <c r="A39" t="n">
        <v>2097152</v>
      </c>
      <c r="B39" t="n">
        <v>153977</v>
      </c>
      <c r="C39">
        <f>IF(A39*1024/(C6*C9)&lt;C15,C13,C14)+A39*1024*C12</f>
        <v/>
      </c>
      <c r="D39">
        <f>B39/C39</f>
        <v/>
      </c>
      <c r="E39" t="n">
        <v>27.68</v>
      </c>
      <c r="F39">
        <f>A39*1024/(C39*0.000001)/1000000000*C11</f>
        <v/>
      </c>
      <c r="G39">
        <f>E39/F39</f>
        <v/>
      </c>
    </row>
    <row r="40">
      <c r="A40" t="n">
        <v>4194304</v>
      </c>
      <c r="B40" t="n">
        <v>308407</v>
      </c>
      <c r="C40">
        <f>IF(A40*1024/(C6*C9)&lt;C15,C13,C14)+A40*1024*C12</f>
        <v/>
      </c>
      <c r="D40">
        <f>B40/C40</f>
        <v/>
      </c>
      <c r="E40" t="n">
        <v>27.64</v>
      </c>
      <c r="F40">
        <f>A40*1024/(C40*0.000001)/1000000000*C11</f>
        <v/>
      </c>
      <c r="G40">
        <f>E40/F40</f>
        <v/>
      </c>
    </row>
    <row r="41"/>
    <row r="42">
      <c r="A42" t="inlineStr">
        <is>
          <t>Nodes: 16, Protocol: Simple, Channels: 2</t>
        </is>
      </c>
    </row>
    <row r="43">
      <c r="A43" t="inlineStr">
        <is>
          <t>Parameter</t>
        </is>
      </c>
      <c r="B43" t="inlineStr">
        <is>
          <t>Formula</t>
        </is>
      </c>
      <c r="C43" t="inlineStr">
        <is>
          <t>Value</t>
        </is>
      </c>
    </row>
    <row r="44">
      <c r="A44" t="inlineStr">
        <is>
          <t>N</t>
        </is>
      </c>
      <c r="B44" t="inlineStr">
        <is>
          <t>nodes</t>
        </is>
      </c>
      <c r="C44" t="n">
        <v>16</v>
      </c>
    </row>
    <row r="45">
      <c r="A45" t="inlineStr">
        <is>
          <t>n</t>
        </is>
      </c>
      <c r="B45" t="inlineStr">
        <is>
          <t>GPUs/node</t>
        </is>
      </c>
      <c r="C45" t="n">
        <v>8</v>
      </c>
    </row>
    <row r="46">
      <c r="A46" t="inlineStr">
        <is>
          <t>n_total</t>
        </is>
      </c>
      <c r="B46" t="inlineStr">
        <is>
          <t>N*n</t>
        </is>
      </c>
      <c r="C46" t="n">
        <v>128</v>
      </c>
    </row>
    <row r="47">
      <c r="A47" t="inlineStr">
        <is>
          <t>nch_raw</t>
        </is>
      </c>
      <c r="B47" t="inlineStr">
        <is>
          <t>raw channels</t>
        </is>
      </c>
      <c r="C47" t="n">
        <v>2</v>
      </c>
    </row>
    <row r="48">
      <c r="A48" t="inlineStr">
        <is>
          <t>nch</t>
        </is>
      </c>
      <c r="B48" t="inlineStr">
        <is>
          <t>min(nch_raw,8)</t>
        </is>
      </c>
      <c r="C48" t="n">
        <v>2</v>
      </c>
    </row>
    <row r="49">
      <c r="A49" t="inlineStr">
        <is>
          <t>a</t>
        </is>
      </c>
      <c r="B49" t="inlineStr">
        <is>
          <t>RTT (us)</t>
        </is>
      </c>
      <c r="C49" t="n">
        <v>24.92</v>
      </c>
    </row>
    <row r="50">
      <c r="A50" t="inlineStr">
        <is>
          <t>NIC_BW</t>
        </is>
      </c>
      <c r="B50" t="inlineStr">
        <is>
          <t>bytes/us</t>
        </is>
      </c>
      <c r="C50" t="n">
        <v>48750</v>
      </c>
    </row>
    <row r="51">
      <c r="A51" t="inlineStr">
        <is>
          <t>G_agg</t>
        </is>
      </c>
      <c r="B51" t="inlineStr">
        <is>
          <t>nch*NIC_BW</t>
        </is>
      </c>
      <c r="C51">
        <f>C48*C50</f>
        <v/>
      </c>
    </row>
    <row r="52">
      <c r="A52" t="inlineStr">
        <is>
          <t>busbw_factor</t>
        </is>
      </c>
      <c r="B52" t="inlineStr">
        <is>
          <t>2*(n_total-1)/n_total</t>
        </is>
      </c>
      <c r="C52">
        <f>2*(C46-1)/C46</f>
        <v/>
      </c>
    </row>
    <row r="53">
      <c r="A53" t="inlineStr">
        <is>
          <t>G_per_byte</t>
        </is>
      </c>
      <c r="B53" t="inlineStr">
        <is>
          <t>busbw_factor/G_agg</t>
        </is>
      </c>
      <c r="C53">
        <f>C52/C51</f>
        <v/>
      </c>
    </row>
    <row r="54">
      <c r="A54" t="inlineStr">
        <is>
          <t>fixed_small</t>
        </is>
      </c>
      <c r="B54" t="inlineStr">
        <is>
          <t>(2*n_total-1)*a/2</t>
        </is>
      </c>
      <c r="C54">
        <f>(2*C46-1)*C49/2</f>
        <v/>
      </c>
    </row>
    <row r="55">
      <c r="A55" t="inlineStr">
        <is>
          <t>fixed_large</t>
        </is>
      </c>
      <c r="B55" t="inlineStr">
        <is>
          <t>(2*N-1)*a/2</t>
        </is>
      </c>
      <c r="C55">
        <f>(2*C44-1)*C49/2</f>
        <v/>
      </c>
    </row>
    <row r="56">
      <c r="A56" t="inlineStr">
        <is>
          <t>threshold</t>
        </is>
      </c>
      <c r="B56" t="inlineStr">
        <is>
          <t>700</t>
        </is>
      </c>
      <c r="C56" t="n">
        <v>700</v>
      </c>
    </row>
    <row r="57"/>
    <row r="58">
      <c r="A58" t="inlineStr">
        <is>
          <t>size_KB</t>
        </is>
      </c>
      <c r="B58" t="inlineStr">
        <is>
          <t>Actual Time (us)</t>
        </is>
      </c>
      <c r="C58" t="inlineStr">
        <is>
          <t>Roofline Time (us)</t>
        </is>
      </c>
      <c r="D58" t="inlineStr">
        <is>
          <t>Actual/Roofline</t>
        </is>
      </c>
      <c r="E58" t="inlineStr">
        <is>
          <t>Actual busBW (GB/s)</t>
        </is>
      </c>
      <c r="F58" t="inlineStr">
        <is>
          <t>Roofline busBW (GB/s)</t>
        </is>
      </c>
      <c r="G58" t="inlineStr">
        <is>
          <t>Meas/Roof busBW</t>
        </is>
      </c>
    </row>
    <row r="59">
      <c r="A59" t="n">
        <v>1</v>
      </c>
      <c r="B59" t="n">
        <v>3948.04</v>
      </c>
      <c r="C59">
        <f>IF(A59*1024/(C47*C50)&lt;C56,C54,C55)+A59*1024*C53</f>
        <v/>
      </c>
      <c r="D59">
        <f>B59/C59</f>
        <v/>
      </c>
      <c r="E59" t="n">
        <v>0</v>
      </c>
      <c r="F59">
        <f>A59*1024/(C59*0.000001)/1000000000*C52</f>
        <v/>
      </c>
      <c r="G59">
        <f>E59/F59</f>
        <v/>
      </c>
    </row>
    <row r="60">
      <c r="A60" t="n">
        <v>2</v>
      </c>
      <c r="B60" t="n">
        <v>3950.69</v>
      </c>
      <c r="C60">
        <f>IF(A60*1024/(C47*C50)&lt;C56,C54,C55)+A60*1024*C53</f>
        <v/>
      </c>
      <c r="D60">
        <f>B60/C60</f>
        <v/>
      </c>
      <c r="E60" t="n">
        <v>0</v>
      </c>
      <c r="F60">
        <f>A60*1024/(C60*0.000001)/1000000000*C52</f>
        <v/>
      </c>
      <c r="G60">
        <f>E60/F60</f>
        <v/>
      </c>
    </row>
    <row r="61">
      <c r="A61" t="n">
        <v>4</v>
      </c>
      <c r="B61" t="n">
        <v>3978.59</v>
      </c>
      <c r="C61">
        <f>IF(A61*1024/(C47*C50)&lt;C56,C54,C55)+A61*1024*C53</f>
        <v/>
      </c>
      <c r="D61">
        <f>B61/C61</f>
        <v/>
      </c>
      <c r="E61" t="n">
        <v>0</v>
      </c>
      <c r="F61">
        <f>A61*1024/(C61*0.000001)/1000000000*C52</f>
        <v/>
      </c>
      <c r="G61">
        <f>E61/F61</f>
        <v/>
      </c>
    </row>
    <row r="62">
      <c r="A62" t="n">
        <v>8</v>
      </c>
      <c r="B62" t="n">
        <v>3972.46</v>
      </c>
      <c r="C62">
        <f>IF(A62*1024/(C47*C50)&lt;C56,C54,C55)+A62*1024*C53</f>
        <v/>
      </c>
      <c r="D62">
        <f>B62/C62</f>
        <v/>
      </c>
      <c r="E62" t="n">
        <v>0</v>
      </c>
      <c r="F62">
        <f>A62*1024/(C62*0.000001)/1000000000*C52</f>
        <v/>
      </c>
      <c r="G62">
        <f>E62/F62</f>
        <v/>
      </c>
    </row>
    <row r="63">
      <c r="A63" t="n">
        <v>16</v>
      </c>
      <c r="B63" t="n">
        <v>3974</v>
      </c>
      <c r="C63">
        <f>IF(A63*1024/(C47*C50)&lt;C56,C54,C55)+A63*1024*C53</f>
        <v/>
      </c>
      <c r="D63">
        <f>B63/C63</f>
        <v/>
      </c>
      <c r="E63" t="n">
        <v>0.01</v>
      </c>
      <c r="F63">
        <f>A63*1024/(C63*0.000001)/1000000000*C52</f>
        <v/>
      </c>
      <c r="G63">
        <f>E63/F63</f>
        <v/>
      </c>
    </row>
    <row r="64">
      <c r="A64" t="n">
        <v>32</v>
      </c>
      <c r="B64" t="n">
        <v>3976.02</v>
      </c>
      <c r="C64">
        <f>IF(A64*1024/(C47*C50)&lt;C56,C54,C55)+A64*1024*C53</f>
        <v/>
      </c>
      <c r="D64">
        <f>B64/C64</f>
        <v/>
      </c>
      <c r="E64" t="n">
        <v>0.02</v>
      </c>
      <c r="F64">
        <f>A64*1024/(C64*0.000001)/1000000000*C52</f>
        <v/>
      </c>
      <c r="G64">
        <f>E64/F64</f>
        <v/>
      </c>
    </row>
    <row r="65">
      <c r="A65" t="n">
        <v>64</v>
      </c>
      <c r="B65" t="n">
        <v>4038.32</v>
      </c>
      <c r="C65">
        <f>IF(A65*1024/(C47*C50)&lt;C56,C54,C55)+A65*1024*C53</f>
        <v/>
      </c>
      <c r="D65">
        <f>B65/C65</f>
        <v/>
      </c>
      <c r="E65" t="n">
        <v>0.03</v>
      </c>
      <c r="F65">
        <f>A65*1024/(C65*0.000001)/1000000000*C52</f>
        <v/>
      </c>
      <c r="G65">
        <f>E65/F65</f>
        <v/>
      </c>
    </row>
    <row r="66">
      <c r="A66" t="n">
        <v>128</v>
      </c>
      <c r="B66" t="n">
        <v>4071.03</v>
      </c>
      <c r="C66">
        <f>IF(A66*1024/(C47*C50)&lt;C56,C54,C55)+A66*1024*C53</f>
        <v/>
      </c>
      <c r="D66">
        <f>B66/C66</f>
        <v/>
      </c>
      <c r="E66" t="n">
        <v>0.06</v>
      </c>
      <c r="F66">
        <f>A66*1024/(C66*0.000001)/1000000000*C52</f>
        <v/>
      </c>
      <c r="G66">
        <f>E66/F66</f>
        <v/>
      </c>
    </row>
    <row r="67">
      <c r="A67" t="n">
        <v>256</v>
      </c>
      <c r="B67" t="n">
        <v>4097.51</v>
      </c>
      <c r="C67">
        <f>IF(A67*1024/(C47*C50)&lt;C56,C54,C55)+A67*1024*C53</f>
        <v/>
      </c>
      <c r="D67">
        <f>B67/C67</f>
        <v/>
      </c>
      <c r="E67" t="n">
        <v>0.13</v>
      </c>
      <c r="F67">
        <f>A67*1024/(C67*0.000001)/1000000000*C52</f>
        <v/>
      </c>
      <c r="G67">
        <f>E67/F67</f>
        <v/>
      </c>
    </row>
    <row r="68">
      <c r="A68" t="n">
        <v>512</v>
      </c>
      <c r="B68" t="n">
        <v>4128.07</v>
      </c>
      <c r="C68">
        <f>IF(A68*1024/(C47*C50)&lt;C56,C54,C55)+A68*1024*C53</f>
        <v/>
      </c>
      <c r="D68">
        <f>B68/C68</f>
        <v/>
      </c>
      <c r="E68" t="n">
        <v>0.25</v>
      </c>
      <c r="F68">
        <f>A68*1024/(C68*0.000001)/1000000000*C52</f>
        <v/>
      </c>
      <c r="G68">
        <f>E68/F68</f>
        <v/>
      </c>
    </row>
    <row r="69">
      <c r="A69" t="n">
        <v>1024</v>
      </c>
      <c r="B69" t="n">
        <v>4253.86</v>
      </c>
      <c r="C69">
        <f>IF(A69*1024/(C47*C50)&lt;C56,C54,C55)+A69*1024*C53</f>
        <v/>
      </c>
      <c r="D69">
        <f>B69/C69</f>
        <v/>
      </c>
      <c r="E69" t="n">
        <v>0.49</v>
      </c>
      <c r="F69">
        <f>A69*1024/(C69*0.000001)/1000000000*C52</f>
        <v/>
      </c>
      <c r="G69">
        <f>E69/F69</f>
        <v/>
      </c>
    </row>
    <row r="70">
      <c r="A70" t="n">
        <v>2048</v>
      </c>
      <c r="B70" t="n">
        <v>4482.82</v>
      </c>
      <c r="C70">
        <f>IF(A70*1024/(C47*C50)&lt;C56,C54,C55)+A70*1024*C53</f>
        <v/>
      </c>
      <c r="D70">
        <f>B70/C70</f>
        <v/>
      </c>
      <c r="E70" t="n">
        <v>0.93</v>
      </c>
      <c r="F70">
        <f>A70*1024/(C70*0.000001)/1000000000*C52</f>
        <v/>
      </c>
      <c r="G70">
        <f>E70/F70</f>
        <v/>
      </c>
    </row>
    <row r="71">
      <c r="A71" t="n">
        <v>4096</v>
      </c>
      <c r="B71" t="n">
        <v>5190.72</v>
      </c>
      <c r="C71">
        <f>IF(A71*1024/(C47*C50)&lt;C56,C54,C55)+A71*1024*C53</f>
        <v/>
      </c>
      <c r="D71">
        <f>B71/C71</f>
        <v/>
      </c>
      <c r="E71" t="n">
        <v>1.6</v>
      </c>
      <c r="F71">
        <f>A71*1024/(C71*0.000001)/1000000000*C52</f>
        <v/>
      </c>
      <c r="G71">
        <f>E71/F71</f>
        <v/>
      </c>
    </row>
    <row r="72">
      <c r="A72" t="n">
        <v>8192</v>
      </c>
      <c r="B72" t="n">
        <v>5627.98</v>
      </c>
      <c r="C72">
        <f>IF(A72*1024/(C47*C50)&lt;C56,C54,C55)+A72*1024*C53</f>
        <v/>
      </c>
      <c r="D72">
        <f>B72/C72</f>
        <v/>
      </c>
      <c r="E72" t="n">
        <v>2.96</v>
      </c>
      <c r="F72">
        <f>A72*1024/(C72*0.000001)/1000000000*C52</f>
        <v/>
      </c>
      <c r="G72">
        <f>E72/F72</f>
        <v/>
      </c>
    </row>
    <row r="73">
      <c r="A73" t="n">
        <v>16384</v>
      </c>
      <c r="B73" t="n">
        <v>6068.77</v>
      </c>
      <c r="C73">
        <f>IF(A73*1024/(C47*C50)&lt;C56,C54,C55)+A73*1024*C53</f>
        <v/>
      </c>
      <c r="D73">
        <f>B73/C73</f>
        <v/>
      </c>
      <c r="E73" t="n">
        <v>5.49</v>
      </c>
      <c r="F73">
        <f>A73*1024/(C73*0.000001)/1000000000*C52</f>
        <v/>
      </c>
      <c r="G73">
        <f>E73/F73</f>
        <v/>
      </c>
    </row>
    <row r="74">
      <c r="A74" t="n">
        <v>32768</v>
      </c>
      <c r="B74" t="n">
        <v>6129.58</v>
      </c>
      <c r="C74">
        <f>IF(A74*1024/(C47*C50)&lt;C56,C54,C55)+A74*1024*C53</f>
        <v/>
      </c>
      <c r="D74">
        <f>B74/C74</f>
        <v/>
      </c>
      <c r="E74" t="n">
        <v>10.86</v>
      </c>
      <c r="F74">
        <f>A74*1024/(C74*0.000001)/1000000000*C52</f>
        <v/>
      </c>
      <c r="G74">
        <f>E74/F74</f>
        <v/>
      </c>
    </row>
    <row r="75">
      <c r="A75" t="n">
        <v>65536</v>
      </c>
      <c r="B75" t="n">
        <v>7111.48</v>
      </c>
      <c r="C75">
        <f>IF(A75*1024/(C47*C50)&lt;C56,C54,C55)+A75*1024*C53</f>
        <v/>
      </c>
      <c r="D75">
        <f>B75/C75</f>
        <v/>
      </c>
      <c r="E75" t="n">
        <v>18.73</v>
      </c>
      <c r="F75">
        <f>A75*1024/(C75*0.000001)/1000000000*C52</f>
        <v/>
      </c>
      <c r="G75">
        <f>E75/F75</f>
        <v/>
      </c>
    </row>
    <row r="76">
      <c r="A76" t="n">
        <v>131072</v>
      </c>
      <c r="B76" t="n">
        <v>8099.88</v>
      </c>
      <c r="C76">
        <f>IF(A76*1024/(C47*C50)&lt;C56,C54,C55)+A76*1024*C53</f>
        <v/>
      </c>
      <c r="D76">
        <f>B76/C76</f>
        <v/>
      </c>
      <c r="E76" t="n">
        <v>32.88</v>
      </c>
      <c r="F76">
        <f>A76*1024/(C76*0.000001)/1000000000*C52</f>
        <v/>
      </c>
      <c r="G76">
        <f>E76/F76</f>
        <v/>
      </c>
    </row>
    <row r="77">
      <c r="A77" t="n">
        <v>262144</v>
      </c>
      <c r="B77" t="n">
        <v>11731</v>
      </c>
      <c r="C77">
        <f>IF(A77*1024/(C47*C50)&lt;C56,C54,C55)+A77*1024*C53</f>
        <v/>
      </c>
      <c r="D77">
        <f>B77/C77</f>
        <v/>
      </c>
      <c r="E77" t="n">
        <v>45.41</v>
      </c>
      <c r="F77">
        <f>A77*1024/(C77*0.000001)/1000000000*C52</f>
        <v/>
      </c>
      <c r="G77">
        <f>E77/F77</f>
        <v/>
      </c>
    </row>
    <row r="78">
      <c r="A78" t="n">
        <v>524288</v>
      </c>
      <c r="B78" t="n">
        <v>20620.8</v>
      </c>
      <c r="C78">
        <f>IF(A78*1024/(C47*C50)&lt;C56,C54,C55)+A78*1024*C53</f>
        <v/>
      </c>
      <c r="D78">
        <f>B78/C78</f>
        <v/>
      </c>
      <c r="E78" t="n">
        <v>51.66</v>
      </c>
      <c r="F78">
        <f>A78*1024/(C78*0.000001)/1000000000*C52</f>
        <v/>
      </c>
      <c r="G78">
        <f>E78/F78</f>
        <v/>
      </c>
    </row>
    <row r="79">
      <c r="A79" t="n">
        <v>1048576</v>
      </c>
      <c r="B79" t="n">
        <v>38715</v>
      </c>
      <c r="C79">
        <f>IF(A79*1024/(C47*C50)&lt;C56,C54,C55)+A79*1024*C53</f>
        <v/>
      </c>
      <c r="D79">
        <f>B79/C79</f>
        <v/>
      </c>
      <c r="E79" t="n">
        <v>55.04</v>
      </c>
      <c r="F79">
        <f>A79*1024/(C79*0.000001)/1000000000*C52</f>
        <v/>
      </c>
      <c r="G79">
        <f>E79/F79</f>
        <v/>
      </c>
    </row>
    <row r="80">
      <c r="A80" t="n">
        <v>2097152</v>
      </c>
      <c r="B80" t="n">
        <v>77389</v>
      </c>
      <c r="C80">
        <f>IF(A80*1024/(C47*C50)&lt;C56,C54,C55)+A80*1024*C53</f>
        <v/>
      </c>
      <c r="D80">
        <f>B80/C80</f>
        <v/>
      </c>
      <c r="E80" t="n">
        <v>55.06</v>
      </c>
      <c r="F80">
        <f>A80*1024/(C80*0.000001)/1000000000*C52</f>
        <v/>
      </c>
      <c r="G80">
        <f>E80/F80</f>
        <v/>
      </c>
    </row>
    <row r="81">
      <c r="A81" t="n">
        <v>4194304</v>
      </c>
      <c r="B81" t="n">
        <v>154722</v>
      </c>
      <c r="C81">
        <f>IF(A81*1024/(C47*C50)&lt;C56,C54,C55)+A81*1024*C53</f>
        <v/>
      </c>
      <c r="D81">
        <f>B81/C81</f>
        <v/>
      </c>
      <c r="E81" t="n">
        <v>55.08</v>
      </c>
      <c r="F81">
        <f>A81*1024/(C81*0.000001)/1000000000*C52</f>
        <v/>
      </c>
      <c r="G81">
        <f>E81/F81</f>
        <v/>
      </c>
    </row>
    <row r="82"/>
    <row r="83">
      <c r="A83" t="inlineStr">
        <is>
          <t>Nodes: 16, Protocol: Simple, Channels: 4</t>
        </is>
      </c>
    </row>
    <row r="84">
      <c r="A84" t="inlineStr">
        <is>
          <t>Parameter</t>
        </is>
      </c>
      <c r="B84" t="inlineStr">
        <is>
          <t>Formula</t>
        </is>
      </c>
      <c r="C84" t="inlineStr">
        <is>
          <t>Value</t>
        </is>
      </c>
    </row>
    <row r="85">
      <c r="A85" t="inlineStr">
        <is>
          <t>N</t>
        </is>
      </c>
      <c r="B85" t="inlineStr">
        <is>
          <t>nodes</t>
        </is>
      </c>
      <c r="C85" t="n">
        <v>16</v>
      </c>
    </row>
    <row r="86">
      <c r="A86" t="inlineStr">
        <is>
          <t>n</t>
        </is>
      </c>
      <c r="B86" t="inlineStr">
        <is>
          <t>GPUs/node</t>
        </is>
      </c>
      <c r="C86" t="n">
        <v>8</v>
      </c>
    </row>
    <row r="87">
      <c r="A87" t="inlineStr">
        <is>
          <t>n_total</t>
        </is>
      </c>
      <c r="B87" t="inlineStr">
        <is>
          <t>N*n</t>
        </is>
      </c>
      <c r="C87" t="n">
        <v>128</v>
      </c>
    </row>
    <row r="88">
      <c r="A88" t="inlineStr">
        <is>
          <t>nch_raw</t>
        </is>
      </c>
      <c r="B88" t="inlineStr">
        <is>
          <t>raw channels</t>
        </is>
      </c>
      <c r="C88" t="n">
        <v>4</v>
      </c>
    </row>
    <row r="89">
      <c r="A89" t="inlineStr">
        <is>
          <t>nch</t>
        </is>
      </c>
      <c r="B89" t="inlineStr">
        <is>
          <t>min(nch_raw,8)</t>
        </is>
      </c>
      <c r="C89" t="n">
        <v>4</v>
      </c>
    </row>
    <row r="90">
      <c r="A90" t="inlineStr">
        <is>
          <t>a</t>
        </is>
      </c>
      <c r="B90" t="inlineStr">
        <is>
          <t>RTT (us)</t>
        </is>
      </c>
      <c r="C90" t="n">
        <v>24.92</v>
      </c>
    </row>
    <row r="91">
      <c r="A91" t="inlineStr">
        <is>
          <t>NIC_BW</t>
        </is>
      </c>
      <c r="B91" t="inlineStr">
        <is>
          <t>bytes/us</t>
        </is>
      </c>
      <c r="C91" t="n">
        <v>48750</v>
      </c>
    </row>
    <row r="92">
      <c r="A92" t="inlineStr">
        <is>
          <t>G_agg</t>
        </is>
      </c>
      <c r="B92" t="inlineStr">
        <is>
          <t>nch*NIC_BW</t>
        </is>
      </c>
      <c r="C92">
        <f>C89*C91</f>
        <v/>
      </c>
    </row>
    <row r="93">
      <c r="A93" t="inlineStr">
        <is>
          <t>busbw_factor</t>
        </is>
      </c>
      <c r="B93" t="inlineStr">
        <is>
          <t>2*(n_total-1)/n_total</t>
        </is>
      </c>
      <c r="C93">
        <f>2*(C87-1)/C87</f>
        <v/>
      </c>
    </row>
    <row r="94">
      <c r="A94" t="inlineStr">
        <is>
          <t>G_per_byte</t>
        </is>
      </c>
      <c r="B94" t="inlineStr">
        <is>
          <t>busbw_factor/G_agg</t>
        </is>
      </c>
      <c r="C94">
        <f>C93/C92</f>
        <v/>
      </c>
    </row>
    <row r="95">
      <c r="A95" t="inlineStr">
        <is>
          <t>fixed_small</t>
        </is>
      </c>
      <c r="B95" t="inlineStr">
        <is>
          <t>(2*n_total-1)*a/2</t>
        </is>
      </c>
      <c r="C95">
        <f>(2*C87-1)*C90/2</f>
        <v/>
      </c>
    </row>
    <row r="96">
      <c r="A96" t="inlineStr">
        <is>
          <t>fixed_large</t>
        </is>
      </c>
      <c r="B96" t="inlineStr">
        <is>
          <t>(2*N-1)*a/2</t>
        </is>
      </c>
      <c r="C96">
        <f>(2*C85-1)*C90/2</f>
        <v/>
      </c>
    </row>
    <row r="97">
      <c r="A97" t="inlineStr">
        <is>
          <t>threshold</t>
        </is>
      </c>
      <c r="B97" t="inlineStr">
        <is>
          <t>700</t>
        </is>
      </c>
      <c r="C97" t="n">
        <v>700</v>
      </c>
    </row>
    <row r="98"/>
    <row r="99">
      <c r="A99" t="inlineStr">
        <is>
          <t>size_KB</t>
        </is>
      </c>
      <c r="B99" t="inlineStr">
        <is>
          <t>Actual Time (us)</t>
        </is>
      </c>
      <c r="C99" t="inlineStr">
        <is>
          <t>Roofline Time (us)</t>
        </is>
      </c>
      <c r="D99" t="inlineStr">
        <is>
          <t>Actual/Roofline</t>
        </is>
      </c>
      <c r="E99" t="inlineStr">
        <is>
          <t>Actual busBW (GB/s)</t>
        </is>
      </c>
      <c r="F99" t="inlineStr">
        <is>
          <t>Roofline busBW (GB/s)</t>
        </is>
      </c>
      <c r="G99" t="inlineStr">
        <is>
          <t>Meas/Roof busBW</t>
        </is>
      </c>
    </row>
    <row r="100">
      <c r="A100" t="n">
        <v>1</v>
      </c>
      <c r="B100" t="n">
        <v>3965.31</v>
      </c>
      <c r="C100">
        <f>IF(A100*1024/(C88*C91)&lt;C97,C95,C96)+A100*1024*C94</f>
        <v/>
      </c>
      <c r="D100">
        <f>B100/C100</f>
        <v/>
      </c>
      <c r="E100" t="n">
        <v>0</v>
      </c>
      <c r="F100">
        <f>A100*1024/(C100*0.000001)/1000000000*C93</f>
        <v/>
      </c>
      <c r="G100">
        <f>E100/F100</f>
        <v/>
      </c>
    </row>
    <row r="101">
      <c r="A101" t="n">
        <v>2</v>
      </c>
      <c r="B101" t="n">
        <v>3990.11</v>
      </c>
      <c r="C101">
        <f>IF(A101*1024/(C88*C91)&lt;C97,C95,C96)+A101*1024*C94</f>
        <v/>
      </c>
      <c r="D101">
        <f>B101/C101</f>
        <v/>
      </c>
      <c r="E101" t="n">
        <v>0</v>
      </c>
      <c r="F101">
        <f>A101*1024/(C101*0.000001)/1000000000*C93</f>
        <v/>
      </c>
      <c r="G101">
        <f>E101/F101</f>
        <v/>
      </c>
    </row>
    <row r="102">
      <c r="A102" t="n">
        <v>4</v>
      </c>
      <c r="B102" t="n">
        <v>4015.03</v>
      </c>
      <c r="C102">
        <f>IF(A102*1024/(C88*C91)&lt;C97,C95,C96)+A102*1024*C94</f>
        <v/>
      </c>
      <c r="D102">
        <f>B102/C102</f>
        <v/>
      </c>
      <c r="E102" t="n">
        <v>0</v>
      </c>
      <c r="F102">
        <f>A102*1024/(C102*0.000001)/1000000000*C93</f>
        <v/>
      </c>
      <c r="G102">
        <f>E102/F102</f>
        <v/>
      </c>
    </row>
    <row r="103">
      <c r="A103" t="n">
        <v>8</v>
      </c>
      <c r="B103" t="n">
        <v>3979.73</v>
      </c>
      <c r="C103">
        <f>IF(A103*1024/(C88*C91)&lt;C97,C95,C96)+A103*1024*C94</f>
        <v/>
      </c>
      <c r="D103">
        <f>B103/C103</f>
        <v/>
      </c>
      <c r="E103" t="n">
        <v>0</v>
      </c>
      <c r="F103">
        <f>A103*1024/(C103*0.000001)/1000000000*C93</f>
        <v/>
      </c>
      <c r="G103">
        <f>E103/F103</f>
        <v/>
      </c>
    </row>
    <row r="104">
      <c r="A104" t="n">
        <v>16</v>
      </c>
      <c r="B104" t="n">
        <v>3984.45</v>
      </c>
      <c r="C104">
        <f>IF(A104*1024/(C88*C91)&lt;C97,C95,C96)+A104*1024*C94</f>
        <v/>
      </c>
      <c r="D104">
        <f>B104/C104</f>
        <v/>
      </c>
      <c r="E104" t="n">
        <v>0.01</v>
      </c>
      <c r="F104">
        <f>A104*1024/(C104*0.000001)/1000000000*C93</f>
        <v/>
      </c>
      <c r="G104">
        <f>E104/F104</f>
        <v/>
      </c>
    </row>
    <row r="105">
      <c r="A105" t="n">
        <v>32</v>
      </c>
      <c r="B105" t="n">
        <v>4003.11</v>
      </c>
      <c r="C105">
        <f>IF(A105*1024/(C88*C91)&lt;C97,C95,C96)+A105*1024*C94</f>
        <v/>
      </c>
      <c r="D105">
        <f>B105/C105</f>
        <v/>
      </c>
      <c r="E105" t="n">
        <v>0.02</v>
      </c>
      <c r="F105">
        <f>A105*1024/(C105*0.000001)/1000000000*C93</f>
        <v/>
      </c>
      <c r="G105">
        <f>E105/F105</f>
        <v/>
      </c>
    </row>
    <row r="106">
      <c r="A106" t="n">
        <v>64</v>
      </c>
      <c r="B106" t="n">
        <v>4055.71</v>
      </c>
      <c r="C106">
        <f>IF(A106*1024/(C88*C91)&lt;C97,C95,C96)+A106*1024*C94</f>
        <v/>
      </c>
      <c r="D106">
        <f>B106/C106</f>
        <v/>
      </c>
      <c r="E106" t="n">
        <v>0.03</v>
      </c>
      <c r="F106">
        <f>A106*1024/(C106*0.000001)/1000000000*C93</f>
        <v/>
      </c>
      <c r="G106">
        <f>E106/F106</f>
        <v/>
      </c>
    </row>
    <row r="107">
      <c r="A107" t="n">
        <v>128</v>
      </c>
      <c r="B107" t="n">
        <v>4114.94</v>
      </c>
      <c r="C107">
        <f>IF(A107*1024/(C88*C91)&lt;C97,C95,C96)+A107*1024*C94</f>
        <v/>
      </c>
      <c r="D107">
        <f>B107/C107</f>
        <v/>
      </c>
      <c r="E107" t="n">
        <v>0.06</v>
      </c>
      <c r="F107">
        <f>A107*1024/(C107*0.000001)/1000000000*C93</f>
        <v/>
      </c>
      <c r="G107">
        <f>E107/F107</f>
        <v/>
      </c>
    </row>
    <row r="108">
      <c r="A108" t="n">
        <v>256</v>
      </c>
      <c r="B108" t="n">
        <v>4103.02</v>
      </c>
      <c r="C108">
        <f>IF(A108*1024/(C88*C91)&lt;C97,C95,C96)+A108*1024*C94</f>
        <v/>
      </c>
      <c r="D108">
        <f>B108/C108</f>
        <v/>
      </c>
      <c r="E108" t="n">
        <v>0.13</v>
      </c>
      <c r="F108">
        <f>A108*1024/(C108*0.000001)/1000000000*C93</f>
        <v/>
      </c>
      <c r="G108">
        <f>E108/F108</f>
        <v/>
      </c>
    </row>
    <row r="109">
      <c r="A109" t="n">
        <v>512</v>
      </c>
      <c r="B109" t="n">
        <v>4130.44</v>
      </c>
      <c r="C109">
        <f>IF(A109*1024/(C88*C91)&lt;C97,C95,C96)+A109*1024*C94</f>
        <v/>
      </c>
      <c r="D109">
        <f>B109/C109</f>
        <v/>
      </c>
      <c r="E109" t="n">
        <v>0.25</v>
      </c>
      <c r="F109">
        <f>A109*1024/(C109*0.000001)/1000000000*C93</f>
        <v/>
      </c>
      <c r="G109">
        <f>E109/F109</f>
        <v/>
      </c>
    </row>
    <row r="110">
      <c r="A110" t="n">
        <v>1024</v>
      </c>
      <c r="B110" t="n">
        <v>4187.66</v>
      </c>
      <c r="C110">
        <f>IF(A110*1024/(C88*C91)&lt;C97,C95,C96)+A110*1024*C94</f>
        <v/>
      </c>
      <c r="D110">
        <f>B110/C110</f>
        <v/>
      </c>
      <c r="E110" t="n">
        <v>0.5</v>
      </c>
      <c r="F110">
        <f>A110*1024/(C110*0.000001)/1000000000*C93</f>
        <v/>
      </c>
      <c r="G110">
        <f>E110/F110</f>
        <v/>
      </c>
    </row>
    <row r="111">
      <c r="A111" t="n">
        <v>2048</v>
      </c>
      <c r="B111" t="n">
        <v>4293.45</v>
      </c>
      <c r="C111">
        <f>IF(A111*1024/(C88*C91)&lt;C97,C95,C96)+A111*1024*C94</f>
        <v/>
      </c>
      <c r="D111">
        <f>B111/C111</f>
        <v/>
      </c>
      <c r="E111" t="n">
        <v>0.97</v>
      </c>
      <c r="F111">
        <f>A111*1024/(C111*0.000001)/1000000000*C93</f>
        <v/>
      </c>
      <c r="G111">
        <f>E111/F111</f>
        <v/>
      </c>
    </row>
    <row r="112">
      <c r="A112" t="n">
        <v>4096</v>
      </c>
      <c r="B112" t="n">
        <v>4523.75</v>
      </c>
      <c r="C112">
        <f>IF(A112*1024/(C88*C91)&lt;C97,C95,C96)+A112*1024*C94</f>
        <v/>
      </c>
      <c r="D112">
        <f>B112/C112</f>
        <v/>
      </c>
      <c r="E112" t="n">
        <v>1.84</v>
      </c>
      <c r="F112">
        <f>A112*1024/(C112*0.000001)/1000000000*C93</f>
        <v/>
      </c>
      <c r="G112">
        <f>E112/F112</f>
        <v/>
      </c>
    </row>
    <row r="113">
      <c r="A113" t="n">
        <v>8192</v>
      </c>
      <c r="B113" t="n">
        <v>5251.63</v>
      </c>
      <c r="C113">
        <f>IF(A113*1024/(C88*C91)&lt;C97,C95,C96)+A113*1024*C94</f>
        <v/>
      </c>
      <c r="D113">
        <f>B113/C113</f>
        <v/>
      </c>
      <c r="E113" t="n">
        <v>3.17</v>
      </c>
      <c r="F113">
        <f>A113*1024/(C113*0.000001)/1000000000*C93</f>
        <v/>
      </c>
      <c r="G113">
        <f>E113/F113</f>
        <v/>
      </c>
    </row>
    <row r="114">
      <c r="A114" t="n">
        <v>16384</v>
      </c>
      <c r="B114" t="n">
        <v>5620.92</v>
      </c>
      <c r="C114">
        <f>IF(A114*1024/(C88*C91)&lt;C97,C95,C96)+A114*1024*C94</f>
        <v/>
      </c>
      <c r="D114">
        <f>B114/C114</f>
        <v/>
      </c>
      <c r="E114" t="n">
        <v>5.92</v>
      </c>
      <c r="F114">
        <f>A114*1024/(C114*0.000001)/1000000000*C93</f>
        <v/>
      </c>
      <c r="G114">
        <f>E114/F114</f>
        <v/>
      </c>
    </row>
    <row r="115">
      <c r="A115" t="n">
        <v>32768</v>
      </c>
      <c r="B115" t="n">
        <v>6086.15</v>
      </c>
      <c r="C115">
        <f>IF(A115*1024/(C88*C91)&lt;C97,C95,C96)+A115*1024*C94</f>
        <v/>
      </c>
      <c r="D115">
        <f>B115/C115</f>
        <v/>
      </c>
      <c r="E115" t="n">
        <v>10.94</v>
      </c>
      <c r="F115">
        <f>A115*1024/(C115*0.000001)/1000000000*C93</f>
        <v/>
      </c>
      <c r="G115">
        <f>E115/F115</f>
        <v/>
      </c>
    </row>
    <row r="116">
      <c r="A116" t="n">
        <v>65536</v>
      </c>
      <c r="B116" t="n">
        <v>6174.25</v>
      </c>
      <c r="C116">
        <f>IF(A116*1024/(C88*C91)&lt;C97,C95,C96)+A116*1024*C94</f>
        <v/>
      </c>
      <c r="D116">
        <f>B116/C116</f>
        <v/>
      </c>
      <c r="E116" t="n">
        <v>21.57</v>
      </c>
      <c r="F116">
        <f>A116*1024/(C116*0.000001)/1000000000*C93</f>
        <v/>
      </c>
      <c r="G116">
        <f>E116/F116</f>
        <v/>
      </c>
    </row>
    <row r="117">
      <c r="A117" t="n">
        <v>131072</v>
      </c>
      <c r="B117" t="n">
        <v>7230.19</v>
      </c>
      <c r="C117">
        <f>IF(A117*1024/(C88*C91)&lt;C97,C95,C96)+A117*1024*C94</f>
        <v/>
      </c>
      <c r="D117">
        <f>B117/C117</f>
        <v/>
      </c>
      <c r="E117" t="n">
        <v>36.84</v>
      </c>
      <c r="F117">
        <f>A117*1024/(C117*0.000001)/1000000000*C93</f>
        <v/>
      </c>
      <c r="G117">
        <f>E117/F117</f>
        <v/>
      </c>
    </row>
    <row r="118">
      <c r="A118" t="n">
        <v>262144</v>
      </c>
      <c r="B118" t="n">
        <v>8250.9</v>
      </c>
      <c r="C118">
        <f>IF(A118*1024/(C88*C91)&lt;C97,C95,C96)+A118*1024*C94</f>
        <v/>
      </c>
      <c r="D118">
        <f>B118/C118</f>
        <v/>
      </c>
      <c r="E118" t="n">
        <v>64.56</v>
      </c>
      <c r="F118">
        <f>A118*1024/(C118*0.000001)/1000000000*C93</f>
        <v/>
      </c>
      <c r="G118">
        <f>E118/F118</f>
        <v/>
      </c>
    </row>
    <row r="119">
      <c r="A119" t="n">
        <v>524288</v>
      </c>
      <c r="B119" t="n">
        <v>11791.9</v>
      </c>
      <c r="C119">
        <f>IF(A119*1024/(C88*C91)&lt;C97,C95,C96)+A119*1024*C94</f>
        <v/>
      </c>
      <c r="D119">
        <f>B119/C119</f>
        <v/>
      </c>
      <c r="E119" t="n">
        <v>90.34999999999999</v>
      </c>
      <c r="F119">
        <f>A119*1024/(C119*0.000001)/1000000000*C93</f>
        <v/>
      </c>
      <c r="G119">
        <f>E119/F119</f>
        <v/>
      </c>
    </row>
    <row r="120">
      <c r="A120" t="n">
        <v>1048576</v>
      </c>
      <c r="B120" t="n">
        <v>20792.8</v>
      </c>
      <c r="C120">
        <f>IF(A120*1024/(C88*C91)&lt;C97,C95,C96)+A120*1024*C94</f>
        <v/>
      </c>
      <c r="D120">
        <f>B120/C120</f>
        <v/>
      </c>
      <c r="E120" t="n">
        <v>102.47</v>
      </c>
      <c r="F120">
        <f>A120*1024/(C120*0.000001)/1000000000*C93</f>
        <v/>
      </c>
      <c r="G120">
        <f>E120/F120</f>
        <v/>
      </c>
    </row>
    <row r="121">
      <c r="A121" t="n">
        <v>2097152</v>
      </c>
      <c r="B121" t="n">
        <v>38995</v>
      </c>
      <c r="C121">
        <f>IF(A121*1024/(C88*C91)&lt;C97,C95,C96)+A121*1024*C94</f>
        <v/>
      </c>
      <c r="D121">
        <f>B121/C121</f>
        <v/>
      </c>
      <c r="E121" t="n">
        <v>109.28</v>
      </c>
      <c r="F121">
        <f>A121*1024/(C121*0.000001)/1000000000*C93</f>
        <v/>
      </c>
      <c r="G121">
        <f>E121/F121</f>
        <v/>
      </c>
    </row>
    <row r="122">
      <c r="A122" t="n">
        <v>4194304</v>
      </c>
      <c r="B122" t="n">
        <v>78085.3</v>
      </c>
      <c r="C122">
        <f>IF(A122*1024/(C88*C91)&lt;C97,C95,C96)+A122*1024*C94</f>
        <v/>
      </c>
      <c r="D122">
        <f>B122/C122</f>
        <v/>
      </c>
      <c r="E122" t="n">
        <v>109.15</v>
      </c>
      <c r="F122">
        <f>A122*1024/(C122*0.000001)/1000000000*C93</f>
        <v/>
      </c>
      <c r="G122">
        <f>E122/F122</f>
        <v/>
      </c>
    </row>
    <row r="123"/>
    <row r="124">
      <c r="A124" t="inlineStr">
        <is>
          <t>Nodes: 16, Protocol: Simple, Channels: 8</t>
        </is>
      </c>
    </row>
    <row r="125">
      <c r="A125" t="inlineStr">
        <is>
          <t>Parameter</t>
        </is>
      </c>
      <c r="B125" t="inlineStr">
        <is>
          <t>Formula</t>
        </is>
      </c>
      <c r="C125" t="inlineStr">
        <is>
          <t>Value</t>
        </is>
      </c>
    </row>
    <row r="126">
      <c r="A126" t="inlineStr">
        <is>
          <t>N</t>
        </is>
      </c>
      <c r="B126" t="inlineStr">
        <is>
          <t>nodes</t>
        </is>
      </c>
      <c r="C126" t="n">
        <v>16</v>
      </c>
    </row>
    <row r="127">
      <c r="A127" t="inlineStr">
        <is>
          <t>n</t>
        </is>
      </c>
      <c r="B127" t="inlineStr">
        <is>
          <t>GPUs/node</t>
        </is>
      </c>
      <c r="C127" t="n">
        <v>8</v>
      </c>
    </row>
    <row r="128">
      <c r="A128" t="inlineStr">
        <is>
          <t>n_total</t>
        </is>
      </c>
      <c r="B128" t="inlineStr">
        <is>
          <t>N*n</t>
        </is>
      </c>
      <c r="C128" t="n">
        <v>128</v>
      </c>
    </row>
    <row r="129">
      <c r="A129" t="inlineStr">
        <is>
          <t>nch_raw</t>
        </is>
      </c>
      <c r="B129" t="inlineStr">
        <is>
          <t>raw channels</t>
        </is>
      </c>
      <c r="C129" t="n">
        <v>8</v>
      </c>
    </row>
    <row r="130">
      <c r="A130" t="inlineStr">
        <is>
          <t>nch</t>
        </is>
      </c>
      <c r="B130" t="inlineStr">
        <is>
          <t>min(nch_raw,8)</t>
        </is>
      </c>
      <c r="C130" t="n">
        <v>8</v>
      </c>
    </row>
    <row r="131">
      <c r="A131" t="inlineStr">
        <is>
          <t>a</t>
        </is>
      </c>
      <c r="B131" t="inlineStr">
        <is>
          <t>RTT (us)</t>
        </is>
      </c>
      <c r="C131" t="n">
        <v>24.92</v>
      </c>
    </row>
    <row r="132">
      <c r="A132" t="inlineStr">
        <is>
          <t>NIC_BW</t>
        </is>
      </c>
      <c r="B132" t="inlineStr">
        <is>
          <t>bytes/us</t>
        </is>
      </c>
      <c r="C132" t="n">
        <v>48750</v>
      </c>
    </row>
    <row r="133">
      <c r="A133" t="inlineStr">
        <is>
          <t>G_agg</t>
        </is>
      </c>
      <c r="B133" t="inlineStr">
        <is>
          <t>nch*NIC_BW</t>
        </is>
      </c>
      <c r="C133">
        <f>C130*C132</f>
        <v/>
      </c>
    </row>
    <row r="134">
      <c r="A134" t="inlineStr">
        <is>
          <t>busbw_factor</t>
        </is>
      </c>
      <c r="B134" t="inlineStr">
        <is>
          <t>2*(n_total-1)/n_total</t>
        </is>
      </c>
      <c r="C134">
        <f>2*(C128-1)/C128</f>
        <v/>
      </c>
    </row>
    <row r="135">
      <c r="A135" t="inlineStr">
        <is>
          <t>G_per_byte</t>
        </is>
      </c>
      <c r="B135" t="inlineStr">
        <is>
          <t>busbw_factor/G_agg</t>
        </is>
      </c>
      <c r="C135">
        <f>C134/C133</f>
        <v/>
      </c>
    </row>
    <row r="136">
      <c r="A136" t="inlineStr">
        <is>
          <t>fixed_small</t>
        </is>
      </c>
      <c r="B136" t="inlineStr">
        <is>
          <t>(2*n_total-1)*a/2</t>
        </is>
      </c>
      <c r="C136">
        <f>(2*C128-1)*C131/2</f>
        <v/>
      </c>
    </row>
    <row r="137">
      <c r="A137" t="inlineStr">
        <is>
          <t>fixed_large</t>
        </is>
      </c>
      <c r="B137" t="inlineStr">
        <is>
          <t>(2*N-1)*a/2</t>
        </is>
      </c>
      <c r="C137">
        <f>(2*C126-1)*C131/2</f>
        <v/>
      </c>
    </row>
    <row r="138">
      <c r="A138" t="inlineStr">
        <is>
          <t>threshold</t>
        </is>
      </c>
      <c r="B138" t="inlineStr">
        <is>
          <t>700</t>
        </is>
      </c>
      <c r="C138" t="n">
        <v>700</v>
      </c>
    </row>
    <row r="139"/>
    <row r="140">
      <c r="A140" t="inlineStr">
        <is>
          <t>size_KB</t>
        </is>
      </c>
      <c r="B140" t="inlineStr">
        <is>
          <t>Actual Time (us)</t>
        </is>
      </c>
      <c r="C140" t="inlineStr">
        <is>
          <t>Roofline Time (us)</t>
        </is>
      </c>
      <c r="D140" t="inlineStr">
        <is>
          <t>Actual/Roofline</t>
        </is>
      </c>
      <c r="E140" t="inlineStr">
        <is>
          <t>Actual busBW (GB/s)</t>
        </is>
      </c>
      <c r="F140" t="inlineStr">
        <is>
          <t>Roofline busBW (GB/s)</t>
        </is>
      </c>
      <c r="G140" t="inlineStr">
        <is>
          <t>Meas/Roof busBW</t>
        </is>
      </c>
    </row>
    <row r="141">
      <c r="A141" t="n">
        <v>1</v>
      </c>
      <c r="B141" t="n">
        <v>3966.46</v>
      </c>
      <c r="C141">
        <f>IF(A141*1024/(C129*C132)&lt;C138,C136,C137)+A141*1024*C135</f>
        <v/>
      </c>
      <c r="D141">
        <f>B141/C141</f>
        <v/>
      </c>
      <c r="E141" t="n">
        <v>0</v>
      </c>
      <c r="F141">
        <f>A141*1024/(C141*0.000001)/1000000000*C134</f>
        <v/>
      </c>
      <c r="G141">
        <f>E141/F141</f>
        <v/>
      </c>
    </row>
    <row r="142">
      <c r="A142" t="n">
        <v>2</v>
      </c>
      <c r="B142" t="n">
        <v>4445.35</v>
      </c>
      <c r="C142">
        <f>IF(A142*1024/(C129*C132)&lt;C138,C136,C137)+A142*1024*C135</f>
        <v/>
      </c>
      <c r="D142">
        <f>B142/C142</f>
        <v/>
      </c>
      <c r="E142" t="n">
        <v>0</v>
      </c>
      <c r="F142">
        <f>A142*1024/(C142*0.000001)/1000000000*C134</f>
        <v/>
      </c>
      <c r="G142">
        <f>E142/F142</f>
        <v/>
      </c>
    </row>
    <row r="143">
      <c r="A143" t="n">
        <v>4</v>
      </c>
      <c r="B143" t="n">
        <v>3962.29</v>
      </c>
      <c r="C143">
        <f>IF(A143*1024/(C129*C132)&lt;C138,C136,C137)+A143*1024*C135</f>
        <v/>
      </c>
      <c r="D143">
        <f>B143/C143</f>
        <v/>
      </c>
      <c r="E143" t="n">
        <v>0</v>
      </c>
      <c r="F143">
        <f>A143*1024/(C143*0.000001)/1000000000*C134</f>
        <v/>
      </c>
      <c r="G143">
        <f>E143/F143</f>
        <v/>
      </c>
    </row>
    <row r="144">
      <c r="A144" t="n">
        <v>8</v>
      </c>
      <c r="B144" t="n">
        <v>3983.11</v>
      </c>
      <c r="C144">
        <f>IF(A144*1024/(C129*C132)&lt;C138,C136,C137)+A144*1024*C135</f>
        <v/>
      </c>
      <c r="D144">
        <f>B144/C144</f>
        <v/>
      </c>
      <c r="E144" t="n">
        <v>0</v>
      </c>
      <c r="F144">
        <f>A144*1024/(C144*0.000001)/1000000000*C134</f>
        <v/>
      </c>
      <c r="G144">
        <f>E144/F144</f>
        <v/>
      </c>
    </row>
    <row r="145">
      <c r="A145" t="n">
        <v>16</v>
      </c>
      <c r="B145" t="n">
        <v>3991.87</v>
      </c>
      <c r="C145">
        <f>IF(A145*1024/(C129*C132)&lt;C138,C136,C137)+A145*1024*C135</f>
        <v/>
      </c>
      <c r="D145">
        <f>B145/C145</f>
        <v/>
      </c>
      <c r="E145" t="n">
        <v>0.01</v>
      </c>
      <c r="F145">
        <f>A145*1024/(C145*0.000001)/1000000000*C134</f>
        <v/>
      </c>
      <c r="G145">
        <f>E145/F145</f>
        <v/>
      </c>
    </row>
    <row r="146">
      <c r="A146" t="n">
        <v>32</v>
      </c>
      <c r="B146" t="n">
        <v>4010.32</v>
      </c>
      <c r="C146">
        <f>IF(A146*1024/(C129*C132)&lt;C138,C136,C137)+A146*1024*C135</f>
        <v/>
      </c>
      <c r="D146">
        <f>B146/C146</f>
        <v/>
      </c>
      <c r="E146" t="n">
        <v>0.02</v>
      </c>
      <c r="F146">
        <f>A146*1024/(C146*0.000001)/1000000000*C134</f>
        <v/>
      </c>
      <c r="G146">
        <f>E146/F146</f>
        <v/>
      </c>
    </row>
    <row r="147">
      <c r="A147" t="n">
        <v>64</v>
      </c>
      <c r="B147" t="n">
        <v>4100.22</v>
      </c>
      <c r="C147">
        <f>IF(A147*1024/(C129*C132)&lt;C138,C136,C137)+A147*1024*C135</f>
        <v/>
      </c>
      <c r="D147">
        <f>B147/C147</f>
        <v/>
      </c>
      <c r="E147" t="n">
        <v>0.03</v>
      </c>
      <c r="F147">
        <f>A147*1024/(C147*0.000001)/1000000000*C134</f>
        <v/>
      </c>
      <c r="G147">
        <f>E147/F147</f>
        <v/>
      </c>
    </row>
    <row r="148">
      <c r="A148" t="n">
        <v>128</v>
      </c>
      <c r="B148" t="n">
        <v>4094.62</v>
      </c>
      <c r="C148">
        <f>IF(A148*1024/(C129*C132)&lt;C138,C136,C137)+A148*1024*C135</f>
        <v/>
      </c>
      <c r="D148">
        <f>B148/C148</f>
        <v/>
      </c>
      <c r="E148" t="n">
        <v>0.06</v>
      </c>
      <c r="F148">
        <f>A148*1024/(C148*0.000001)/1000000000*C134</f>
        <v/>
      </c>
      <c r="G148">
        <f>E148/F148</f>
        <v/>
      </c>
    </row>
    <row r="149">
      <c r="A149" t="n">
        <v>256</v>
      </c>
      <c r="B149" t="n">
        <v>4132.49</v>
      </c>
      <c r="C149">
        <f>IF(A149*1024/(C129*C132)&lt;C138,C136,C137)+A149*1024*C135</f>
        <v/>
      </c>
      <c r="D149">
        <f>B149/C149</f>
        <v/>
      </c>
      <c r="E149" t="n">
        <v>0.13</v>
      </c>
      <c r="F149">
        <f>A149*1024/(C149*0.000001)/1000000000*C134</f>
        <v/>
      </c>
      <c r="G149">
        <f>E149/F149</f>
        <v/>
      </c>
    </row>
    <row r="150">
      <c r="A150" t="n">
        <v>512</v>
      </c>
      <c r="B150" t="n">
        <v>4139.38</v>
      </c>
      <c r="C150">
        <f>IF(A150*1024/(C129*C132)&lt;C138,C136,C137)+A150*1024*C135</f>
        <v/>
      </c>
      <c r="D150">
        <f>B150/C150</f>
        <v/>
      </c>
      <c r="E150" t="n">
        <v>0.25</v>
      </c>
      <c r="F150">
        <f>A150*1024/(C150*0.000001)/1000000000*C134</f>
        <v/>
      </c>
      <c r="G150">
        <f>E150/F150</f>
        <v/>
      </c>
    </row>
    <row r="151">
      <c r="A151" t="n">
        <v>1024</v>
      </c>
      <c r="B151" t="n">
        <v>4145.5</v>
      </c>
      <c r="C151">
        <f>IF(A151*1024/(C129*C132)&lt;C138,C136,C137)+A151*1024*C135</f>
        <v/>
      </c>
      <c r="D151">
        <f>B151/C151</f>
        <v/>
      </c>
      <c r="E151" t="n">
        <v>0.5</v>
      </c>
      <c r="F151">
        <f>A151*1024/(C151*0.000001)/1000000000*C134</f>
        <v/>
      </c>
      <c r="G151">
        <f>E151/F151</f>
        <v/>
      </c>
    </row>
    <row r="152">
      <c r="A152" t="n">
        <v>2048</v>
      </c>
      <c r="B152" t="n">
        <v>4192.35</v>
      </c>
      <c r="C152">
        <f>IF(A152*1024/(C129*C132)&lt;C138,C136,C137)+A152*1024*C135</f>
        <v/>
      </c>
      <c r="D152">
        <f>B152/C152</f>
        <v/>
      </c>
      <c r="E152" t="n">
        <v>0.99</v>
      </c>
      <c r="F152">
        <f>A152*1024/(C152*0.000001)/1000000000*C134</f>
        <v/>
      </c>
      <c r="G152">
        <f>E152/F152</f>
        <v/>
      </c>
    </row>
    <row r="153">
      <c r="A153" t="n">
        <v>4096</v>
      </c>
      <c r="B153" t="n">
        <v>4354.14</v>
      </c>
      <c r="C153">
        <f>IF(A153*1024/(C129*C132)&lt;C138,C136,C137)+A153*1024*C135</f>
        <v/>
      </c>
      <c r="D153">
        <f>B153/C153</f>
        <v/>
      </c>
      <c r="E153" t="n">
        <v>1.91</v>
      </c>
      <c r="F153">
        <f>A153*1024/(C153*0.000001)/1000000000*C134</f>
        <v/>
      </c>
      <c r="G153">
        <f>E153/F153</f>
        <v/>
      </c>
    </row>
    <row r="154">
      <c r="A154" t="n">
        <v>8192</v>
      </c>
      <c r="B154" t="n">
        <v>4544.32</v>
      </c>
      <c r="C154">
        <f>IF(A154*1024/(C129*C132)&lt;C138,C136,C137)+A154*1024*C135</f>
        <v/>
      </c>
      <c r="D154">
        <f>B154/C154</f>
        <v/>
      </c>
      <c r="E154" t="n">
        <v>3.66</v>
      </c>
      <c r="F154">
        <f>A154*1024/(C154*0.000001)/1000000000*C134</f>
        <v/>
      </c>
      <c r="G154">
        <f>E154/F154</f>
        <v/>
      </c>
    </row>
    <row r="155">
      <c r="A155" t="n">
        <v>16384</v>
      </c>
      <c r="B155" t="n">
        <v>5230.07</v>
      </c>
      <c r="C155">
        <f>IF(A155*1024/(C129*C132)&lt;C138,C136,C137)+A155*1024*C135</f>
        <v/>
      </c>
      <c r="D155">
        <f>B155/C155</f>
        <v/>
      </c>
      <c r="E155" t="n">
        <v>6.37</v>
      </c>
      <c r="F155">
        <f>A155*1024/(C155*0.000001)/1000000000*C134</f>
        <v/>
      </c>
      <c r="G155">
        <f>E155/F155</f>
        <v/>
      </c>
    </row>
    <row r="156">
      <c r="A156" t="n">
        <v>32768</v>
      </c>
      <c r="B156" t="n">
        <v>5671.07</v>
      </c>
      <c r="C156">
        <f>IF(A156*1024/(C129*C132)&lt;C138,C136,C137)+A156*1024*C135</f>
        <v/>
      </c>
      <c r="D156">
        <f>B156/C156</f>
        <v/>
      </c>
      <c r="E156" t="n">
        <v>11.74</v>
      </c>
      <c r="F156">
        <f>A156*1024/(C156*0.000001)/1000000000*C134</f>
        <v/>
      </c>
      <c r="G156">
        <f>E156/F156</f>
        <v/>
      </c>
    </row>
    <row r="157">
      <c r="A157" t="n">
        <v>65536</v>
      </c>
      <c r="B157" t="n">
        <v>6126.73</v>
      </c>
      <c r="C157">
        <f>IF(A157*1024/(C129*C132)&lt;C138,C136,C137)+A157*1024*C135</f>
        <v/>
      </c>
      <c r="D157">
        <f>B157/C157</f>
        <v/>
      </c>
      <c r="E157" t="n">
        <v>21.74</v>
      </c>
      <c r="F157">
        <f>A157*1024/(C157*0.000001)/1000000000*C134</f>
        <v/>
      </c>
      <c r="G157">
        <f>E157/F157</f>
        <v/>
      </c>
    </row>
    <row r="158">
      <c r="A158" t="n">
        <v>131072</v>
      </c>
      <c r="B158" t="n">
        <v>6237.89</v>
      </c>
      <c r="C158">
        <f>IF(A158*1024/(C129*C132)&lt;C138,C136,C137)+A158*1024*C135</f>
        <v/>
      </c>
      <c r="D158">
        <f>B158/C158</f>
        <v/>
      </c>
      <c r="E158" t="n">
        <v>42.7</v>
      </c>
      <c r="F158">
        <f>A158*1024/(C158*0.000001)/1000000000*C134</f>
        <v/>
      </c>
      <c r="G158">
        <f>E158/F158</f>
        <v/>
      </c>
    </row>
    <row r="159">
      <c r="A159" t="n">
        <v>262144</v>
      </c>
      <c r="B159" t="n">
        <v>7209.29</v>
      </c>
      <c r="C159">
        <f>IF(A159*1024/(C129*C132)&lt;C138,C136,C137)+A159*1024*C135</f>
        <v/>
      </c>
      <c r="D159">
        <f>B159/C159</f>
        <v/>
      </c>
      <c r="E159" t="n">
        <v>73.89</v>
      </c>
      <c r="F159">
        <f>A159*1024/(C159*0.000001)/1000000000*C134</f>
        <v/>
      </c>
      <c r="G159">
        <f>E159/F159</f>
        <v/>
      </c>
    </row>
    <row r="160">
      <c r="A160" t="n">
        <v>524288</v>
      </c>
      <c r="B160" t="n">
        <v>8339.709999999999</v>
      </c>
      <c r="C160">
        <f>IF(A160*1024/(C129*C132)&lt;C138,C136,C137)+A160*1024*C135</f>
        <v/>
      </c>
      <c r="D160">
        <f>B160/C160</f>
        <v/>
      </c>
      <c r="E160" t="n">
        <v>127.74</v>
      </c>
      <c r="F160">
        <f>A160*1024/(C160*0.000001)/1000000000*C134</f>
        <v/>
      </c>
      <c r="G160">
        <f>E160/F160</f>
        <v/>
      </c>
    </row>
    <row r="161">
      <c r="A161" t="n">
        <v>1048576</v>
      </c>
      <c r="B161" t="n">
        <v>11987.1</v>
      </c>
      <c r="C161">
        <f>IF(A161*1024/(C129*C132)&lt;C138,C136,C137)+A161*1024*C135</f>
        <v/>
      </c>
      <c r="D161">
        <f>B161/C161</f>
        <v/>
      </c>
      <c r="E161" t="n">
        <v>177.75</v>
      </c>
      <c r="F161">
        <f>A161*1024/(C161*0.000001)/1000000000*C134</f>
        <v/>
      </c>
      <c r="G161">
        <f>E161/F161</f>
        <v/>
      </c>
    </row>
    <row r="162">
      <c r="A162" t="n">
        <v>2097152</v>
      </c>
      <c r="B162" t="n">
        <v>21210.3</v>
      </c>
      <c r="C162">
        <f>IF(A162*1024/(C129*C132)&lt;C138,C136,C137)+A162*1024*C135</f>
        <v/>
      </c>
      <c r="D162">
        <f>B162/C162</f>
        <v/>
      </c>
      <c r="E162" t="n">
        <v>200.91</v>
      </c>
      <c r="F162">
        <f>A162*1024/(C162*0.000001)/1000000000*C134</f>
        <v/>
      </c>
      <c r="G162">
        <f>E162/F162</f>
        <v/>
      </c>
    </row>
    <row r="163">
      <c r="A163" t="n">
        <v>4194304</v>
      </c>
      <c r="B163" t="n">
        <v>39797.7</v>
      </c>
      <c r="C163">
        <f>IF(A163*1024/(C129*C132)&lt;C138,C136,C137)+A163*1024*C135</f>
        <v/>
      </c>
      <c r="D163">
        <f>B163/C163</f>
        <v/>
      </c>
      <c r="E163" t="n">
        <v>214.15</v>
      </c>
      <c r="F163">
        <f>A163*1024/(C163*0.000001)/1000000000*C134</f>
        <v/>
      </c>
      <c r="G163">
        <f>E163/F163</f>
        <v/>
      </c>
    </row>
    <row r="164"/>
    <row r="165">
      <c r="A165" t="inlineStr">
        <is>
          <t>Nodes: 16, Protocol: Simple, Channels: 16</t>
        </is>
      </c>
    </row>
    <row r="166">
      <c r="A166" t="inlineStr">
        <is>
          <t>Parameter</t>
        </is>
      </c>
      <c r="B166" t="inlineStr">
        <is>
          <t>Formula</t>
        </is>
      </c>
      <c r="C166" t="inlineStr">
        <is>
          <t>Value</t>
        </is>
      </c>
    </row>
    <row r="167">
      <c r="A167" t="inlineStr">
        <is>
          <t>N</t>
        </is>
      </c>
      <c r="B167" t="inlineStr">
        <is>
          <t>nodes</t>
        </is>
      </c>
      <c r="C167" t="n">
        <v>16</v>
      </c>
    </row>
    <row r="168">
      <c r="A168" t="inlineStr">
        <is>
          <t>n</t>
        </is>
      </c>
      <c r="B168" t="inlineStr">
        <is>
          <t>GPUs/node</t>
        </is>
      </c>
      <c r="C168" t="n">
        <v>8</v>
      </c>
    </row>
    <row r="169">
      <c r="A169" t="inlineStr">
        <is>
          <t>n_total</t>
        </is>
      </c>
      <c r="B169" t="inlineStr">
        <is>
          <t>N*n</t>
        </is>
      </c>
      <c r="C169" t="n">
        <v>128</v>
      </c>
    </row>
    <row r="170">
      <c r="A170" t="inlineStr">
        <is>
          <t>nch_raw</t>
        </is>
      </c>
      <c r="B170" t="inlineStr">
        <is>
          <t>raw channels</t>
        </is>
      </c>
      <c r="C170" t="n">
        <v>16</v>
      </c>
    </row>
    <row r="171">
      <c r="A171" t="inlineStr">
        <is>
          <t>nch</t>
        </is>
      </c>
      <c r="B171" t="inlineStr">
        <is>
          <t>min(nch_raw,8)</t>
        </is>
      </c>
      <c r="C171" t="n">
        <v>8</v>
      </c>
    </row>
    <row r="172">
      <c r="A172" t="inlineStr">
        <is>
          <t>a</t>
        </is>
      </c>
      <c r="B172" t="inlineStr">
        <is>
          <t>RTT (us)</t>
        </is>
      </c>
      <c r="C172" t="n">
        <v>24.92</v>
      </c>
    </row>
    <row r="173">
      <c r="A173" t="inlineStr">
        <is>
          <t>NIC_BW</t>
        </is>
      </c>
      <c r="B173" t="inlineStr">
        <is>
          <t>bytes/us</t>
        </is>
      </c>
      <c r="C173" t="n">
        <v>48750</v>
      </c>
    </row>
    <row r="174">
      <c r="A174" t="inlineStr">
        <is>
          <t>G_agg</t>
        </is>
      </c>
      <c r="B174" t="inlineStr">
        <is>
          <t>nch*NIC_BW</t>
        </is>
      </c>
      <c r="C174">
        <f>C171*C173</f>
        <v/>
      </c>
    </row>
    <row r="175">
      <c r="A175" t="inlineStr">
        <is>
          <t>busbw_factor</t>
        </is>
      </c>
      <c r="B175" t="inlineStr">
        <is>
          <t>2*(n_total-1)/n_total</t>
        </is>
      </c>
      <c r="C175">
        <f>2*(C169-1)/C169</f>
        <v/>
      </c>
    </row>
    <row r="176">
      <c r="A176" t="inlineStr">
        <is>
          <t>G_per_byte</t>
        </is>
      </c>
      <c r="B176" t="inlineStr">
        <is>
          <t>busbw_factor/G_agg</t>
        </is>
      </c>
      <c r="C176">
        <f>C175/C174</f>
        <v/>
      </c>
    </row>
    <row r="177">
      <c r="A177" t="inlineStr">
        <is>
          <t>fixed_small</t>
        </is>
      </c>
      <c r="B177" t="inlineStr">
        <is>
          <t>(2*n_total-1)*a/2</t>
        </is>
      </c>
      <c r="C177">
        <f>(2*C169-1)*C172/2</f>
        <v/>
      </c>
    </row>
    <row r="178">
      <c r="A178" t="inlineStr">
        <is>
          <t>fixed_large</t>
        </is>
      </c>
      <c r="B178" t="inlineStr">
        <is>
          <t>(2*N-1)*a/2</t>
        </is>
      </c>
      <c r="C178">
        <f>(2*C167-1)*C172/2</f>
        <v/>
      </c>
    </row>
    <row r="179">
      <c r="A179" t="inlineStr">
        <is>
          <t>threshold</t>
        </is>
      </c>
      <c r="B179" t="inlineStr">
        <is>
          <t>700</t>
        </is>
      </c>
      <c r="C179" t="n">
        <v>700</v>
      </c>
    </row>
    <row r="180"/>
    <row r="181">
      <c r="A181" t="inlineStr">
        <is>
          <t>size_KB</t>
        </is>
      </c>
      <c r="B181" t="inlineStr">
        <is>
          <t>Actual Time (us)</t>
        </is>
      </c>
      <c r="C181" t="inlineStr">
        <is>
          <t>Roofline Time (us)</t>
        </is>
      </c>
      <c r="D181" t="inlineStr">
        <is>
          <t>Actual/Roofline</t>
        </is>
      </c>
      <c r="E181" t="inlineStr">
        <is>
          <t>Actual busBW (GB/s)</t>
        </is>
      </c>
      <c r="F181" t="inlineStr">
        <is>
          <t>Roofline busBW (GB/s)</t>
        </is>
      </c>
      <c r="G181" t="inlineStr">
        <is>
          <t>Meas/Roof busBW</t>
        </is>
      </c>
    </row>
    <row r="182">
      <c r="A182" t="n">
        <v>1</v>
      </c>
      <c r="B182" t="n">
        <v>3952.37</v>
      </c>
      <c r="C182">
        <f>IF(A182*1024/(C170*C173)&lt;C179,C177,C178)+A182*1024*C176</f>
        <v/>
      </c>
      <c r="D182">
        <f>B182/C182</f>
        <v/>
      </c>
      <c r="E182" t="n">
        <v>0</v>
      </c>
      <c r="F182">
        <f>A182*1024/(C182*0.000001)/1000000000*C175</f>
        <v/>
      </c>
      <c r="G182">
        <f>E182/F182</f>
        <v/>
      </c>
    </row>
    <row r="183">
      <c r="A183" t="n">
        <v>2</v>
      </c>
      <c r="B183" t="n">
        <v>3943.29</v>
      </c>
      <c r="C183">
        <f>IF(A183*1024/(C170*C173)&lt;C179,C177,C178)+A183*1024*C176</f>
        <v/>
      </c>
      <c r="D183">
        <f>B183/C183</f>
        <v/>
      </c>
      <c r="E183" t="n">
        <v>0</v>
      </c>
      <c r="F183">
        <f>A183*1024/(C183*0.000001)/1000000000*C175</f>
        <v/>
      </c>
      <c r="G183">
        <f>E183/F183</f>
        <v/>
      </c>
    </row>
    <row r="184">
      <c r="A184" t="n">
        <v>4</v>
      </c>
      <c r="B184" t="n">
        <v>3962.61</v>
      </c>
      <c r="C184">
        <f>IF(A184*1024/(C170*C173)&lt;C179,C177,C178)+A184*1024*C176</f>
        <v/>
      </c>
      <c r="D184">
        <f>B184/C184</f>
        <v/>
      </c>
      <c r="E184" t="n">
        <v>0</v>
      </c>
      <c r="F184">
        <f>A184*1024/(C184*0.000001)/1000000000*C175</f>
        <v/>
      </c>
      <c r="G184">
        <f>E184/F184</f>
        <v/>
      </c>
    </row>
    <row r="185">
      <c r="A185" t="n">
        <v>8</v>
      </c>
      <c r="B185" t="n">
        <v>3948.85</v>
      </c>
      <c r="C185">
        <f>IF(A185*1024/(C170*C173)&lt;C179,C177,C178)+A185*1024*C176</f>
        <v/>
      </c>
      <c r="D185">
        <f>B185/C185</f>
        <v/>
      </c>
      <c r="E185" t="n">
        <v>0</v>
      </c>
      <c r="F185">
        <f>A185*1024/(C185*0.000001)/1000000000*C175</f>
        <v/>
      </c>
      <c r="G185">
        <f>E185/F185</f>
        <v/>
      </c>
    </row>
    <row r="186">
      <c r="A186" t="n">
        <v>16</v>
      </c>
      <c r="B186" t="n">
        <v>3961.07</v>
      </c>
      <c r="C186">
        <f>IF(A186*1024/(C170*C173)&lt;C179,C177,C178)+A186*1024*C176</f>
        <v/>
      </c>
      <c r="D186">
        <f>B186/C186</f>
        <v/>
      </c>
      <c r="E186" t="n">
        <v>0.01</v>
      </c>
      <c r="F186">
        <f>A186*1024/(C186*0.000001)/1000000000*C175</f>
        <v/>
      </c>
      <c r="G186">
        <f>E186/F186</f>
        <v/>
      </c>
    </row>
    <row r="187">
      <c r="A187" t="n">
        <v>32</v>
      </c>
      <c r="B187" t="n">
        <v>3995.47</v>
      </c>
      <c r="C187">
        <f>IF(A187*1024/(C170*C173)&lt;C179,C177,C178)+A187*1024*C176</f>
        <v/>
      </c>
      <c r="D187">
        <f>B187/C187</f>
        <v/>
      </c>
      <c r="E187" t="n">
        <v>0.02</v>
      </c>
      <c r="F187">
        <f>A187*1024/(C187*0.000001)/1000000000*C175</f>
        <v/>
      </c>
      <c r="G187">
        <f>E187/F187</f>
        <v/>
      </c>
    </row>
    <row r="188">
      <c r="A188" t="n">
        <v>64</v>
      </c>
      <c r="B188" t="n">
        <v>4058.03</v>
      </c>
      <c r="C188">
        <f>IF(A188*1024/(C170*C173)&lt;C179,C177,C178)+A188*1024*C176</f>
        <v/>
      </c>
      <c r="D188">
        <f>B188/C188</f>
        <v/>
      </c>
      <c r="E188" t="n">
        <v>0.03</v>
      </c>
      <c r="F188">
        <f>A188*1024/(C188*0.000001)/1000000000*C175</f>
        <v/>
      </c>
      <c r="G188">
        <f>E188/F188</f>
        <v/>
      </c>
    </row>
    <row r="189">
      <c r="A189" t="n">
        <v>128</v>
      </c>
      <c r="B189" t="n">
        <v>4085.99</v>
      </c>
      <c r="C189">
        <f>IF(A189*1024/(C170*C173)&lt;C179,C177,C178)+A189*1024*C176</f>
        <v/>
      </c>
      <c r="D189">
        <f>B189/C189</f>
        <v/>
      </c>
      <c r="E189" t="n">
        <v>0.06</v>
      </c>
      <c r="F189">
        <f>A189*1024/(C189*0.000001)/1000000000*C175</f>
        <v/>
      </c>
      <c r="G189">
        <f>E189/F189</f>
        <v/>
      </c>
    </row>
    <row r="190">
      <c r="A190" t="n">
        <v>256</v>
      </c>
      <c r="B190" t="n">
        <v>4103.4</v>
      </c>
      <c r="C190">
        <f>IF(A190*1024/(C170*C173)&lt;C179,C177,C178)+A190*1024*C176</f>
        <v/>
      </c>
      <c r="D190">
        <f>B190/C190</f>
        <v/>
      </c>
      <c r="E190" t="n">
        <v>0.13</v>
      </c>
      <c r="F190">
        <f>A190*1024/(C190*0.000001)/1000000000*C175</f>
        <v/>
      </c>
      <c r="G190">
        <f>E190/F190</f>
        <v/>
      </c>
    </row>
    <row r="191">
      <c r="A191" t="n">
        <v>512</v>
      </c>
      <c r="B191" t="n">
        <v>4314.28</v>
      </c>
      <c r="C191">
        <f>IF(A191*1024/(C170*C173)&lt;C179,C177,C178)+A191*1024*C176</f>
        <v/>
      </c>
      <c r="D191">
        <f>B191/C191</f>
        <v/>
      </c>
      <c r="E191" t="n">
        <v>0.24</v>
      </c>
      <c r="F191">
        <f>A191*1024/(C191*0.000001)/1000000000*C175</f>
        <v/>
      </c>
      <c r="G191">
        <f>E191/F191</f>
        <v/>
      </c>
    </row>
    <row r="192">
      <c r="A192" t="n">
        <v>1024</v>
      </c>
      <c r="B192" t="n">
        <v>4294.63</v>
      </c>
      <c r="C192">
        <f>IF(A192*1024/(C170*C173)&lt;C179,C177,C178)+A192*1024*C176</f>
        <v/>
      </c>
      <c r="D192">
        <f>B192/C192</f>
        <v/>
      </c>
      <c r="E192" t="n">
        <v>0.48</v>
      </c>
      <c r="F192">
        <f>A192*1024/(C192*0.000001)/1000000000*C175</f>
        <v/>
      </c>
      <c r="G192">
        <f>E192/F192</f>
        <v/>
      </c>
    </row>
    <row r="193">
      <c r="A193" t="n">
        <v>2048</v>
      </c>
      <c r="B193" t="n">
        <v>4290.99</v>
      </c>
      <c r="C193">
        <f>IF(A193*1024/(C170*C173)&lt;C179,C177,C178)+A193*1024*C176</f>
        <v/>
      </c>
      <c r="D193">
        <f>B193/C193</f>
        <v/>
      </c>
      <c r="E193" t="n">
        <v>0.97</v>
      </c>
      <c r="F193">
        <f>A193*1024/(C193*0.000001)/1000000000*C175</f>
        <v/>
      </c>
      <c r="G193">
        <f>E193/F193</f>
        <v/>
      </c>
    </row>
    <row r="194">
      <c r="A194" t="n">
        <v>4096</v>
      </c>
      <c r="B194" t="n">
        <v>4342.96</v>
      </c>
      <c r="C194">
        <f>IF(A194*1024/(C170*C173)&lt;C179,C177,C178)+A194*1024*C176</f>
        <v/>
      </c>
      <c r="D194">
        <f>B194/C194</f>
        <v/>
      </c>
      <c r="E194" t="n">
        <v>1.92</v>
      </c>
      <c r="F194">
        <f>A194*1024/(C194*0.000001)/1000000000*C175</f>
        <v/>
      </c>
      <c r="G194">
        <f>E194/F194</f>
        <v/>
      </c>
    </row>
    <row r="195">
      <c r="A195" t="n">
        <v>8192</v>
      </c>
      <c r="B195" t="n">
        <v>4435.29</v>
      </c>
      <c r="C195">
        <f>IF(A195*1024/(C170*C173)&lt;C179,C177,C178)+A195*1024*C176</f>
        <v/>
      </c>
      <c r="D195">
        <f>B195/C195</f>
        <v/>
      </c>
      <c r="E195" t="n">
        <v>3.75</v>
      </c>
      <c r="F195">
        <f>A195*1024/(C195*0.000001)/1000000000*C175</f>
        <v/>
      </c>
      <c r="G195">
        <f>E195/F195</f>
        <v/>
      </c>
    </row>
    <row r="196">
      <c r="A196" t="n">
        <v>16384</v>
      </c>
      <c r="B196" t="n">
        <v>4743.82</v>
      </c>
      <c r="C196">
        <f>IF(A196*1024/(C170*C173)&lt;C179,C177,C178)+A196*1024*C176</f>
        <v/>
      </c>
      <c r="D196">
        <f>B196/C196</f>
        <v/>
      </c>
      <c r="E196" t="n">
        <v>7.02</v>
      </c>
      <c r="F196">
        <f>A196*1024/(C196*0.000001)/1000000000*C175</f>
        <v/>
      </c>
      <c r="G196">
        <f>E196/F196</f>
        <v/>
      </c>
    </row>
    <row r="197">
      <c r="A197" t="n">
        <v>32768</v>
      </c>
      <c r="B197" t="n">
        <v>5545.4</v>
      </c>
      <c r="C197">
        <f>IF(A197*1024/(C170*C173)&lt;C179,C177,C178)+A197*1024*C176</f>
        <v/>
      </c>
      <c r="D197">
        <f>B197/C197</f>
        <v/>
      </c>
      <c r="E197" t="n">
        <v>12.01</v>
      </c>
      <c r="F197">
        <f>A197*1024/(C197*0.000001)/1000000000*C175</f>
        <v/>
      </c>
      <c r="G197">
        <f>E197/F197</f>
        <v/>
      </c>
    </row>
    <row r="198">
      <c r="A198" t="n">
        <v>65536</v>
      </c>
      <c r="B198" t="n">
        <v>5918.56</v>
      </c>
      <c r="C198">
        <f>IF(A198*1024/(C170*C173)&lt;C179,C177,C178)+A198*1024*C176</f>
        <v/>
      </c>
      <c r="D198">
        <f>B198/C198</f>
        <v/>
      </c>
      <c r="E198" t="n">
        <v>22.5</v>
      </c>
      <c r="F198">
        <f>A198*1024/(C198*0.000001)/1000000000*C175</f>
        <v/>
      </c>
      <c r="G198">
        <f>E198/F198</f>
        <v/>
      </c>
    </row>
    <row r="199">
      <c r="A199" t="n">
        <v>131072</v>
      </c>
      <c r="B199" t="n">
        <v>6429.39</v>
      </c>
      <c r="C199">
        <f>IF(A199*1024/(C170*C173)&lt;C179,C177,C178)+A199*1024*C176</f>
        <v/>
      </c>
      <c r="D199">
        <f>B199/C199</f>
        <v/>
      </c>
      <c r="E199" t="n">
        <v>41.43</v>
      </c>
      <c r="F199">
        <f>A199*1024/(C199*0.000001)/1000000000*C175</f>
        <v/>
      </c>
      <c r="G199">
        <f>E199/F199</f>
        <v/>
      </c>
    </row>
    <row r="200">
      <c r="A200" t="n">
        <v>262144</v>
      </c>
      <c r="B200" t="n">
        <v>6600.47</v>
      </c>
      <c r="C200">
        <f>IF(A200*1024/(C170*C173)&lt;C179,C177,C178)+A200*1024*C176</f>
        <v/>
      </c>
      <c r="D200">
        <f>B200/C200</f>
        <v/>
      </c>
      <c r="E200" t="n">
        <v>80.7</v>
      </c>
      <c r="F200">
        <f>A200*1024/(C200*0.000001)/1000000000*C175</f>
        <v/>
      </c>
      <c r="G200">
        <f>E200/F200</f>
        <v/>
      </c>
    </row>
    <row r="201">
      <c r="A201" t="n">
        <v>524288</v>
      </c>
      <c r="B201" t="n">
        <v>7756.96</v>
      </c>
      <c r="C201">
        <f>IF(A201*1024/(C170*C173)&lt;C179,C177,C178)+A201*1024*C176</f>
        <v/>
      </c>
      <c r="D201">
        <f>B201/C201</f>
        <v/>
      </c>
      <c r="E201" t="n">
        <v>137.34</v>
      </c>
      <c r="F201">
        <f>A201*1024/(C201*0.000001)/1000000000*C175</f>
        <v/>
      </c>
      <c r="G201">
        <f>E201/F201</f>
        <v/>
      </c>
    </row>
    <row r="202">
      <c r="A202" t="n">
        <v>1048576</v>
      </c>
      <c r="B202" t="n">
        <v>9613.51</v>
      </c>
      <c r="C202">
        <f>IF(A202*1024/(C170*C173)&lt;C179,C177,C178)+A202*1024*C176</f>
        <v/>
      </c>
      <c r="D202">
        <f>B202/C202</f>
        <v/>
      </c>
      <c r="E202" t="n">
        <v>221.64</v>
      </c>
      <c r="F202">
        <f>A202*1024/(C202*0.000001)/1000000000*C175</f>
        <v/>
      </c>
      <c r="G202">
        <f>E202/F202</f>
        <v/>
      </c>
    </row>
    <row r="203">
      <c r="A203" t="n">
        <v>2097152</v>
      </c>
      <c r="B203" t="n">
        <v>14057.7</v>
      </c>
      <c r="C203">
        <f>IF(A203*1024/(C170*C173)&lt;C179,C177,C178)+A203*1024*C176</f>
        <v/>
      </c>
      <c r="D203">
        <f>B203/C203</f>
        <v/>
      </c>
      <c r="E203" t="n">
        <v>303.14</v>
      </c>
      <c r="F203">
        <f>A203*1024/(C203*0.000001)/1000000000*C175</f>
        <v/>
      </c>
      <c r="G203">
        <f>E203/F203</f>
        <v/>
      </c>
    </row>
    <row r="204">
      <c r="A204" t="n">
        <v>4194304</v>
      </c>
      <c r="B204" t="n">
        <v>24123.3</v>
      </c>
      <c r="C204">
        <f>IF(A204*1024/(C170*C173)&lt;C179,C177,C178)+A204*1024*C176</f>
        <v/>
      </c>
      <c r="D204">
        <f>B204/C204</f>
        <v/>
      </c>
      <c r="E204" t="n">
        <v>353.3</v>
      </c>
      <c r="F204">
        <f>A204*1024/(C204*0.000001)/1000000000*C175</f>
        <v/>
      </c>
      <c r="G204">
        <f>E204/F204</f>
        <v/>
      </c>
    </row>
    <row r="205"/>
    <row r="206">
      <c r="A206" t="inlineStr">
        <is>
          <t>Nodes: 16, Protocol: LL, Channels: 1</t>
        </is>
      </c>
    </row>
    <row r="207">
      <c r="A207" t="inlineStr">
        <is>
          <t>Parameter</t>
        </is>
      </c>
      <c r="B207" t="inlineStr">
        <is>
          <t>Formula</t>
        </is>
      </c>
      <c r="C207" t="inlineStr">
        <is>
          <t>Value</t>
        </is>
      </c>
    </row>
    <row r="208">
      <c r="A208" t="inlineStr">
        <is>
          <t>N</t>
        </is>
      </c>
      <c r="B208" t="inlineStr">
        <is>
          <t>nodes</t>
        </is>
      </c>
      <c r="C208" t="n">
        <v>16</v>
      </c>
    </row>
    <row r="209">
      <c r="A209" t="inlineStr">
        <is>
          <t>n</t>
        </is>
      </c>
      <c r="B209" t="inlineStr">
        <is>
          <t>GPUs/node</t>
        </is>
      </c>
      <c r="C209" t="n">
        <v>8</v>
      </c>
    </row>
    <row r="210">
      <c r="A210" t="inlineStr">
        <is>
          <t>n_total</t>
        </is>
      </c>
      <c r="B210" t="inlineStr">
        <is>
          <t>N*n</t>
        </is>
      </c>
      <c r="C210" t="n">
        <v>128</v>
      </c>
    </row>
    <row r="211">
      <c r="A211" t="inlineStr">
        <is>
          <t>nch_raw</t>
        </is>
      </c>
      <c r="B211" t="inlineStr">
        <is>
          <t>raw channels</t>
        </is>
      </c>
      <c r="C211" t="n">
        <v>1</v>
      </c>
    </row>
    <row r="212">
      <c r="A212" t="inlineStr">
        <is>
          <t>nch</t>
        </is>
      </c>
      <c r="B212" t="inlineStr">
        <is>
          <t>min(nch_raw,8)</t>
        </is>
      </c>
      <c r="C212" t="n">
        <v>1</v>
      </c>
    </row>
    <row r="213">
      <c r="A213" t="inlineStr">
        <is>
          <t>a</t>
        </is>
      </c>
      <c r="B213" t="inlineStr">
        <is>
          <t>RTT (us)</t>
        </is>
      </c>
      <c r="C213" t="n">
        <v>24.92</v>
      </c>
    </row>
    <row r="214">
      <c r="A214" t="inlineStr">
        <is>
          <t>NIC_BW</t>
        </is>
      </c>
      <c r="B214" t="inlineStr">
        <is>
          <t>bytes/us</t>
        </is>
      </c>
      <c r="C214" t="n">
        <v>48750</v>
      </c>
    </row>
    <row r="215">
      <c r="A215" t="inlineStr">
        <is>
          <t>intra_node_latency</t>
        </is>
      </c>
      <c r="B215" t="inlineStr">
        <is>
          <t>us</t>
        </is>
      </c>
      <c r="C215" t="n">
        <v>8.4</v>
      </c>
    </row>
    <row r="216">
      <c r="A216" t="inlineStr">
        <is>
          <t>chunk_size</t>
        </is>
      </c>
      <c r="B216" t="inlineStr">
        <is>
          <t>bytes</t>
        </is>
      </c>
      <c r="C216" t="n">
        <v>32768</v>
      </c>
    </row>
    <row r="217">
      <c r="A217" t="inlineStr">
        <is>
          <t>G_agg</t>
        </is>
      </c>
      <c r="B217" t="inlineStr">
        <is>
          <t>nch*NIC_BW</t>
        </is>
      </c>
      <c r="C217">
        <f>C212*C214</f>
        <v/>
      </c>
    </row>
    <row r="218">
      <c r="A218" t="inlineStr">
        <is>
          <t>G</t>
        </is>
      </c>
      <c r="B218" t="inlineStr">
        <is>
          <t>2*2*(n_total-1)/(n_total*G_agg)</t>
        </is>
      </c>
      <c r="C218">
        <f>2*2*(C210-1)/(C210*C217)</f>
        <v/>
      </c>
    </row>
    <row r="219">
      <c r="A219" t="inlineStr">
        <is>
          <t>busbw_factor</t>
        </is>
      </c>
      <c r="B219" t="inlineStr">
        <is>
          <t>2*(n_total-1)/n_total</t>
        </is>
      </c>
      <c r="C219">
        <f>2*(C210-1)/C210</f>
        <v/>
      </c>
    </row>
    <row r="220">
      <c r="A220" t="inlineStr">
        <is>
          <t>fixed_per_step</t>
        </is>
      </c>
      <c r="B220" t="inlineStr">
        <is>
          <t>(2*N-1)*(a/2+intra)</t>
        </is>
      </c>
      <c r="C220">
        <f>(2*C208-1)*(C213/2+C215)</f>
        <v/>
      </c>
    </row>
    <row r="221"/>
    <row r="222">
      <c r="A222" t="inlineStr">
        <is>
          <t>size_KB</t>
        </is>
      </c>
      <c r="B222" t="inlineStr">
        <is>
          <t>Actual Time (us)</t>
        </is>
      </c>
      <c r="C222" t="inlineStr">
        <is>
          <t>Roofline Time (us)</t>
        </is>
      </c>
      <c r="D222" t="inlineStr">
        <is>
          <t>Actual/Roofline</t>
        </is>
      </c>
      <c r="E222" t="inlineStr">
        <is>
          <t>Actual busBW (GB/s)</t>
        </is>
      </c>
      <c r="F222" t="inlineStr">
        <is>
          <t>Roofline busBW (GB/s)</t>
        </is>
      </c>
      <c r="G222" t="inlineStr">
        <is>
          <t>Meas/Roof busBW</t>
        </is>
      </c>
    </row>
    <row r="223">
      <c r="A223" t="n">
        <v>1</v>
      </c>
      <c r="B223" t="n">
        <v>984.85</v>
      </c>
      <c r="C223">
        <f>C220*CEILING(A223*1024/(C211*C216*C210),1)+A223*1024*C218</f>
        <v/>
      </c>
      <c r="D223">
        <f>B223/C223</f>
        <v/>
      </c>
      <c r="E223" t="n">
        <v>0</v>
      </c>
      <c r="F223">
        <f>A223*1024/(C223*0.000001)/1000000000*C219</f>
        <v/>
      </c>
      <c r="G223">
        <f>E223/F223</f>
        <v/>
      </c>
    </row>
    <row r="224">
      <c r="A224" t="n">
        <v>2</v>
      </c>
      <c r="B224" t="n">
        <v>919.88</v>
      </c>
      <c r="C224">
        <f>C220*CEILING(A224*1024/(C211*C216*C210),1)+A224*1024*C218</f>
        <v/>
      </c>
      <c r="D224">
        <f>B224/C224</f>
        <v/>
      </c>
      <c r="E224" t="n">
        <v>0</v>
      </c>
      <c r="F224">
        <f>A224*1024/(C224*0.000001)/1000000000*C219</f>
        <v/>
      </c>
      <c r="G224">
        <f>E224/F224</f>
        <v/>
      </c>
    </row>
    <row r="225">
      <c r="A225" t="n">
        <v>4</v>
      </c>
      <c r="B225" t="n">
        <v>923.23</v>
      </c>
      <c r="C225">
        <f>C220*CEILING(A225*1024/(C211*C216*C210),1)+A225*1024*C218</f>
        <v/>
      </c>
      <c r="D225">
        <f>B225/C225</f>
        <v/>
      </c>
      <c r="E225" t="n">
        <v>0.01</v>
      </c>
      <c r="F225">
        <f>A225*1024/(C225*0.000001)/1000000000*C219</f>
        <v/>
      </c>
      <c r="G225">
        <f>E225/F225</f>
        <v/>
      </c>
    </row>
    <row r="226">
      <c r="A226" t="n">
        <v>8</v>
      </c>
      <c r="B226" t="n">
        <v>924.89</v>
      </c>
      <c r="C226">
        <f>C220*CEILING(A226*1024/(C211*C216*C210),1)+A226*1024*C218</f>
        <v/>
      </c>
      <c r="D226">
        <f>B226/C226</f>
        <v/>
      </c>
      <c r="E226" t="n">
        <v>0.02</v>
      </c>
      <c r="F226">
        <f>A226*1024/(C226*0.000001)/1000000000*C219</f>
        <v/>
      </c>
      <c r="G226">
        <f>E226/F226</f>
        <v/>
      </c>
    </row>
    <row r="227">
      <c r="A227" t="n">
        <v>16</v>
      </c>
      <c r="B227" t="n">
        <v>926.02</v>
      </c>
      <c r="C227">
        <f>C220*CEILING(A227*1024/(C211*C216*C210),1)+A227*1024*C218</f>
        <v/>
      </c>
      <c r="D227">
        <f>B227/C227</f>
        <v/>
      </c>
      <c r="E227" t="n">
        <v>0.04</v>
      </c>
      <c r="F227">
        <f>A227*1024/(C227*0.000001)/1000000000*C219</f>
        <v/>
      </c>
      <c r="G227">
        <f>E227/F227</f>
        <v/>
      </c>
    </row>
    <row r="228">
      <c r="A228" t="n">
        <v>32</v>
      </c>
      <c r="B228" t="n">
        <v>929.59</v>
      </c>
      <c r="C228">
        <f>C220*CEILING(A228*1024/(C211*C216*C210),1)+A228*1024*C218</f>
        <v/>
      </c>
      <c r="D228">
        <f>B228/C228</f>
        <v/>
      </c>
      <c r="E228" t="n">
        <v>0.07000000000000001</v>
      </c>
      <c r="F228">
        <f>A228*1024/(C228*0.000001)/1000000000*C219</f>
        <v/>
      </c>
      <c r="G228">
        <f>E228/F228</f>
        <v/>
      </c>
    </row>
    <row r="229">
      <c r="A229" t="n">
        <v>64</v>
      </c>
      <c r="B229" t="n">
        <v>935.96</v>
      </c>
      <c r="C229">
        <f>C220*CEILING(A229*1024/(C211*C216*C210),1)+A229*1024*C218</f>
        <v/>
      </c>
      <c r="D229">
        <f>B229/C229</f>
        <v/>
      </c>
      <c r="E229" t="n">
        <v>0.14</v>
      </c>
      <c r="F229">
        <f>A229*1024/(C229*0.000001)/1000000000*C219</f>
        <v/>
      </c>
      <c r="G229">
        <f>E229/F229</f>
        <v/>
      </c>
    </row>
    <row r="230">
      <c r="A230" t="n">
        <v>128</v>
      </c>
      <c r="B230" t="n">
        <v>947.21</v>
      </c>
      <c r="C230">
        <f>C220*CEILING(A230*1024/(C211*C216*C210),1)+A230*1024*C218</f>
        <v/>
      </c>
      <c r="D230">
        <f>B230/C230</f>
        <v/>
      </c>
      <c r="E230" t="n">
        <v>0.27</v>
      </c>
      <c r="F230">
        <f>A230*1024/(C230*0.000001)/1000000000*C219</f>
        <v/>
      </c>
      <c r="G230">
        <f>E230/F230</f>
        <v/>
      </c>
    </row>
    <row r="231">
      <c r="A231" t="n">
        <v>256</v>
      </c>
      <c r="B231" t="n">
        <v>977.48</v>
      </c>
      <c r="C231">
        <f>C220*CEILING(A231*1024/(C211*C216*C210),1)+A231*1024*C218</f>
        <v/>
      </c>
      <c r="D231">
        <f>B231/C231</f>
        <v/>
      </c>
      <c r="E231" t="n">
        <v>0.53</v>
      </c>
      <c r="F231">
        <f>A231*1024/(C231*0.000001)/1000000000*C219</f>
        <v/>
      </c>
      <c r="G231">
        <f>E231/F231</f>
        <v/>
      </c>
    </row>
    <row r="232">
      <c r="A232" t="n">
        <v>512</v>
      </c>
      <c r="B232" t="n">
        <v>1054</v>
      </c>
      <c r="C232">
        <f>C220*CEILING(A232*1024/(C211*C216*C210),1)+A232*1024*C218</f>
        <v/>
      </c>
      <c r="D232">
        <f>B232/C232</f>
        <v/>
      </c>
      <c r="E232" t="n">
        <v>0.99</v>
      </c>
      <c r="F232">
        <f>A232*1024/(C232*0.000001)/1000000000*C219</f>
        <v/>
      </c>
      <c r="G232">
        <f>E232/F232</f>
        <v/>
      </c>
    </row>
    <row r="233">
      <c r="A233" t="n">
        <v>1024</v>
      </c>
      <c r="B233" t="n">
        <v>1164.89</v>
      </c>
      <c r="C233">
        <f>C220*CEILING(A233*1024/(C211*C216*C210),1)+A233*1024*C218</f>
        <v/>
      </c>
      <c r="D233">
        <f>B233/C233</f>
        <v/>
      </c>
      <c r="E233" t="n">
        <v>1.79</v>
      </c>
      <c r="F233">
        <f>A233*1024/(C233*0.000001)/1000000000*C219</f>
        <v/>
      </c>
      <c r="G233">
        <f>E233/F233</f>
        <v/>
      </c>
    </row>
    <row r="234">
      <c r="A234" t="n">
        <v>2048</v>
      </c>
      <c r="B234" t="n">
        <v>1335.33</v>
      </c>
      <c r="C234">
        <f>C220*CEILING(A234*1024/(C211*C216*C210),1)+A234*1024*C218</f>
        <v/>
      </c>
      <c r="D234">
        <f>B234/C234</f>
        <v/>
      </c>
      <c r="E234" t="n">
        <v>3.12</v>
      </c>
      <c r="F234">
        <f>A234*1024/(C234*0.000001)/1000000000*C219</f>
        <v/>
      </c>
      <c r="G234">
        <f>E234/F234</f>
        <v/>
      </c>
    </row>
    <row r="235">
      <c r="A235" t="n">
        <v>4096</v>
      </c>
      <c r="B235" t="n">
        <v>1716.86</v>
      </c>
      <c r="C235">
        <f>C220*CEILING(A235*1024/(C211*C216*C210),1)+A235*1024*C218</f>
        <v/>
      </c>
      <c r="D235">
        <f>B235/C235</f>
        <v/>
      </c>
      <c r="E235" t="n">
        <v>4.85</v>
      </c>
      <c r="F235">
        <f>A235*1024/(C235*0.000001)/1000000000*C219</f>
        <v/>
      </c>
      <c r="G235">
        <f>E235/F235</f>
        <v/>
      </c>
    </row>
    <row r="236">
      <c r="A236" t="n">
        <v>8192</v>
      </c>
      <c r="B236" t="n">
        <v>3381.34</v>
      </c>
      <c r="C236">
        <f>C220*CEILING(A236*1024/(C211*C216*C210),1)+A236*1024*C218</f>
        <v/>
      </c>
      <c r="D236">
        <f>B236/C236</f>
        <v/>
      </c>
      <c r="E236" t="n">
        <v>4.92</v>
      </c>
      <c r="F236">
        <f>A236*1024/(C236*0.000001)/1000000000*C219</f>
        <v/>
      </c>
      <c r="G236">
        <f>E236/F236</f>
        <v/>
      </c>
    </row>
    <row r="237">
      <c r="A237" t="n">
        <v>16384</v>
      </c>
      <c r="B237" t="n">
        <v>6737.29</v>
      </c>
      <c r="C237">
        <f>C220*CEILING(A237*1024/(C211*C216*C210),1)+A237*1024*C218</f>
        <v/>
      </c>
      <c r="D237">
        <f>B237/C237</f>
        <v/>
      </c>
      <c r="E237" t="n">
        <v>4.94</v>
      </c>
      <c r="F237">
        <f>A237*1024/(C237*0.000001)/1000000000*C219</f>
        <v/>
      </c>
      <c r="G237">
        <f>E237/F237</f>
        <v/>
      </c>
    </row>
    <row r="238">
      <c r="A238" t="n">
        <v>32768</v>
      </c>
      <c r="B238" t="n">
        <v>13458.8</v>
      </c>
      <c r="C238">
        <f>C220*CEILING(A238*1024/(C211*C216*C210),1)+A238*1024*C218</f>
        <v/>
      </c>
      <c r="D238">
        <f>B238/C238</f>
        <v/>
      </c>
      <c r="E238" t="n">
        <v>4.95</v>
      </c>
      <c r="F238">
        <f>A238*1024/(C238*0.000001)/1000000000*C219</f>
        <v/>
      </c>
      <c r="G238">
        <f>E238/F238</f>
        <v/>
      </c>
    </row>
    <row r="239">
      <c r="A239" t="n">
        <v>65536</v>
      </c>
      <c r="B239" t="n">
        <v>26924.8</v>
      </c>
      <c r="C239">
        <f>C220*CEILING(A239*1024/(C211*C216*C210),1)+A239*1024*C218</f>
        <v/>
      </c>
      <c r="D239">
        <f>B239/C239</f>
        <v/>
      </c>
      <c r="E239" t="n">
        <v>4.95</v>
      </c>
      <c r="F239">
        <f>A239*1024/(C239*0.000001)/1000000000*C219</f>
        <v/>
      </c>
      <c r="G239">
        <f>E239/F239</f>
        <v/>
      </c>
    </row>
    <row r="240">
      <c r="A240" t="n">
        <v>131072</v>
      </c>
      <c r="B240" t="n">
        <v>53774</v>
      </c>
      <c r="C240">
        <f>C220*CEILING(A240*1024/(C211*C216*C210),1)+A240*1024*C218</f>
        <v/>
      </c>
      <c r="D240">
        <f>B240/C240</f>
        <v/>
      </c>
      <c r="E240" t="n">
        <v>4.95</v>
      </c>
      <c r="F240">
        <f>A240*1024/(C240*0.000001)/1000000000*C219</f>
        <v/>
      </c>
      <c r="G240">
        <f>E240/F240</f>
        <v/>
      </c>
    </row>
    <row r="241">
      <c r="A241" t="n">
        <v>262144</v>
      </c>
      <c r="B241" t="n">
        <v>107534</v>
      </c>
      <c r="C241">
        <f>C220*CEILING(A241*1024/(C211*C216*C210),1)+A241*1024*C218</f>
        <v/>
      </c>
      <c r="D241">
        <f>B241/C241</f>
        <v/>
      </c>
      <c r="E241" t="n">
        <v>4.95</v>
      </c>
      <c r="F241">
        <f>A241*1024/(C241*0.000001)/1000000000*C219</f>
        <v/>
      </c>
      <c r="G241">
        <f>E241/F241</f>
        <v/>
      </c>
    </row>
    <row r="242">
      <c r="A242" t="n">
        <v>524288</v>
      </c>
      <c r="B242" t="n">
        <v>215182</v>
      </c>
      <c r="C242">
        <f>C220*CEILING(A242*1024/(C211*C216*C210),1)+A242*1024*C218</f>
        <v/>
      </c>
      <c r="D242">
        <f>B242/C242</f>
        <v/>
      </c>
      <c r="E242" t="n">
        <v>4.95</v>
      </c>
      <c r="F242">
        <f>A242*1024/(C242*0.000001)/1000000000*C219</f>
        <v/>
      </c>
      <c r="G242">
        <f>E242/F242</f>
        <v/>
      </c>
    </row>
    <row r="243">
      <c r="A243" t="n">
        <v>1048576</v>
      </c>
      <c r="B243" t="n">
        <v>430444</v>
      </c>
      <c r="C243">
        <f>C220*CEILING(A243*1024/(C211*C216*C210),1)+A243*1024*C218</f>
        <v/>
      </c>
      <c r="D243">
        <f>B243/C243</f>
        <v/>
      </c>
      <c r="E243" t="n">
        <v>4.95</v>
      </c>
      <c r="F243">
        <f>A243*1024/(C243*0.000001)/1000000000*C219</f>
        <v/>
      </c>
      <c r="G243">
        <f>E243/F243</f>
        <v/>
      </c>
    </row>
    <row r="244"/>
    <row r="245">
      <c r="A245" t="inlineStr">
        <is>
          <t>Nodes: 16, Protocol: LL, Channels: 2</t>
        </is>
      </c>
    </row>
    <row r="246">
      <c r="A246" t="inlineStr">
        <is>
          <t>Parameter</t>
        </is>
      </c>
      <c r="B246" t="inlineStr">
        <is>
          <t>Formula</t>
        </is>
      </c>
      <c r="C246" t="inlineStr">
        <is>
          <t>Value</t>
        </is>
      </c>
    </row>
    <row r="247">
      <c r="A247" t="inlineStr">
        <is>
          <t>N</t>
        </is>
      </c>
      <c r="B247" t="inlineStr">
        <is>
          <t>nodes</t>
        </is>
      </c>
      <c r="C247" t="n">
        <v>16</v>
      </c>
    </row>
    <row r="248">
      <c r="A248" t="inlineStr">
        <is>
          <t>n</t>
        </is>
      </c>
      <c r="B248" t="inlineStr">
        <is>
          <t>GPUs/node</t>
        </is>
      </c>
      <c r="C248" t="n">
        <v>8</v>
      </c>
    </row>
    <row r="249">
      <c r="A249" t="inlineStr">
        <is>
          <t>n_total</t>
        </is>
      </c>
      <c r="B249" t="inlineStr">
        <is>
          <t>N*n</t>
        </is>
      </c>
      <c r="C249" t="n">
        <v>128</v>
      </c>
    </row>
    <row r="250">
      <c r="A250" t="inlineStr">
        <is>
          <t>nch_raw</t>
        </is>
      </c>
      <c r="B250" t="inlineStr">
        <is>
          <t>raw channels</t>
        </is>
      </c>
      <c r="C250" t="n">
        <v>2</v>
      </c>
    </row>
    <row r="251">
      <c r="A251" t="inlineStr">
        <is>
          <t>nch</t>
        </is>
      </c>
      <c r="B251" t="inlineStr">
        <is>
          <t>min(nch_raw,8)</t>
        </is>
      </c>
      <c r="C251" t="n">
        <v>2</v>
      </c>
    </row>
    <row r="252">
      <c r="A252" t="inlineStr">
        <is>
          <t>a</t>
        </is>
      </c>
      <c r="B252" t="inlineStr">
        <is>
          <t>RTT (us)</t>
        </is>
      </c>
      <c r="C252" t="n">
        <v>24.92</v>
      </c>
    </row>
    <row r="253">
      <c r="A253" t="inlineStr">
        <is>
          <t>NIC_BW</t>
        </is>
      </c>
      <c r="B253" t="inlineStr">
        <is>
          <t>bytes/us</t>
        </is>
      </c>
      <c r="C253" t="n">
        <v>48750</v>
      </c>
    </row>
    <row r="254">
      <c r="A254" t="inlineStr">
        <is>
          <t>intra_node_latency</t>
        </is>
      </c>
      <c r="B254" t="inlineStr">
        <is>
          <t>us</t>
        </is>
      </c>
      <c r="C254" t="n">
        <v>8.4</v>
      </c>
    </row>
    <row r="255">
      <c r="A255" t="inlineStr">
        <is>
          <t>chunk_size</t>
        </is>
      </c>
      <c r="B255" t="inlineStr">
        <is>
          <t>bytes</t>
        </is>
      </c>
      <c r="C255" t="n">
        <v>32768</v>
      </c>
    </row>
    <row r="256">
      <c r="A256" t="inlineStr">
        <is>
          <t>G_agg</t>
        </is>
      </c>
      <c r="B256" t="inlineStr">
        <is>
          <t>nch*NIC_BW</t>
        </is>
      </c>
      <c r="C256">
        <f>C251*C253</f>
        <v/>
      </c>
    </row>
    <row r="257">
      <c r="A257" t="inlineStr">
        <is>
          <t>G</t>
        </is>
      </c>
      <c r="B257" t="inlineStr">
        <is>
          <t>2*2*(n_total-1)/(n_total*G_agg)</t>
        </is>
      </c>
      <c r="C257">
        <f>2*2*(C249-1)/(C249*C256)</f>
        <v/>
      </c>
    </row>
    <row r="258">
      <c r="A258" t="inlineStr">
        <is>
          <t>busbw_factor</t>
        </is>
      </c>
      <c r="B258" t="inlineStr">
        <is>
          <t>2*(n_total-1)/n_total</t>
        </is>
      </c>
      <c r="C258">
        <f>2*(C249-1)/C249</f>
        <v/>
      </c>
    </row>
    <row r="259">
      <c r="A259" t="inlineStr">
        <is>
          <t>fixed_per_step</t>
        </is>
      </c>
      <c r="B259" t="inlineStr">
        <is>
          <t>(2*N-1)*(a/2+intra)</t>
        </is>
      </c>
      <c r="C259">
        <f>(2*C247-1)*(C252/2+C254)</f>
        <v/>
      </c>
    </row>
    <row r="260"/>
    <row r="261">
      <c r="A261" t="inlineStr">
        <is>
          <t>size_KB</t>
        </is>
      </c>
      <c r="B261" t="inlineStr">
        <is>
          <t>Actual Time (us)</t>
        </is>
      </c>
      <c r="C261" t="inlineStr">
        <is>
          <t>Roofline Time (us)</t>
        </is>
      </c>
      <c r="D261" t="inlineStr">
        <is>
          <t>Actual/Roofline</t>
        </is>
      </c>
      <c r="E261" t="inlineStr">
        <is>
          <t>Actual busBW (GB/s)</t>
        </is>
      </c>
      <c r="F261" t="inlineStr">
        <is>
          <t>Roofline busBW (GB/s)</t>
        </is>
      </c>
      <c r="G261" t="inlineStr">
        <is>
          <t>Meas/Roof busBW</t>
        </is>
      </c>
    </row>
    <row r="262">
      <c r="A262" t="n">
        <v>1</v>
      </c>
      <c r="B262" t="n">
        <v>921.6799999999999</v>
      </c>
      <c r="C262">
        <f>C259*CEILING(A262*1024/(C250*C255*C249),1)+A262*1024*C257</f>
        <v/>
      </c>
      <c r="D262">
        <f>B262/C262</f>
        <v/>
      </c>
      <c r="E262" t="n">
        <v>0</v>
      </c>
      <c r="F262">
        <f>A262*1024/(C262*0.000001)/1000000000*C258</f>
        <v/>
      </c>
      <c r="G262">
        <f>E262/F262</f>
        <v/>
      </c>
    </row>
    <row r="263">
      <c r="A263" t="n">
        <v>2</v>
      </c>
      <c r="B263" t="n">
        <v>1000.02</v>
      </c>
      <c r="C263">
        <f>C259*CEILING(A263*1024/(C250*C255*C249),1)+A263*1024*C257</f>
        <v/>
      </c>
      <c r="D263">
        <f>B263/C263</f>
        <v/>
      </c>
      <c r="E263" t="n">
        <v>0</v>
      </c>
      <c r="F263">
        <f>A263*1024/(C263*0.000001)/1000000000*C258</f>
        <v/>
      </c>
      <c r="G263">
        <f>E263/F263</f>
        <v/>
      </c>
    </row>
    <row r="264">
      <c r="A264" t="n">
        <v>4</v>
      </c>
      <c r="B264" t="n">
        <v>922.3099999999999</v>
      </c>
      <c r="C264">
        <f>C259*CEILING(A264*1024/(C250*C255*C249),1)+A264*1024*C257</f>
        <v/>
      </c>
      <c r="D264">
        <f>B264/C264</f>
        <v/>
      </c>
      <c r="E264" t="n">
        <v>0.01</v>
      </c>
      <c r="F264">
        <f>A264*1024/(C264*0.000001)/1000000000*C258</f>
        <v/>
      </c>
      <c r="G264">
        <f>E264/F264</f>
        <v/>
      </c>
    </row>
    <row r="265">
      <c r="A265" t="n">
        <v>8</v>
      </c>
      <c r="B265" t="n">
        <v>924.11</v>
      </c>
      <c r="C265">
        <f>C259*CEILING(A265*1024/(C250*C255*C249),1)+A265*1024*C257</f>
        <v/>
      </c>
      <c r="D265">
        <f>B265/C265</f>
        <v/>
      </c>
      <c r="E265" t="n">
        <v>0.02</v>
      </c>
      <c r="F265">
        <f>A265*1024/(C265*0.000001)/1000000000*C258</f>
        <v/>
      </c>
      <c r="G265">
        <f>E265/F265</f>
        <v/>
      </c>
    </row>
    <row r="266">
      <c r="A266" t="n">
        <v>16</v>
      </c>
      <c r="B266" t="n">
        <v>925.15</v>
      </c>
      <c r="C266">
        <f>C259*CEILING(A266*1024/(C250*C255*C249),1)+A266*1024*C257</f>
        <v/>
      </c>
      <c r="D266">
        <f>B266/C266</f>
        <v/>
      </c>
      <c r="E266" t="n">
        <v>0.04</v>
      </c>
      <c r="F266">
        <f>A266*1024/(C266*0.000001)/1000000000*C258</f>
        <v/>
      </c>
      <c r="G266">
        <f>E266/F266</f>
        <v/>
      </c>
    </row>
    <row r="267">
      <c r="A267" t="n">
        <v>32</v>
      </c>
      <c r="B267" t="n">
        <v>928.61</v>
      </c>
      <c r="C267">
        <f>C259*CEILING(A267*1024/(C250*C255*C249),1)+A267*1024*C257</f>
        <v/>
      </c>
      <c r="D267">
        <f>B267/C267</f>
        <v/>
      </c>
      <c r="E267" t="n">
        <v>0.07000000000000001</v>
      </c>
      <c r="F267">
        <f>A267*1024/(C267*0.000001)/1000000000*C258</f>
        <v/>
      </c>
      <c r="G267">
        <f>E267/F267</f>
        <v/>
      </c>
    </row>
    <row r="268">
      <c r="A268" t="n">
        <v>64</v>
      </c>
      <c r="B268" t="n">
        <v>1012.16</v>
      </c>
      <c r="C268">
        <f>C259*CEILING(A268*1024/(C250*C255*C249),1)+A268*1024*C257</f>
        <v/>
      </c>
      <c r="D268">
        <f>B268/C268</f>
        <v/>
      </c>
      <c r="E268" t="n">
        <v>0.13</v>
      </c>
      <c r="F268">
        <f>A268*1024/(C268*0.000001)/1000000000*C258</f>
        <v/>
      </c>
      <c r="G268">
        <f>E268/F268</f>
        <v/>
      </c>
    </row>
    <row r="269">
      <c r="A269" t="n">
        <v>128</v>
      </c>
      <c r="B269" t="n">
        <v>943.53</v>
      </c>
      <c r="C269">
        <f>C259*CEILING(A269*1024/(C250*C255*C249),1)+A269*1024*C257</f>
        <v/>
      </c>
      <c r="D269">
        <f>B269/C269</f>
        <v/>
      </c>
      <c r="E269" t="n">
        <v>0.28</v>
      </c>
      <c r="F269">
        <f>A269*1024/(C269*0.000001)/1000000000*C258</f>
        <v/>
      </c>
      <c r="G269">
        <f>E269/F269</f>
        <v/>
      </c>
    </row>
    <row r="270">
      <c r="A270" t="n">
        <v>256</v>
      </c>
      <c r="B270" t="n">
        <v>978.15</v>
      </c>
      <c r="C270">
        <f>C259*CEILING(A270*1024/(C250*C255*C249),1)+A270*1024*C257</f>
        <v/>
      </c>
      <c r="D270">
        <f>B270/C270</f>
        <v/>
      </c>
      <c r="E270" t="n">
        <v>0.53</v>
      </c>
      <c r="F270">
        <f>A270*1024/(C270*0.000001)/1000000000*C258</f>
        <v/>
      </c>
      <c r="G270">
        <f>E270/F270</f>
        <v/>
      </c>
    </row>
    <row r="271">
      <c r="A271" t="n">
        <v>512</v>
      </c>
      <c r="B271" t="n">
        <v>1053.66</v>
      </c>
      <c r="C271">
        <f>C259*CEILING(A271*1024/(C250*C255*C249),1)+A271*1024*C257</f>
        <v/>
      </c>
      <c r="D271">
        <f>B271/C271</f>
        <v/>
      </c>
      <c r="E271" t="n">
        <v>0.99</v>
      </c>
      <c r="F271">
        <f>A271*1024/(C271*0.000001)/1000000000*C258</f>
        <v/>
      </c>
      <c r="G271">
        <f>E271/F271</f>
        <v/>
      </c>
    </row>
    <row r="272">
      <c r="A272" t="n">
        <v>1024</v>
      </c>
      <c r="B272" t="n">
        <v>1088.04</v>
      </c>
      <c r="C272">
        <f>C259*CEILING(A272*1024/(C250*C255*C249),1)+A272*1024*C257</f>
        <v/>
      </c>
      <c r="D272">
        <f>B272/C272</f>
        <v/>
      </c>
      <c r="E272" t="n">
        <v>1.91</v>
      </c>
      <c r="F272">
        <f>A272*1024/(C272*0.000001)/1000000000*C258</f>
        <v/>
      </c>
      <c r="G272">
        <f>E272/F272</f>
        <v/>
      </c>
    </row>
    <row r="273">
      <c r="A273" t="n">
        <v>2048</v>
      </c>
      <c r="B273" t="n">
        <v>1279.97</v>
      </c>
      <c r="C273">
        <f>C259*CEILING(A273*1024/(C250*C255*C249),1)+A273*1024*C257</f>
        <v/>
      </c>
      <c r="D273">
        <f>B273/C273</f>
        <v/>
      </c>
      <c r="E273" t="n">
        <v>3.25</v>
      </c>
      <c r="F273">
        <f>A273*1024/(C273*0.000001)/1000000000*C258</f>
        <v/>
      </c>
      <c r="G273">
        <f>E273/F273</f>
        <v/>
      </c>
    </row>
    <row r="274">
      <c r="A274" t="n">
        <v>4096</v>
      </c>
      <c r="B274" t="n">
        <v>1523.49</v>
      </c>
      <c r="C274">
        <f>C259*CEILING(A274*1024/(C250*C255*C249),1)+A274*1024*C257</f>
        <v/>
      </c>
      <c r="D274">
        <f>B274/C274</f>
        <v/>
      </c>
      <c r="E274" t="n">
        <v>5.46</v>
      </c>
      <c r="F274">
        <f>A274*1024/(C274*0.000001)/1000000000*C258</f>
        <v/>
      </c>
      <c r="G274">
        <f>E274/F274</f>
        <v/>
      </c>
    </row>
    <row r="275">
      <c r="A275" t="n">
        <v>8192</v>
      </c>
      <c r="B275" t="n">
        <v>2008.36</v>
      </c>
      <c r="C275">
        <f>C259*CEILING(A275*1024/(C250*C255*C249),1)+A275*1024*C257</f>
        <v/>
      </c>
      <c r="D275">
        <f>B275/C275</f>
        <v/>
      </c>
      <c r="E275" t="n">
        <v>8.289999999999999</v>
      </c>
      <c r="F275">
        <f>A275*1024/(C275*0.000001)/1000000000*C258</f>
        <v/>
      </c>
      <c r="G275">
        <f>E275/F275</f>
        <v/>
      </c>
    </row>
    <row r="276">
      <c r="A276" t="n">
        <v>16384</v>
      </c>
      <c r="B276" t="n">
        <v>4012.42</v>
      </c>
      <c r="C276">
        <f>C259*CEILING(A276*1024/(C250*C255*C249),1)+A276*1024*C257</f>
        <v/>
      </c>
      <c r="D276">
        <f>B276/C276</f>
        <v/>
      </c>
      <c r="E276" t="n">
        <v>8.300000000000001</v>
      </c>
      <c r="F276">
        <f>A276*1024/(C276*0.000001)/1000000000*C258</f>
        <v/>
      </c>
      <c r="G276">
        <f>E276/F276</f>
        <v/>
      </c>
    </row>
    <row r="277">
      <c r="A277" t="n">
        <v>32768</v>
      </c>
      <c r="B277" t="n">
        <v>8048.57</v>
      </c>
      <c r="C277">
        <f>C259*CEILING(A277*1024/(C250*C255*C249),1)+A277*1024*C257</f>
        <v/>
      </c>
      <c r="D277">
        <f>B277/C277</f>
        <v/>
      </c>
      <c r="E277" t="n">
        <v>8.27</v>
      </c>
      <c r="F277">
        <f>A277*1024/(C277*0.000001)/1000000000*C258</f>
        <v/>
      </c>
      <c r="G277">
        <f>E277/F277</f>
        <v/>
      </c>
    </row>
    <row r="278">
      <c r="A278" t="n">
        <v>65536</v>
      </c>
      <c r="B278" t="n">
        <v>16063.5</v>
      </c>
      <c r="C278">
        <f>C259*CEILING(A278*1024/(C250*C255*C249),1)+A278*1024*C257</f>
        <v/>
      </c>
      <c r="D278">
        <f>B278/C278</f>
        <v/>
      </c>
      <c r="E278" t="n">
        <v>8.289999999999999</v>
      </c>
      <c r="F278">
        <f>A278*1024/(C278*0.000001)/1000000000*C258</f>
        <v/>
      </c>
      <c r="G278">
        <f>E278/F278</f>
        <v/>
      </c>
    </row>
    <row r="279">
      <c r="A279" t="n">
        <v>131072</v>
      </c>
      <c r="B279" t="n">
        <v>32132.6</v>
      </c>
      <c r="C279">
        <f>C259*CEILING(A279*1024/(C250*C255*C249),1)+A279*1024*C257</f>
        <v/>
      </c>
      <c r="D279">
        <f>B279/C279</f>
        <v/>
      </c>
      <c r="E279" t="n">
        <v>8.289999999999999</v>
      </c>
      <c r="F279">
        <f>A279*1024/(C279*0.000001)/1000000000*C258</f>
        <v/>
      </c>
      <c r="G279">
        <f>E279/F279</f>
        <v/>
      </c>
    </row>
    <row r="280">
      <c r="A280" t="n">
        <v>262144</v>
      </c>
      <c r="B280" t="n">
        <v>64247.9</v>
      </c>
      <c r="C280">
        <f>C259*CEILING(A280*1024/(C250*C255*C249),1)+A280*1024*C257</f>
        <v/>
      </c>
      <c r="D280">
        <f>B280/C280</f>
        <v/>
      </c>
      <c r="E280" t="n">
        <v>8.289999999999999</v>
      </c>
      <c r="F280">
        <f>A280*1024/(C280*0.000001)/1000000000*C258</f>
        <v/>
      </c>
      <c r="G280">
        <f>E280/F280</f>
        <v/>
      </c>
    </row>
    <row r="281">
      <c r="A281" t="n">
        <v>524288</v>
      </c>
      <c r="B281" t="n">
        <v>129270</v>
      </c>
      <c r="C281">
        <f>C259*CEILING(A281*1024/(C250*C255*C249),1)+A281*1024*C257</f>
        <v/>
      </c>
      <c r="D281">
        <f>B281/C281</f>
        <v/>
      </c>
      <c r="E281" t="n">
        <v>8.24</v>
      </c>
      <c r="F281">
        <f>A281*1024/(C281*0.000001)/1000000000*C258</f>
        <v/>
      </c>
      <c r="G281">
        <f>E281/F281</f>
        <v/>
      </c>
    </row>
    <row r="282">
      <c r="A282" t="n">
        <v>1048576</v>
      </c>
      <c r="B282" t="n">
        <v>257242</v>
      </c>
      <c r="C282">
        <f>C259*CEILING(A282*1024/(C250*C255*C249),1)+A282*1024*C257</f>
        <v/>
      </c>
      <c r="D282">
        <f>B282/C282</f>
        <v/>
      </c>
      <c r="E282" t="n">
        <v>8.279999999999999</v>
      </c>
      <c r="F282">
        <f>A282*1024/(C282*0.000001)/1000000000*C258</f>
        <v/>
      </c>
      <c r="G282">
        <f>E282/F282</f>
        <v/>
      </c>
    </row>
    <row r="283"/>
    <row r="284">
      <c r="A284" t="inlineStr">
        <is>
          <t>Nodes: 16, Protocol: LL, Channels: 4</t>
        </is>
      </c>
    </row>
    <row r="285">
      <c r="A285" t="inlineStr">
        <is>
          <t>Parameter</t>
        </is>
      </c>
      <c r="B285" t="inlineStr">
        <is>
          <t>Formula</t>
        </is>
      </c>
      <c r="C285" t="inlineStr">
        <is>
          <t>Value</t>
        </is>
      </c>
    </row>
    <row r="286">
      <c r="A286" t="inlineStr">
        <is>
          <t>N</t>
        </is>
      </c>
      <c r="B286" t="inlineStr">
        <is>
          <t>nodes</t>
        </is>
      </c>
      <c r="C286" t="n">
        <v>16</v>
      </c>
    </row>
    <row r="287">
      <c r="A287" t="inlineStr">
        <is>
          <t>n</t>
        </is>
      </c>
      <c r="B287" t="inlineStr">
        <is>
          <t>GPUs/node</t>
        </is>
      </c>
      <c r="C287" t="n">
        <v>8</v>
      </c>
    </row>
    <row r="288">
      <c r="A288" t="inlineStr">
        <is>
          <t>n_total</t>
        </is>
      </c>
      <c r="B288" t="inlineStr">
        <is>
          <t>N*n</t>
        </is>
      </c>
      <c r="C288" t="n">
        <v>128</v>
      </c>
    </row>
    <row r="289">
      <c r="A289" t="inlineStr">
        <is>
          <t>nch_raw</t>
        </is>
      </c>
      <c r="B289" t="inlineStr">
        <is>
          <t>raw channels</t>
        </is>
      </c>
      <c r="C289" t="n">
        <v>4</v>
      </c>
    </row>
    <row r="290">
      <c r="A290" t="inlineStr">
        <is>
          <t>nch</t>
        </is>
      </c>
      <c r="B290" t="inlineStr">
        <is>
          <t>min(nch_raw,8)</t>
        </is>
      </c>
      <c r="C290" t="n">
        <v>4</v>
      </c>
    </row>
    <row r="291">
      <c r="A291" t="inlineStr">
        <is>
          <t>a</t>
        </is>
      </c>
      <c r="B291" t="inlineStr">
        <is>
          <t>RTT (us)</t>
        </is>
      </c>
      <c r="C291" t="n">
        <v>24.92</v>
      </c>
    </row>
    <row r="292">
      <c r="A292" t="inlineStr">
        <is>
          <t>NIC_BW</t>
        </is>
      </c>
      <c r="B292" t="inlineStr">
        <is>
          <t>bytes/us</t>
        </is>
      </c>
      <c r="C292" t="n">
        <v>48750</v>
      </c>
    </row>
    <row r="293">
      <c r="A293" t="inlineStr">
        <is>
          <t>intra_node_latency</t>
        </is>
      </c>
      <c r="B293" t="inlineStr">
        <is>
          <t>us</t>
        </is>
      </c>
      <c r="C293" t="n">
        <v>8.4</v>
      </c>
    </row>
    <row r="294">
      <c r="A294" t="inlineStr">
        <is>
          <t>chunk_size</t>
        </is>
      </c>
      <c r="B294" t="inlineStr">
        <is>
          <t>bytes</t>
        </is>
      </c>
      <c r="C294" t="n">
        <v>32768</v>
      </c>
    </row>
    <row r="295">
      <c r="A295" t="inlineStr">
        <is>
          <t>G_agg</t>
        </is>
      </c>
      <c r="B295" t="inlineStr">
        <is>
          <t>nch*NIC_BW</t>
        </is>
      </c>
      <c r="C295">
        <f>C290*C292</f>
        <v/>
      </c>
    </row>
    <row r="296">
      <c r="A296" t="inlineStr">
        <is>
          <t>G</t>
        </is>
      </c>
      <c r="B296" t="inlineStr">
        <is>
          <t>2*2*(n_total-1)/(n_total*G_agg)</t>
        </is>
      </c>
      <c r="C296">
        <f>2*2*(C288-1)/(C288*C295)</f>
        <v/>
      </c>
    </row>
    <row r="297">
      <c r="A297" t="inlineStr">
        <is>
          <t>busbw_factor</t>
        </is>
      </c>
      <c r="B297" t="inlineStr">
        <is>
          <t>2*(n_total-1)/n_total</t>
        </is>
      </c>
      <c r="C297">
        <f>2*(C288-1)/C288</f>
        <v/>
      </c>
    </row>
    <row r="298">
      <c r="A298" t="inlineStr">
        <is>
          <t>fixed_per_step</t>
        </is>
      </c>
      <c r="B298" t="inlineStr">
        <is>
          <t>(2*N-1)*(a/2+intra)</t>
        </is>
      </c>
      <c r="C298">
        <f>(2*C286-1)*(C291/2+C293)</f>
        <v/>
      </c>
    </row>
    <row r="299"/>
    <row r="300">
      <c r="A300" t="inlineStr">
        <is>
          <t>size_KB</t>
        </is>
      </c>
      <c r="B300" t="inlineStr">
        <is>
          <t>Actual Time (us)</t>
        </is>
      </c>
      <c r="C300" t="inlineStr">
        <is>
          <t>Roofline Time (us)</t>
        </is>
      </c>
      <c r="D300" t="inlineStr">
        <is>
          <t>Actual/Roofline</t>
        </is>
      </c>
      <c r="E300" t="inlineStr">
        <is>
          <t>Actual busBW (GB/s)</t>
        </is>
      </c>
      <c r="F300" t="inlineStr">
        <is>
          <t>Roofline busBW (GB/s)</t>
        </is>
      </c>
      <c r="G300" t="inlineStr">
        <is>
          <t>Meas/Roof busBW</t>
        </is>
      </c>
    </row>
    <row r="301">
      <c r="A301" t="n">
        <v>1</v>
      </c>
      <c r="B301" t="n">
        <v>994.34</v>
      </c>
      <c r="C301">
        <f>C298*CEILING(A301*1024/(C289*C294*C288),1)+A301*1024*C296</f>
        <v/>
      </c>
      <c r="D301">
        <f>B301/C301</f>
        <v/>
      </c>
      <c r="E301" t="n">
        <v>0</v>
      </c>
      <c r="F301">
        <f>A301*1024/(C301*0.000001)/1000000000*C297</f>
        <v/>
      </c>
      <c r="G301">
        <f>E301/F301</f>
        <v/>
      </c>
    </row>
    <row r="302">
      <c r="A302" t="n">
        <v>2</v>
      </c>
      <c r="B302" t="n">
        <v>984.12</v>
      </c>
      <c r="C302">
        <f>C298*CEILING(A302*1024/(C289*C294*C288),1)+A302*1024*C296</f>
        <v/>
      </c>
      <c r="D302">
        <f>B302/C302</f>
        <v/>
      </c>
      <c r="E302" t="n">
        <v>0</v>
      </c>
      <c r="F302">
        <f>A302*1024/(C302*0.000001)/1000000000*C297</f>
        <v/>
      </c>
      <c r="G302">
        <f>E302/F302</f>
        <v/>
      </c>
    </row>
    <row r="303">
      <c r="A303" t="n">
        <v>4</v>
      </c>
      <c r="B303" t="n">
        <v>922.59</v>
      </c>
      <c r="C303">
        <f>C298*CEILING(A303*1024/(C289*C294*C288),1)+A303*1024*C296</f>
        <v/>
      </c>
      <c r="D303">
        <f>B303/C303</f>
        <v/>
      </c>
      <c r="E303" t="n">
        <v>0.01</v>
      </c>
      <c r="F303">
        <f>A303*1024/(C303*0.000001)/1000000000*C297</f>
        <v/>
      </c>
      <c r="G303">
        <f>E303/F303</f>
        <v/>
      </c>
    </row>
    <row r="304">
      <c r="A304" t="n">
        <v>8</v>
      </c>
      <c r="B304" t="n">
        <v>927.58</v>
      </c>
      <c r="C304">
        <f>C298*CEILING(A304*1024/(C289*C294*C288),1)+A304*1024*C296</f>
        <v/>
      </c>
      <c r="D304">
        <f>B304/C304</f>
        <v/>
      </c>
      <c r="E304" t="n">
        <v>0.02</v>
      </c>
      <c r="F304">
        <f>A304*1024/(C304*0.000001)/1000000000*C297</f>
        <v/>
      </c>
      <c r="G304">
        <f>E304/F304</f>
        <v/>
      </c>
    </row>
    <row r="305">
      <c r="A305" t="n">
        <v>16</v>
      </c>
      <c r="B305" t="n">
        <v>927.6799999999999</v>
      </c>
      <c r="C305">
        <f>C298*CEILING(A305*1024/(C289*C294*C288),1)+A305*1024*C296</f>
        <v/>
      </c>
      <c r="D305">
        <f>B305/C305</f>
        <v/>
      </c>
      <c r="E305" t="n">
        <v>0.04</v>
      </c>
      <c r="F305">
        <f>A305*1024/(C305*0.000001)/1000000000*C297</f>
        <v/>
      </c>
      <c r="G305">
        <f>E305/F305</f>
        <v/>
      </c>
    </row>
    <row r="306">
      <c r="A306" t="n">
        <v>32</v>
      </c>
      <c r="B306" t="n">
        <v>929.5700000000001</v>
      </c>
      <c r="C306">
        <f>C298*CEILING(A306*1024/(C289*C294*C288),1)+A306*1024*C296</f>
        <v/>
      </c>
      <c r="D306">
        <f>B306/C306</f>
        <v/>
      </c>
      <c r="E306" t="n">
        <v>0.07000000000000001</v>
      </c>
      <c r="F306">
        <f>A306*1024/(C306*0.000001)/1000000000*C297</f>
        <v/>
      </c>
      <c r="G306">
        <f>E306/F306</f>
        <v/>
      </c>
    </row>
    <row r="307">
      <c r="A307" t="n">
        <v>64</v>
      </c>
      <c r="B307" t="n">
        <v>936.4400000000001</v>
      </c>
      <c r="C307">
        <f>C298*CEILING(A307*1024/(C289*C294*C288),1)+A307*1024*C296</f>
        <v/>
      </c>
      <c r="D307">
        <f>B307/C307</f>
        <v/>
      </c>
      <c r="E307" t="n">
        <v>0.14</v>
      </c>
      <c r="F307">
        <f>A307*1024/(C307*0.000001)/1000000000*C297</f>
        <v/>
      </c>
      <c r="G307">
        <f>E307/F307</f>
        <v/>
      </c>
    </row>
    <row r="308">
      <c r="A308" t="n">
        <v>128</v>
      </c>
      <c r="B308" t="n">
        <v>947.96</v>
      </c>
      <c r="C308">
        <f>C298*CEILING(A308*1024/(C289*C294*C288),1)+A308*1024*C296</f>
        <v/>
      </c>
      <c r="D308">
        <f>B308/C308</f>
        <v/>
      </c>
      <c r="E308" t="n">
        <v>0.27</v>
      </c>
      <c r="F308">
        <f>A308*1024/(C308*0.000001)/1000000000*C297</f>
        <v/>
      </c>
      <c r="G308">
        <f>E308/F308</f>
        <v/>
      </c>
    </row>
    <row r="309">
      <c r="A309" t="n">
        <v>256</v>
      </c>
      <c r="B309" t="n">
        <v>979.61</v>
      </c>
      <c r="C309">
        <f>C298*CEILING(A309*1024/(C289*C294*C288),1)+A309*1024*C296</f>
        <v/>
      </c>
      <c r="D309">
        <f>B309/C309</f>
        <v/>
      </c>
      <c r="E309" t="n">
        <v>0.53</v>
      </c>
      <c r="F309">
        <f>A309*1024/(C309*0.000001)/1000000000*C297</f>
        <v/>
      </c>
      <c r="G309">
        <f>E309/F309</f>
        <v/>
      </c>
    </row>
    <row r="310">
      <c r="A310" t="n">
        <v>512</v>
      </c>
      <c r="B310" t="n">
        <v>1053.29</v>
      </c>
      <c r="C310">
        <f>C298*CEILING(A310*1024/(C289*C294*C288),1)+A310*1024*C296</f>
        <v/>
      </c>
      <c r="D310">
        <f>B310/C310</f>
        <v/>
      </c>
      <c r="E310" t="n">
        <v>0.99</v>
      </c>
      <c r="F310">
        <f>A310*1024/(C310*0.000001)/1000000000*C297</f>
        <v/>
      </c>
      <c r="G310">
        <f>E310/F310</f>
        <v/>
      </c>
    </row>
    <row r="311">
      <c r="A311" t="n">
        <v>1024</v>
      </c>
      <c r="B311" t="n">
        <v>1089.77</v>
      </c>
      <c r="C311">
        <f>C298*CEILING(A311*1024/(C289*C294*C288),1)+A311*1024*C296</f>
        <v/>
      </c>
      <c r="D311">
        <f>B311/C311</f>
        <v/>
      </c>
      <c r="E311" t="n">
        <v>1.91</v>
      </c>
      <c r="F311">
        <f>A311*1024/(C311*0.000001)/1000000000*C297</f>
        <v/>
      </c>
      <c r="G311">
        <f>E311/F311</f>
        <v/>
      </c>
    </row>
    <row r="312">
      <c r="A312" t="n">
        <v>2048</v>
      </c>
      <c r="B312" t="n">
        <v>1088.75</v>
      </c>
      <c r="C312">
        <f>C298*CEILING(A312*1024/(C289*C294*C288),1)+A312*1024*C296</f>
        <v/>
      </c>
      <c r="D312">
        <f>B312/C312</f>
        <v/>
      </c>
      <c r="E312" t="n">
        <v>3.82</v>
      </c>
      <c r="F312">
        <f>A312*1024/(C312*0.000001)/1000000000*C297</f>
        <v/>
      </c>
      <c r="G312">
        <f>E312/F312</f>
        <v/>
      </c>
    </row>
    <row r="313">
      <c r="A313" t="n">
        <v>4096</v>
      </c>
      <c r="B313" t="n">
        <v>1296.21</v>
      </c>
      <c r="C313">
        <f>C298*CEILING(A313*1024/(C289*C294*C288),1)+A313*1024*C296</f>
        <v/>
      </c>
      <c r="D313">
        <f>B313/C313</f>
        <v/>
      </c>
      <c r="E313" t="n">
        <v>6.42</v>
      </c>
      <c r="F313">
        <f>A313*1024/(C313*0.000001)/1000000000*C297</f>
        <v/>
      </c>
      <c r="G313">
        <f>E313/F313</f>
        <v/>
      </c>
    </row>
    <row r="314">
      <c r="A314" t="n">
        <v>8192</v>
      </c>
      <c r="B314" t="n">
        <v>1551.86</v>
      </c>
      <c r="C314">
        <f>C298*CEILING(A314*1024/(C289*C294*C288),1)+A314*1024*C296</f>
        <v/>
      </c>
      <c r="D314">
        <f>B314/C314</f>
        <v/>
      </c>
      <c r="E314" t="n">
        <v>10.73</v>
      </c>
      <c r="F314">
        <f>A314*1024/(C314*0.000001)/1000000000*C297</f>
        <v/>
      </c>
      <c r="G314">
        <f>E314/F314</f>
        <v/>
      </c>
    </row>
    <row r="315">
      <c r="A315" t="n">
        <v>16384</v>
      </c>
      <c r="B315" t="n">
        <v>2090.73</v>
      </c>
      <c r="C315">
        <f>C298*CEILING(A315*1024/(C289*C294*C288),1)+A315*1024*C296</f>
        <v/>
      </c>
      <c r="D315">
        <f>B315/C315</f>
        <v/>
      </c>
      <c r="E315" t="n">
        <v>15.92</v>
      </c>
      <c r="F315">
        <f>A315*1024/(C315*0.000001)/1000000000*C297</f>
        <v/>
      </c>
      <c r="G315">
        <f>E315/F315</f>
        <v/>
      </c>
    </row>
    <row r="316">
      <c r="A316" t="n">
        <v>32768</v>
      </c>
      <c r="B316" t="n">
        <v>4146.66</v>
      </c>
      <c r="C316">
        <f>C298*CEILING(A316*1024/(C289*C294*C288),1)+A316*1024*C296</f>
        <v/>
      </c>
      <c r="D316">
        <f>B316/C316</f>
        <v/>
      </c>
      <c r="E316" t="n">
        <v>16.06</v>
      </c>
      <c r="F316">
        <f>A316*1024/(C316*0.000001)/1000000000*C297</f>
        <v/>
      </c>
      <c r="G316">
        <f>E316/F316</f>
        <v/>
      </c>
    </row>
    <row r="317">
      <c r="A317" t="n">
        <v>65536</v>
      </c>
      <c r="B317" t="n">
        <v>8311.280000000001</v>
      </c>
      <c r="C317">
        <f>C298*CEILING(A317*1024/(C289*C294*C288),1)+A317*1024*C296</f>
        <v/>
      </c>
      <c r="D317">
        <f>B317/C317</f>
        <v/>
      </c>
      <c r="E317" t="n">
        <v>16.02</v>
      </c>
      <c r="F317">
        <f>A317*1024/(C317*0.000001)/1000000000*C297</f>
        <v/>
      </c>
      <c r="G317">
        <f>E317/F317</f>
        <v/>
      </c>
    </row>
    <row r="318">
      <c r="A318" t="n">
        <v>131072</v>
      </c>
      <c r="B318" t="n">
        <v>16573.5</v>
      </c>
      <c r="C318">
        <f>C298*CEILING(A318*1024/(C289*C294*C288),1)+A318*1024*C296</f>
        <v/>
      </c>
      <c r="D318">
        <f>B318/C318</f>
        <v/>
      </c>
      <c r="E318" t="n">
        <v>16.07</v>
      </c>
      <c r="F318">
        <f>A318*1024/(C318*0.000001)/1000000000*C297</f>
        <v/>
      </c>
      <c r="G318">
        <f>E318/F318</f>
        <v/>
      </c>
    </row>
    <row r="319">
      <c r="A319" t="n">
        <v>262144</v>
      </c>
      <c r="B319" t="n">
        <v>33055.9</v>
      </c>
      <c r="C319">
        <f>C298*CEILING(A319*1024/(C289*C294*C288),1)+A319*1024*C296</f>
        <v/>
      </c>
      <c r="D319">
        <f>B319/C319</f>
        <v/>
      </c>
      <c r="E319" t="n">
        <v>16.11</v>
      </c>
      <c r="F319">
        <f>A319*1024/(C319*0.000001)/1000000000*C297</f>
        <v/>
      </c>
      <c r="G319">
        <f>E319/F319</f>
        <v/>
      </c>
    </row>
    <row r="320">
      <c r="A320" t="n">
        <v>524288</v>
      </c>
      <c r="B320" t="n">
        <v>66197.39999999999</v>
      </c>
      <c r="C320">
        <f>C298*CEILING(A320*1024/(C289*C294*C288),1)+A320*1024*C296</f>
        <v/>
      </c>
      <c r="D320">
        <f>B320/C320</f>
        <v/>
      </c>
      <c r="E320" t="n">
        <v>16.09</v>
      </c>
      <c r="F320">
        <f>A320*1024/(C320*0.000001)/1000000000*C297</f>
        <v/>
      </c>
      <c r="G320">
        <f>E320/F320</f>
        <v/>
      </c>
    </row>
    <row r="321">
      <c r="A321" t="n">
        <v>1048576</v>
      </c>
      <c r="B321" t="n">
        <v>132055</v>
      </c>
      <c r="C321">
        <f>C298*CEILING(A321*1024/(C289*C294*C288),1)+A321*1024*C296</f>
        <v/>
      </c>
      <c r="D321">
        <f>B321/C321</f>
        <v/>
      </c>
      <c r="E321" t="n">
        <v>16.14</v>
      </c>
      <c r="F321">
        <f>A321*1024/(C321*0.000001)/1000000000*C297</f>
        <v/>
      </c>
      <c r="G321">
        <f>E321/F321</f>
        <v/>
      </c>
    </row>
    <row r="322"/>
    <row r="323">
      <c r="A323" t="inlineStr">
        <is>
          <t>Nodes: 16, Protocol: LL, Channels: 8</t>
        </is>
      </c>
    </row>
    <row r="324">
      <c r="A324" t="inlineStr">
        <is>
          <t>Parameter</t>
        </is>
      </c>
      <c r="B324" t="inlineStr">
        <is>
          <t>Formula</t>
        </is>
      </c>
      <c r="C324" t="inlineStr">
        <is>
          <t>Value</t>
        </is>
      </c>
    </row>
    <row r="325">
      <c r="A325" t="inlineStr">
        <is>
          <t>N</t>
        </is>
      </c>
      <c r="B325" t="inlineStr">
        <is>
          <t>nodes</t>
        </is>
      </c>
      <c r="C325" t="n">
        <v>16</v>
      </c>
    </row>
    <row r="326">
      <c r="A326" t="inlineStr">
        <is>
          <t>n</t>
        </is>
      </c>
      <c r="B326" t="inlineStr">
        <is>
          <t>GPUs/node</t>
        </is>
      </c>
      <c r="C326" t="n">
        <v>8</v>
      </c>
    </row>
    <row r="327">
      <c r="A327" t="inlineStr">
        <is>
          <t>n_total</t>
        </is>
      </c>
      <c r="B327" t="inlineStr">
        <is>
          <t>N*n</t>
        </is>
      </c>
      <c r="C327" t="n">
        <v>128</v>
      </c>
    </row>
    <row r="328">
      <c r="A328" t="inlineStr">
        <is>
          <t>nch_raw</t>
        </is>
      </c>
      <c r="B328" t="inlineStr">
        <is>
          <t>raw channels</t>
        </is>
      </c>
      <c r="C328" t="n">
        <v>8</v>
      </c>
    </row>
    <row r="329">
      <c r="A329" t="inlineStr">
        <is>
          <t>nch</t>
        </is>
      </c>
      <c r="B329" t="inlineStr">
        <is>
          <t>min(nch_raw,8)</t>
        </is>
      </c>
      <c r="C329" t="n">
        <v>8</v>
      </c>
    </row>
    <row r="330">
      <c r="A330" t="inlineStr">
        <is>
          <t>a</t>
        </is>
      </c>
      <c r="B330" t="inlineStr">
        <is>
          <t>RTT (us)</t>
        </is>
      </c>
      <c r="C330" t="n">
        <v>24.92</v>
      </c>
    </row>
    <row r="331">
      <c r="A331" t="inlineStr">
        <is>
          <t>NIC_BW</t>
        </is>
      </c>
      <c r="B331" t="inlineStr">
        <is>
          <t>bytes/us</t>
        </is>
      </c>
      <c r="C331" t="n">
        <v>48750</v>
      </c>
    </row>
    <row r="332">
      <c r="A332" t="inlineStr">
        <is>
          <t>intra_node_latency</t>
        </is>
      </c>
      <c r="B332" t="inlineStr">
        <is>
          <t>us</t>
        </is>
      </c>
      <c r="C332" t="n">
        <v>8.4</v>
      </c>
    </row>
    <row r="333">
      <c r="A333" t="inlineStr">
        <is>
          <t>chunk_size</t>
        </is>
      </c>
      <c r="B333" t="inlineStr">
        <is>
          <t>bytes</t>
        </is>
      </c>
      <c r="C333" t="n">
        <v>32768</v>
      </c>
    </row>
    <row r="334">
      <c r="A334" t="inlineStr">
        <is>
          <t>G_agg</t>
        </is>
      </c>
      <c r="B334" t="inlineStr">
        <is>
          <t>nch*NIC_BW</t>
        </is>
      </c>
      <c r="C334">
        <f>C329*C331</f>
        <v/>
      </c>
    </row>
    <row r="335">
      <c r="A335" t="inlineStr">
        <is>
          <t>G</t>
        </is>
      </c>
      <c r="B335" t="inlineStr">
        <is>
          <t>2*2*(n_total-1)/(n_total*G_agg)</t>
        </is>
      </c>
      <c r="C335">
        <f>2*2*(C327-1)/(C327*C334)</f>
        <v/>
      </c>
    </row>
    <row r="336">
      <c r="A336" t="inlineStr">
        <is>
          <t>busbw_factor</t>
        </is>
      </c>
      <c r="B336" t="inlineStr">
        <is>
          <t>2*(n_total-1)/n_total</t>
        </is>
      </c>
      <c r="C336">
        <f>2*(C327-1)/C327</f>
        <v/>
      </c>
    </row>
    <row r="337">
      <c r="A337" t="inlineStr">
        <is>
          <t>fixed_per_step</t>
        </is>
      </c>
      <c r="B337" t="inlineStr">
        <is>
          <t>(2*N-1)*(a/2+intra)</t>
        </is>
      </c>
      <c r="C337">
        <f>(2*C325-1)*(C330/2+C332)</f>
        <v/>
      </c>
    </row>
    <row r="338"/>
    <row r="339">
      <c r="A339" t="inlineStr">
        <is>
          <t>size_KB</t>
        </is>
      </c>
      <c r="B339" t="inlineStr">
        <is>
          <t>Actual Time (us)</t>
        </is>
      </c>
      <c r="C339" t="inlineStr">
        <is>
          <t>Roofline Time (us)</t>
        </is>
      </c>
      <c r="D339" t="inlineStr">
        <is>
          <t>Actual/Roofline</t>
        </is>
      </c>
      <c r="E339" t="inlineStr">
        <is>
          <t>Actual busBW (GB/s)</t>
        </is>
      </c>
      <c r="F339" t="inlineStr">
        <is>
          <t>Roofline busBW (GB/s)</t>
        </is>
      </c>
      <c r="G339" t="inlineStr">
        <is>
          <t>Meas/Roof busBW</t>
        </is>
      </c>
    </row>
    <row r="340">
      <c r="A340" t="n">
        <v>1</v>
      </c>
      <c r="B340" t="n">
        <v>1006.94</v>
      </c>
      <c r="C340">
        <f>C337*CEILING(A340*1024/(C328*C333*C327),1)+A340*1024*C335</f>
        <v/>
      </c>
      <c r="D340">
        <f>B340/C340</f>
        <v/>
      </c>
      <c r="E340" t="n">
        <v>0</v>
      </c>
      <c r="F340">
        <f>A340*1024/(C340*0.000001)/1000000000*C336</f>
        <v/>
      </c>
      <c r="G340">
        <f>E340/F340</f>
        <v/>
      </c>
    </row>
    <row r="341">
      <c r="A341" t="n">
        <v>2</v>
      </c>
      <c r="B341" t="n">
        <v>919.03</v>
      </c>
      <c r="C341">
        <f>C337*CEILING(A341*1024/(C328*C333*C327),1)+A341*1024*C335</f>
        <v/>
      </c>
      <c r="D341">
        <f>B341/C341</f>
        <v/>
      </c>
      <c r="E341" t="n">
        <v>0</v>
      </c>
      <c r="F341">
        <f>A341*1024/(C341*0.000001)/1000000000*C336</f>
        <v/>
      </c>
      <c r="G341">
        <f>E341/F341</f>
        <v/>
      </c>
    </row>
    <row r="342">
      <c r="A342" t="n">
        <v>4</v>
      </c>
      <c r="B342" t="n">
        <v>923.89</v>
      </c>
      <c r="C342">
        <f>C337*CEILING(A342*1024/(C328*C333*C327),1)+A342*1024*C335</f>
        <v/>
      </c>
      <c r="D342">
        <f>B342/C342</f>
        <v/>
      </c>
      <c r="E342" t="n">
        <v>0.01</v>
      </c>
      <c r="F342">
        <f>A342*1024/(C342*0.000001)/1000000000*C336</f>
        <v/>
      </c>
      <c r="G342">
        <f>E342/F342</f>
        <v/>
      </c>
    </row>
    <row r="343">
      <c r="A343" t="n">
        <v>8</v>
      </c>
      <c r="B343" t="n">
        <v>929.45</v>
      </c>
      <c r="C343">
        <f>C337*CEILING(A343*1024/(C328*C333*C327),1)+A343*1024*C335</f>
        <v/>
      </c>
      <c r="D343">
        <f>B343/C343</f>
        <v/>
      </c>
      <c r="E343" t="n">
        <v>0.02</v>
      </c>
      <c r="F343">
        <f>A343*1024/(C343*0.000001)/1000000000*C336</f>
        <v/>
      </c>
      <c r="G343">
        <f>E343/F343</f>
        <v/>
      </c>
    </row>
    <row r="344">
      <c r="A344" t="n">
        <v>16</v>
      </c>
      <c r="B344" t="n">
        <v>926.45</v>
      </c>
      <c r="C344">
        <f>C337*CEILING(A344*1024/(C328*C333*C327),1)+A344*1024*C335</f>
        <v/>
      </c>
      <c r="D344">
        <f>B344/C344</f>
        <v/>
      </c>
      <c r="E344" t="n">
        <v>0.04</v>
      </c>
      <c r="F344">
        <f>A344*1024/(C344*0.000001)/1000000000*C336</f>
        <v/>
      </c>
      <c r="G344">
        <f>E344/F344</f>
        <v/>
      </c>
    </row>
    <row r="345">
      <c r="A345" t="n">
        <v>32</v>
      </c>
      <c r="B345" t="n">
        <v>929.85</v>
      </c>
      <c r="C345">
        <f>C337*CEILING(A345*1024/(C328*C333*C327),1)+A345*1024*C335</f>
        <v/>
      </c>
      <c r="D345">
        <f>B345/C345</f>
        <v/>
      </c>
      <c r="E345" t="n">
        <v>0.07000000000000001</v>
      </c>
      <c r="F345">
        <f>A345*1024/(C345*0.000001)/1000000000*C336</f>
        <v/>
      </c>
      <c r="G345">
        <f>E345/F345</f>
        <v/>
      </c>
    </row>
    <row r="346">
      <c r="A346" t="n">
        <v>64</v>
      </c>
      <c r="B346" t="n">
        <v>939.04</v>
      </c>
      <c r="C346">
        <f>C337*CEILING(A346*1024/(C328*C333*C327),1)+A346*1024*C335</f>
        <v/>
      </c>
      <c r="D346">
        <f>B346/C346</f>
        <v/>
      </c>
      <c r="E346" t="n">
        <v>0.14</v>
      </c>
      <c r="F346">
        <f>A346*1024/(C346*0.000001)/1000000000*C336</f>
        <v/>
      </c>
      <c r="G346">
        <f>E346/F346</f>
        <v/>
      </c>
    </row>
    <row r="347">
      <c r="A347" t="n">
        <v>128</v>
      </c>
      <c r="B347" t="n">
        <v>948.3</v>
      </c>
      <c r="C347">
        <f>C337*CEILING(A347*1024/(C328*C333*C327),1)+A347*1024*C335</f>
        <v/>
      </c>
      <c r="D347">
        <f>B347/C347</f>
        <v/>
      </c>
      <c r="E347" t="n">
        <v>0.27</v>
      </c>
      <c r="F347">
        <f>A347*1024/(C347*0.000001)/1000000000*C336</f>
        <v/>
      </c>
      <c r="G347">
        <f>E347/F347</f>
        <v/>
      </c>
    </row>
    <row r="348">
      <c r="A348" t="n">
        <v>256</v>
      </c>
      <c r="B348" t="n">
        <v>980.1799999999999</v>
      </c>
      <c r="C348">
        <f>C337*CEILING(A348*1024/(C328*C333*C327),1)+A348*1024*C335</f>
        <v/>
      </c>
      <c r="D348">
        <f>B348/C348</f>
        <v/>
      </c>
      <c r="E348" t="n">
        <v>0.53</v>
      </c>
      <c r="F348">
        <f>A348*1024/(C348*0.000001)/1000000000*C336</f>
        <v/>
      </c>
      <c r="G348">
        <f>E348/F348</f>
        <v/>
      </c>
    </row>
    <row r="349">
      <c r="A349" t="n">
        <v>512</v>
      </c>
      <c r="B349" t="n">
        <v>1055.48</v>
      </c>
      <c r="C349">
        <f>C337*CEILING(A349*1024/(C328*C333*C327),1)+A349*1024*C335</f>
        <v/>
      </c>
      <c r="D349">
        <f>B349/C349</f>
        <v/>
      </c>
      <c r="E349" t="n">
        <v>0.99</v>
      </c>
      <c r="F349">
        <f>A349*1024/(C349*0.000001)/1000000000*C336</f>
        <v/>
      </c>
      <c r="G349">
        <f>E349/F349</f>
        <v/>
      </c>
    </row>
    <row r="350">
      <c r="A350" t="n">
        <v>1024</v>
      </c>
      <c r="B350" t="n">
        <v>1093.87</v>
      </c>
      <c r="C350">
        <f>C337*CEILING(A350*1024/(C328*C333*C327),1)+A350*1024*C335</f>
        <v/>
      </c>
      <c r="D350">
        <f>B350/C350</f>
        <v/>
      </c>
      <c r="E350" t="n">
        <v>1.9</v>
      </c>
      <c r="F350">
        <f>A350*1024/(C350*0.000001)/1000000000*C336</f>
        <v/>
      </c>
      <c r="G350">
        <f>E350/F350</f>
        <v/>
      </c>
    </row>
    <row r="351">
      <c r="A351" t="n">
        <v>2048</v>
      </c>
      <c r="B351" t="n">
        <v>1094.34</v>
      </c>
      <c r="C351">
        <f>C337*CEILING(A351*1024/(C328*C333*C327),1)+A351*1024*C335</f>
        <v/>
      </c>
      <c r="D351">
        <f>B351/C351</f>
        <v/>
      </c>
      <c r="E351" t="n">
        <v>3.8</v>
      </c>
      <c r="F351">
        <f>A351*1024/(C351*0.000001)/1000000000*C336</f>
        <v/>
      </c>
      <c r="G351">
        <f>E351/F351</f>
        <v/>
      </c>
    </row>
    <row r="352">
      <c r="A352" t="n">
        <v>4096</v>
      </c>
      <c r="B352" t="n">
        <v>1138.82</v>
      </c>
      <c r="C352">
        <f>C337*CEILING(A352*1024/(C328*C333*C327),1)+A352*1024*C335</f>
        <v/>
      </c>
      <c r="D352">
        <f>B352/C352</f>
        <v/>
      </c>
      <c r="E352" t="n">
        <v>7.31</v>
      </c>
      <c r="F352">
        <f>A352*1024/(C352*0.000001)/1000000000*C336</f>
        <v/>
      </c>
      <c r="G352">
        <f>E352/F352</f>
        <v/>
      </c>
    </row>
    <row r="353">
      <c r="A353" t="n">
        <v>8192</v>
      </c>
      <c r="B353" t="n">
        <v>1365.8</v>
      </c>
      <c r="C353">
        <f>C337*CEILING(A353*1024/(C328*C333*C327),1)+A353*1024*C335</f>
        <v/>
      </c>
      <c r="D353">
        <f>B353/C353</f>
        <v/>
      </c>
      <c r="E353" t="n">
        <v>12.19</v>
      </c>
      <c r="F353">
        <f>A353*1024/(C353*0.000001)/1000000000*C336</f>
        <v/>
      </c>
      <c r="G353">
        <f>E353/F353</f>
        <v/>
      </c>
    </row>
    <row r="354">
      <c r="A354" t="n">
        <v>16384</v>
      </c>
      <c r="B354" t="n">
        <v>1548.57</v>
      </c>
      <c r="C354">
        <f>C337*CEILING(A354*1024/(C328*C333*C327),1)+A354*1024*C335</f>
        <v/>
      </c>
      <c r="D354">
        <f>B354/C354</f>
        <v/>
      </c>
      <c r="E354" t="n">
        <v>21.5</v>
      </c>
      <c r="F354">
        <f>A354*1024/(C354*0.000001)/1000000000*C336</f>
        <v/>
      </c>
      <c r="G354">
        <f>E354/F354</f>
        <v/>
      </c>
    </row>
    <row r="355">
      <c r="A355" t="n">
        <v>32768</v>
      </c>
      <c r="B355" t="n">
        <v>2152.33</v>
      </c>
      <c r="C355">
        <f>C337*CEILING(A355*1024/(C328*C333*C327),1)+A355*1024*C335</f>
        <v/>
      </c>
      <c r="D355">
        <f>B355/C355</f>
        <v/>
      </c>
      <c r="E355" t="n">
        <v>30.94</v>
      </c>
      <c r="F355">
        <f>A355*1024/(C355*0.000001)/1000000000*C336</f>
        <v/>
      </c>
      <c r="G355">
        <f>E355/F355</f>
        <v/>
      </c>
    </row>
    <row r="356">
      <c r="A356" t="n">
        <v>65536</v>
      </c>
      <c r="B356" t="n">
        <v>4237.04</v>
      </c>
      <c r="C356">
        <f>C337*CEILING(A356*1024/(C328*C333*C327),1)+A356*1024*C335</f>
        <v/>
      </c>
      <c r="D356">
        <f>B356/C356</f>
        <v/>
      </c>
      <c r="E356" t="n">
        <v>31.43</v>
      </c>
      <c r="F356">
        <f>A356*1024/(C356*0.000001)/1000000000*C336</f>
        <v/>
      </c>
      <c r="G356">
        <f>E356/F356</f>
        <v/>
      </c>
    </row>
    <row r="357">
      <c r="A357" t="n">
        <v>131072</v>
      </c>
      <c r="B357" t="n">
        <v>8445.93</v>
      </c>
      <c r="C357">
        <f>C337*CEILING(A357*1024/(C328*C333*C327),1)+A357*1024*C335</f>
        <v/>
      </c>
      <c r="D357">
        <f>B357/C357</f>
        <v/>
      </c>
      <c r="E357" t="n">
        <v>31.53</v>
      </c>
      <c r="F357">
        <f>A357*1024/(C357*0.000001)/1000000000*C336</f>
        <v/>
      </c>
      <c r="G357">
        <f>E357/F357</f>
        <v/>
      </c>
    </row>
    <row r="358">
      <c r="A358" t="n">
        <v>262144</v>
      </c>
      <c r="B358" t="n">
        <v>16909.5</v>
      </c>
      <c r="C358">
        <f>C337*CEILING(A358*1024/(C328*C333*C327),1)+A358*1024*C335</f>
        <v/>
      </c>
      <c r="D358">
        <f>B358/C358</f>
        <v/>
      </c>
      <c r="E358" t="n">
        <v>31.5</v>
      </c>
      <c r="F358">
        <f>A358*1024/(C358*0.000001)/1000000000*C336</f>
        <v/>
      </c>
      <c r="G358">
        <f>E358/F358</f>
        <v/>
      </c>
    </row>
    <row r="359">
      <c r="A359" t="n">
        <v>524288</v>
      </c>
      <c r="B359" t="n">
        <v>33453.4</v>
      </c>
      <c r="C359">
        <f>C337*CEILING(A359*1024/(C328*C333*C327),1)+A359*1024*C335</f>
        <v/>
      </c>
      <c r="D359">
        <f>B359/C359</f>
        <v/>
      </c>
      <c r="E359" t="n">
        <v>31.85</v>
      </c>
      <c r="F359">
        <f>A359*1024/(C359*0.000001)/1000000000*C336</f>
        <v/>
      </c>
      <c r="G359">
        <f>E359/F359</f>
        <v/>
      </c>
    </row>
    <row r="360">
      <c r="A360" t="n">
        <v>1048576</v>
      </c>
      <c r="B360" t="n">
        <v>67004.10000000001</v>
      </c>
      <c r="C360">
        <f>C337*CEILING(A360*1024/(C328*C333*C327),1)+A360*1024*C335</f>
        <v/>
      </c>
      <c r="D360">
        <f>B360/C360</f>
        <v/>
      </c>
      <c r="E360" t="n">
        <v>31.8</v>
      </c>
      <c r="F360">
        <f>A360*1024/(C360*0.000001)/1000000000*C336</f>
        <v/>
      </c>
      <c r="G360">
        <f>E360/F360</f>
        <v/>
      </c>
    </row>
    <row r="361"/>
    <row r="362">
      <c r="A362" t="inlineStr">
        <is>
          <t>Nodes: 16, Protocol: LL, Channels: 16</t>
        </is>
      </c>
    </row>
    <row r="363">
      <c r="A363" t="inlineStr">
        <is>
          <t>Parameter</t>
        </is>
      </c>
      <c r="B363" t="inlineStr">
        <is>
          <t>Formula</t>
        </is>
      </c>
      <c r="C363" t="inlineStr">
        <is>
          <t>Value</t>
        </is>
      </c>
    </row>
    <row r="364">
      <c r="A364" t="inlineStr">
        <is>
          <t>N</t>
        </is>
      </c>
      <c r="B364" t="inlineStr">
        <is>
          <t>nodes</t>
        </is>
      </c>
      <c r="C364" t="n">
        <v>16</v>
      </c>
    </row>
    <row r="365">
      <c r="A365" t="inlineStr">
        <is>
          <t>n</t>
        </is>
      </c>
      <c r="B365" t="inlineStr">
        <is>
          <t>GPUs/node</t>
        </is>
      </c>
      <c r="C365" t="n">
        <v>8</v>
      </c>
    </row>
    <row r="366">
      <c r="A366" t="inlineStr">
        <is>
          <t>n_total</t>
        </is>
      </c>
      <c r="B366" t="inlineStr">
        <is>
          <t>N*n</t>
        </is>
      </c>
      <c r="C366" t="n">
        <v>128</v>
      </c>
    </row>
    <row r="367">
      <c r="A367" t="inlineStr">
        <is>
          <t>nch_raw</t>
        </is>
      </c>
      <c r="B367" t="inlineStr">
        <is>
          <t>raw channels</t>
        </is>
      </c>
      <c r="C367" t="n">
        <v>16</v>
      </c>
    </row>
    <row r="368">
      <c r="A368" t="inlineStr">
        <is>
          <t>nch</t>
        </is>
      </c>
      <c r="B368" t="inlineStr">
        <is>
          <t>min(nch_raw,8)</t>
        </is>
      </c>
      <c r="C368" t="n">
        <v>8</v>
      </c>
    </row>
    <row r="369">
      <c r="A369" t="inlineStr">
        <is>
          <t>a</t>
        </is>
      </c>
      <c r="B369" t="inlineStr">
        <is>
          <t>RTT (us)</t>
        </is>
      </c>
      <c r="C369" t="n">
        <v>24.92</v>
      </c>
    </row>
    <row r="370">
      <c r="A370" t="inlineStr">
        <is>
          <t>NIC_BW</t>
        </is>
      </c>
      <c r="B370" t="inlineStr">
        <is>
          <t>bytes/us</t>
        </is>
      </c>
      <c r="C370" t="n">
        <v>48750</v>
      </c>
    </row>
    <row r="371">
      <c r="A371" t="inlineStr">
        <is>
          <t>intra_node_latency</t>
        </is>
      </c>
      <c r="B371" t="inlineStr">
        <is>
          <t>us</t>
        </is>
      </c>
      <c r="C371" t="n">
        <v>8.4</v>
      </c>
    </row>
    <row r="372">
      <c r="A372" t="inlineStr">
        <is>
          <t>chunk_size</t>
        </is>
      </c>
      <c r="B372" t="inlineStr">
        <is>
          <t>bytes</t>
        </is>
      </c>
      <c r="C372" t="n">
        <v>32768</v>
      </c>
    </row>
    <row r="373">
      <c r="A373" t="inlineStr">
        <is>
          <t>G_agg</t>
        </is>
      </c>
      <c r="B373" t="inlineStr">
        <is>
          <t>nch*NIC_BW</t>
        </is>
      </c>
      <c r="C373">
        <f>C368*C370</f>
        <v/>
      </c>
    </row>
    <row r="374">
      <c r="A374" t="inlineStr">
        <is>
          <t>G</t>
        </is>
      </c>
      <c r="B374" t="inlineStr">
        <is>
          <t>2*2*(n_total-1)/(n_total*G_agg)</t>
        </is>
      </c>
      <c r="C374">
        <f>2*2*(C366-1)/(C366*C373)</f>
        <v/>
      </c>
    </row>
    <row r="375">
      <c r="A375" t="inlineStr">
        <is>
          <t>busbw_factor</t>
        </is>
      </c>
      <c r="B375" t="inlineStr">
        <is>
          <t>2*(n_total-1)/n_total</t>
        </is>
      </c>
      <c r="C375">
        <f>2*(C366-1)/C366</f>
        <v/>
      </c>
    </row>
    <row r="376">
      <c r="A376" t="inlineStr">
        <is>
          <t>fixed_per_step</t>
        </is>
      </c>
      <c r="B376" t="inlineStr">
        <is>
          <t>(2*N-1)*(a/2+intra)</t>
        </is>
      </c>
      <c r="C376">
        <f>(2*C364-1)*(C369/2+C371)</f>
        <v/>
      </c>
    </row>
    <row r="377"/>
    <row r="378">
      <c r="A378" t="inlineStr">
        <is>
          <t>size_KB</t>
        </is>
      </c>
      <c r="B378" t="inlineStr">
        <is>
          <t>Actual Time (us)</t>
        </is>
      </c>
      <c r="C378" t="inlineStr">
        <is>
          <t>Roofline Time (us)</t>
        </is>
      </c>
      <c r="D378" t="inlineStr">
        <is>
          <t>Actual/Roofline</t>
        </is>
      </c>
      <c r="E378" t="inlineStr">
        <is>
          <t>Actual busBW (GB/s)</t>
        </is>
      </c>
      <c r="F378" t="inlineStr">
        <is>
          <t>Roofline busBW (GB/s)</t>
        </is>
      </c>
      <c r="G378" t="inlineStr">
        <is>
          <t>Meas/Roof busBW</t>
        </is>
      </c>
    </row>
    <row r="379">
      <c r="A379" t="n">
        <v>1</v>
      </c>
      <c r="B379" t="n">
        <v>925.67</v>
      </c>
      <c r="C379">
        <f>C376*CEILING(A379*1024/(C367*C372*C366),1)+A379*1024*C374</f>
        <v/>
      </c>
      <c r="D379">
        <f>B379/C379</f>
        <v/>
      </c>
      <c r="E379" t="n">
        <v>0</v>
      </c>
      <c r="F379">
        <f>A379*1024/(C379*0.000001)/1000000000*C375</f>
        <v/>
      </c>
      <c r="G379">
        <f>E379/F379</f>
        <v/>
      </c>
    </row>
    <row r="380">
      <c r="A380" t="n">
        <v>2</v>
      </c>
      <c r="B380" t="n">
        <v>923.5599999999999</v>
      </c>
      <c r="C380">
        <f>C376*CEILING(A380*1024/(C367*C372*C366),1)+A380*1024*C374</f>
        <v/>
      </c>
      <c r="D380">
        <f>B380/C380</f>
        <v/>
      </c>
      <c r="E380" t="n">
        <v>0</v>
      </c>
      <c r="F380">
        <f>A380*1024/(C380*0.000001)/1000000000*C375</f>
        <v/>
      </c>
      <c r="G380">
        <f>E380/F380</f>
        <v/>
      </c>
    </row>
    <row r="381">
      <c r="A381" t="n">
        <v>4</v>
      </c>
      <c r="B381" t="n">
        <v>926.89</v>
      </c>
      <c r="C381">
        <f>C376*CEILING(A381*1024/(C367*C372*C366),1)+A381*1024*C374</f>
        <v/>
      </c>
      <c r="D381">
        <f>B381/C381</f>
        <v/>
      </c>
      <c r="E381" t="n">
        <v>0.01</v>
      </c>
      <c r="F381">
        <f>A381*1024/(C381*0.000001)/1000000000*C375</f>
        <v/>
      </c>
      <c r="G381">
        <f>E381/F381</f>
        <v/>
      </c>
    </row>
    <row r="382">
      <c r="A382" t="n">
        <v>8</v>
      </c>
      <c r="B382" t="n">
        <v>923.1900000000001</v>
      </c>
      <c r="C382">
        <f>C376*CEILING(A382*1024/(C367*C372*C366),1)+A382*1024*C374</f>
        <v/>
      </c>
      <c r="D382">
        <f>B382/C382</f>
        <v/>
      </c>
      <c r="E382" t="n">
        <v>0.02</v>
      </c>
      <c r="F382">
        <f>A382*1024/(C382*0.000001)/1000000000*C375</f>
        <v/>
      </c>
      <c r="G382">
        <f>E382/F382</f>
        <v/>
      </c>
    </row>
    <row r="383">
      <c r="A383" t="n">
        <v>16</v>
      </c>
      <c r="B383" t="n">
        <v>927.45</v>
      </c>
      <c r="C383">
        <f>C376*CEILING(A383*1024/(C367*C372*C366),1)+A383*1024*C374</f>
        <v/>
      </c>
      <c r="D383">
        <f>B383/C383</f>
        <v/>
      </c>
      <c r="E383" t="n">
        <v>0.04</v>
      </c>
      <c r="F383">
        <f>A383*1024/(C383*0.000001)/1000000000*C375</f>
        <v/>
      </c>
      <c r="G383">
        <f>E383/F383</f>
        <v/>
      </c>
    </row>
    <row r="384">
      <c r="A384" t="n">
        <v>32</v>
      </c>
      <c r="B384" t="n">
        <v>935.3099999999999</v>
      </c>
      <c r="C384">
        <f>C376*CEILING(A384*1024/(C367*C372*C366),1)+A384*1024*C374</f>
        <v/>
      </c>
      <c r="D384">
        <f>B384/C384</f>
        <v/>
      </c>
      <c r="E384" t="n">
        <v>0.07000000000000001</v>
      </c>
      <c r="F384">
        <f>A384*1024/(C384*0.000001)/1000000000*C375</f>
        <v/>
      </c>
      <c r="G384">
        <f>E384/F384</f>
        <v/>
      </c>
    </row>
    <row r="385">
      <c r="A385" t="n">
        <v>64</v>
      </c>
      <c r="B385" t="n">
        <v>935.47</v>
      </c>
      <c r="C385">
        <f>C376*CEILING(A385*1024/(C367*C372*C366),1)+A385*1024*C374</f>
        <v/>
      </c>
      <c r="D385">
        <f>B385/C385</f>
        <v/>
      </c>
      <c r="E385" t="n">
        <v>0.14</v>
      </c>
      <c r="F385">
        <f>A385*1024/(C385*0.000001)/1000000000*C375</f>
        <v/>
      </c>
      <c r="G385">
        <f>E385/F385</f>
        <v/>
      </c>
    </row>
    <row r="386">
      <c r="A386" t="n">
        <v>128</v>
      </c>
      <c r="B386" t="n">
        <v>944.66</v>
      </c>
      <c r="C386">
        <f>C376*CEILING(A386*1024/(C367*C372*C366),1)+A386*1024*C374</f>
        <v/>
      </c>
      <c r="D386">
        <f>B386/C386</f>
        <v/>
      </c>
      <c r="E386" t="n">
        <v>0.28</v>
      </c>
      <c r="F386">
        <f>A386*1024/(C386*0.000001)/1000000000*C375</f>
        <v/>
      </c>
      <c r="G386">
        <f>E386/F386</f>
        <v/>
      </c>
    </row>
    <row r="387">
      <c r="A387" t="n">
        <v>256</v>
      </c>
      <c r="B387" t="n">
        <v>1031.53</v>
      </c>
      <c r="C387">
        <f>C376*CEILING(A387*1024/(C367*C372*C366),1)+A387*1024*C374</f>
        <v/>
      </c>
      <c r="D387">
        <f>B387/C387</f>
        <v/>
      </c>
      <c r="E387" t="n">
        <v>0.5</v>
      </c>
      <c r="F387">
        <f>A387*1024/(C387*0.000001)/1000000000*C375</f>
        <v/>
      </c>
      <c r="G387">
        <f>E387/F387</f>
        <v/>
      </c>
    </row>
    <row r="388">
      <c r="A388" t="n">
        <v>512</v>
      </c>
      <c r="B388" t="n">
        <v>1056.09</v>
      </c>
      <c r="C388">
        <f>C376*CEILING(A388*1024/(C367*C372*C366),1)+A388*1024*C374</f>
        <v/>
      </c>
      <c r="D388">
        <f>B388/C388</f>
        <v/>
      </c>
      <c r="E388" t="n">
        <v>0.99</v>
      </c>
      <c r="F388">
        <f>A388*1024/(C388*0.000001)/1000000000*C375</f>
        <v/>
      </c>
      <c r="G388">
        <f>E388/F388</f>
        <v/>
      </c>
    </row>
    <row r="389">
      <c r="A389" t="n">
        <v>1024</v>
      </c>
      <c r="B389" t="n">
        <v>1108.65</v>
      </c>
      <c r="C389">
        <f>C376*CEILING(A389*1024/(C367*C372*C366),1)+A389*1024*C374</f>
        <v/>
      </c>
      <c r="D389">
        <f>B389/C389</f>
        <v/>
      </c>
      <c r="E389" t="n">
        <v>1.88</v>
      </c>
      <c r="F389">
        <f>A389*1024/(C389*0.000001)/1000000000*C375</f>
        <v/>
      </c>
      <c r="G389">
        <f>E389/F389</f>
        <v/>
      </c>
    </row>
    <row r="390">
      <c r="A390" t="n">
        <v>2048</v>
      </c>
      <c r="B390" t="n">
        <v>1092.24</v>
      </c>
      <c r="C390">
        <f>C376*CEILING(A390*1024/(C367*C372*C366),1)+A390*1024*C374</f>
        <v/>
      </c>
      <c r="D390">
        <f>B390/C390</f>
        <v/>
      </c>
      <c r="E390" t="n">
        <v>3.81</v>
      </c>
      <c r="F390">
        <f>A390*1024/(C390*0.000001)/1000000000*C375</f>
        <v/>
      </c>
      <c r="G390">
        <f>E390/F390</f>
        <v/>
      </c>
    </row>
    <row r="391">
      <c r="A391" t="n">
        <v>4096</v>
      </c>
      <c r="B391" t="n">
        <v>1103.42</v>
      </c>
      <c r="C391">
        <f>C376*CEILING(A391*1024/(C367*C372*C366),1)+A391*1024*C374</f>
        <v/>
      </c>
      <c r="D391">
        <f>B391/C391</f>
        <v/>
      </c>
      <c r="E391" t="n">
        <v>7.54</v>
      </c>
      <c r="F391">
        <f>A391*1024/(C391*0.000001)/1000000000*C375</f>
        <v/>
      </c>
      <c r="G391">
        <f>E391/F391</f>
        <v/>
      </c>
    </row>
    <row r="392">
      <c r="A392" t="n">
        <v>8192</v>
      </c>
      <c r="B392" t="n">
        <v>1527.33</v>
      </c>
      <c r="C392">
        <f>C376*CEILING(A392*1024/(C367*C372*C366),1)+A392*1024*C374</f>
        <v/>
      </c>
      <c r="D392">
        <f>B392/C392</f>
        <v/>
      </c>
      <c r="E392" t="n">
        <v>10.9</v>
      </c>
      <c r="F392">
        <f>A392*1024/(C392*0.000001)/1000000000*C375</f>
        <v/>
      </c>
      <c r="G392">
        <f>E392/F392</f>
        <v/>
      </c>
    </row>
    <row r="393">
      <c r="A393" t="n">
        <v>16384</v>
      </c>
      <c r="B393" t="n">
        <v>2007.55</v>
      </c>
      <c r="C393">
        <f>C376*CEILING(A393*1024/(C367*C372*C366),1)+A393*1024*C374</f>
        <v/>
      </c>
      <c r="D393">
        <f>B393/C393</f>
        <v/>
      </c>
      <c r="E393" t="n">
        <v>16.58</v>
      </c>
      <c r="F393">
        <f>A393*1024/(C393*0.000001)/1000000000*C375</f>
        <v/>
      </c>
      <c r="G393">
        <f>E393/F393</f>
        <v/>
      </c>
    </row>
    <row r="394">
      <c r="A394" t="n">
        <v>32768</v>
      </c>
      <c r="B394" t="n">
        <v>2601.28</v>
      </c>
      <c r="C394">
        <f>C376*CEILING(A394*1024/(C367*C372*C366),1)+A394*1024*C374</f>
        <v/>
      </c>
      <c r="D394">
        <f>B394/C394</f>
        <v/>
      </c>
      <c r="E394" t="n">
        <v>25.6</v>
      </c>
      <c r="F394">
        <f>A394*1024/(C394*0.000001)/1000000000*C375</f>
        <v/>
      </c>
      <c r="G394">
        <f>E394/F394</f>
        <v/>
      </c>
    </row>
    <row r="395">
      <c r="A395" t="n">
        <v>65536</v>
      </c>
      <c r="B395" t="n">
        <v>4010.39</v>
      </c>
      <c r="C395">
        <f>C376*CEILING(A395*1024/(C367*C372*C366),1)+A395*1024*C374</f>
        <v/>
      </c>
      <c r="D395">
        <f>B395/C395</f>
        <v/>
      </c>
      <c r="E395" t="n">
        <v>33.21</v>
      </c>
      <c r="F395">
        <f>A395*1024/(C395*0.000001)/1000000000*C375</f>
        <v/>
      </c>
      <c r="G395">
        <f>E395/F395</f>
        <v/>
      </c>
    </row>
    <row r="396">
      <c r="A396" t="n">
        <v>131072</v>
      </c>
      <c r="B396" t="n">
        <v>8077.22</v>
      </c>
      <c r="C396">
        <f>C376*CEILING(A396*1024/(C367*C372*C366),1)+A396*1024*C374</f>
        <v/>
      </c>
      <c r="D396">
        <f>B396/C396</f>
        <v/>
      </c>
      <c r="E396" t="n">
        <v>32.97</v>
      </c>
      <c r="F396">
        <f>A396*1024/(C396*0.000001)/1000000000*C375</f>
        <v/>
      </c>
      <c r="G396">
        <f>E396/F396</f>
        <v/>
      </c>
    </row>
    <row r="397">
      <c r="A397" t="n">
        <v>262144</v>
      </c>
      <c r="B397" t="n">
        <v>16031.3</v>
      </c>
      <c r="C397">
        <f>C376*CEILING(A397*1024/(C367*C372*C366),1)+A397*1024*C374</f>
        <v/>
      </c>
      <c r="D397">
        <f>B397/C397</f>
        <v/>
      </c>
      <c r="E397" t="n">
        <v>33.23</v>
      </c>
      <c r="F397">
        <f>A397*1024/(C397*0.000001)/1000000000*C375</f>
        <v/>
      </c>
      <c r="G397">
        <f>E397/F397</f>
        <v/>
      </c>
    </row>
    <row r="398">
      <c r="A398" t="n">
        <v>524288</v>
      </c>
      <c r="B398" t="n">
        <v>31991.3</v>
      </c>
      <c r="C398">
        <f>C376*CEILING(A398*1024/(C367*C372*C366),1)+A398*1024*C374</f>
        <v/>
      </c>
      <c r="D398">
        <f>B398/C398</f>
        <v/>
      </c>
      <c r="E398" t="n">
        <v>33.3</v>
      </c>
      <c r="F398">
        <f>A398*1024/(C398*0.000001)/1000000000*C375</f>
        <v/>
      </c>
      <c r="G398">
        <f>E398/F398</f>
        <v/>
      </c>
    </row>
    <row r="399">
      <c r="A399" t="n">
        <v>1048576</v>
      </c>
      <c r="B399" t="n">
        <v>63875.9</v>
      </c>
      <c r="C399">
        <f>C376*CEILING(A399*1024/(C367*C372*C366),1)+A399*1024*C374</f>
        <v/>
      </c>
      <c r="D399">
        <f>B399/C399</f>
        <v/>
      </c>
      <c r="E399" t="n">
        <v>33.36</v>
      </c>
      <c r="F399">
        <f>A399*1024/(C399*0.000001)/1000000000*C375</f>
        <v/>
      </c>
      <c r="G399">
        <f>E399/F399</f>
        <v/>
      </c>
    </row>
    <row r="400"/>
    <row r="401">
      <c r="A401" t="inlineStr">
        <is>
          <t>Nodes: 16, Protocol: LL128, Channels: 1</t>
        </is>
      </c>
    </row>
    <row r="402">
      <c r="A402" t="inlineStr">
        <is>
          <t>Parameter</t>
        </is>
      </c>
      <c r="B402" t="inlineStr">
        <is>
          <t>Formula</t>
        </is>
      </c>
      <c r="C402" t="inlineStr">
        <is>
          <t>Value</t>
        </is>
      </c>
    </row>
    <row r="403">
      <c r="A403" t="inlineStr">
        <is>
          <t>N</t>
        </is>
      </c>
      <c r="B403" t="inlineStr">
        <is>
          <t>nodes</t>
        </is>
      </c>
      <c r="C403" t="n">
        <v>16</v>
      </c>
    </row>
    <row r="404">
      <c r="A404" t="inlineStr">
        <is>
          <t>n</t>
        </is>
      </c>
      <c r="B404" t="inlineStr">
        <is>
          <t>GPUs/node</t>
        </is>
      </c>
      <c r="C404" t="n">
        <v>8</v>
      </c>
    </row>
    <row r="405">
      <c r="A405" t="inlineStr">
        <is>
          <t>n_total</t>
        </is>
      </c>
      <c r="B405" t="inlineStr">
        <is>
          <t>N*n</t>
        </is>
      </c>
      <c r="C405" t="n">
        <v>128</v>
      </c>
    </row>
    <row r="406">
      <c r="A406" t="inlineStr">
        <is>
          <t>nch_raw</t>
        </is>
      </c>
      <c r="B406" t="inlineStr">
        <is>
          <t>raw channels</t>
        </is>
      </c>
      <c r="C406" t="n">
        <v>1</v>
      </c>
    </row>
    <row r="407">
      <c r="A407" t="inlineStr">
        <is>
          <t>nch</t>
        </is>
      </c>
      <c r="B407" t="inlineStr">
        <is>
          <t>min(nch_raw,8)</t>
        </is>
      </c>
      <c r="C407" t="n">
        <v>1</v>
      </c>
    </row>
    <row r="408">
      <c r="A408" t="inlineStr">
        <is>
          <t>a</t>
        </is>
      </c>
      <c r="B408" t="inlineStr">
        <is>
          <t>RTT (us)</t>
        </is>
      </c>
      <c r="C408" t="n">
        <v>24.92</v>
      </c>
    </row>
    <row r="409">
      <c r="A409" t="inlineStr">
        <is>
          <t>NIC_BW</t>
        </is>
      </c>
      <c r="B409" t="inlineStr">
        <is>
          <t>bytes/us</t>
        </is>
      </c>
      <c r="C409" t="n">
        <v>48750</v>
      </c>
    </row>
    <row r="410">
      <c r="A410" t="inlineStr">
        <is>
          <t>intra_node_latency</t>
        </is>
      </c>
      <c r="B410" t="inlineStr">
        <is>
          <t>us</t>
        </is>
      </c>
      <c r="C410" t="n">
        <v>8.4</v>
      </c>
    </row>
    <row r="411">
      <c r="A411" t="inlineStr">
        <is>
          <t>chunk_size</t>
        </is>
      </c>
      <c r="B411" t="inlineStr">
        <is>
          <t>bytes</t>
        </is>
      </c>
      <c r="C411" t="n">
        <v>576000</v>
      </c>
    </row>
    <row r="412">
      <c r="A412" t="inlineStr">
        <is>
          <t>G_agg</t>
        </is>
      </c>
      <c r="B412" t="inlineStr">
        <is>
          <t>nch*NIC_BW</t>
        </is>
      </c>
      <c r="C412">
        <f>C407*C409</f>
        <v/>
      </c>
    </row>
    <row r="413">
      <c r="A413" t="inlineStr">
        <is>
          <t>G</t>
        </is>
      </c>
      <c r="B413" t="inlineStr">
        <is>
          <t>(16/15)*2*(n_total-1)/(n_total*G_agg)</t>
        </is>
      </c>
      <c r="C413">
        <f>(16/15)*2*(C405-1)/(C405*C412)</f>
        <v/>
      </c>
    </row>
    <row r="414">
      <c r="A414" t="inlineStr">
        <is>
          <t>busbw_factor</t>
        </is>
      </c>
      <c r="B414" t="inlineStr">
        <is>
          <t>2*(n_total-1)/n_total</t>
        </is>
      </c>
      <c r="C414">
        <f>2*(C405-1)/C405</f>
        <v/>
      </c>
    </row>
    <row r="415">
      <c r="A415" t="inlineStr">
        <is>
          <t>fixed_per_step</t>
        </is>
      </c>
      <c r="B415" t="inlineStr">
        <is>
          <t>(2*N-1)*(a/2+intra)</t>
        </is>
      </c>
      <c r="C415">
        <f>(2*C403-1)*(C408/2+C410)</f>
        <v/>
      </c>
    </row>
    <row r="416"/>
    <row r="417">
      <c r="A417" t="inlineStr">
        <is>
          <t>size_KB</t>
        </is>
      </c>
      <c r="B417" t="inlineStr">
        <is>
          <t>Actual Time (us)</t>
        </is>
      </c>
      <c r="C417" t="inlineStr">
        <is>
          <t>Roofline Time (us)</t>
        </is>
      </c>
      <c r="D417" t="inlineStr">
        <is>
          <t>Actual/Roofline</t>
        </is>
      </c>
      <c r="E417" t="inlineStr">
        <is>
          <t>Actual busBW (GB/s)</t>
        </is>
      </c>
      <c r="F417" t="inlineStr">
        <is>
          <t>Roofline busBW (GB/s)</t>
        </is>
      </c>
      <c r="G417" t="inlineStr">
        <is>
          <t>Meas/Roof busBW</t>
        </is>
      </c>
    </row>
    <row r="418">
      <c r="A418" t="n">
        <v>1</v>
      </c>
      <c r="B418" t="n">
        <v>997.85</v>
      </c>
      <c r="C418">
        <f>C415*CEILING(A418*1024/(C406*C411*C405),1)+A418*1024*C413</f>
        <v/>
      </c>
      <c r="D418">
        <f>B418/C418</f>
        <v/>
      </c>
      <c r="E418" t="n">
        <v>0</v>
      </c>
      <c r="F418">
        <f>A418*1024/(C418*0.000001)/1000000000*C414</f>
        <v/>
      </c>
      <c r="G418">
        <f>E418/F418</f>
        <v/>
      </c>
    </row>
    <row r="419">
      <c r="A419" t="n">
        <v>2</v>
      </c>
      <c r="B419" t="n">
        <v>1028.29</v>
      </c>
      <c r="C419">
        <f>C415*CEILING(A419*1024/(C406*C411*C405),1)+A419*1024*C413</f>
        <v/>
      </c>
      <c r="D419">
        <f>B419/C419</f>
        <v/>
      </c>
      <c r="E419" t="n">
        <v>0</v>
      </c>
      <c r="F419">
        <f>A419*1024/(C419*0.000001)/1000000000*C414</f>
        <v/>
      </c>
      <c r="G419">
        <f>E419/F419</f>
        <v/>
      </c>
    </row>
    <row r="420">
      <c r="A420" t="n">
        <v>4</v>
      </c>
      <c r="B420" t="n">
        <v>1018.25</v>
      </c>
      <c r="C420">
        <f>C415*CEILING(A420*1024/(C406*C411*C405),1)+A420*1024*C413</f>
        <v/>
      </c>
      <c r="D420">
        <f>B420/C420</f>
        <v/>
      </c>
      <c r="E420" t="n">
        <v>0.01</v>
      </c>
      <c r="F420">
        <f>A420*1024/(C420*0.000001)/1000000000*C414</f>
        <v/>
      </c>
      <c r="G420">
        <f>E420/F420</f>
        <v/>
      </c>
    </row>
    <row r="421">
      <c r="A421" t="n">
        <v>8</v>
      </c>
      <c r="B421" t="n">
        <v>1023.64</v>
      </c>
      <c r="C421">
        <f>C415*CEILING(A421*1024/(C406*C411*C405),1)+A421*1024*C413</f>
        <v/>
      </c>
      <c r="D421">
        <f>B421/C421</f>
        <v/>
      </c>
      <c r="E421" t="n">
        <v>0.02</v>
      </c>
      <c r="F421">
        <f>A421*1024/(C421*0.000001)/1000000000*C414</f>
        <v/>
      </c>
      <c r="G421">
        <f>E421/F421</f>
        <v/>
      </c>
    </row>
    <row r="422">
      <c r="A422" t="n">
        <v>16</v>
      </c>
      <c r="B422" t="n">
        <v>1023.61</v>
      </c>
      <c r="C422">
        <f>C415*CEILING(A422*1024/(C406*C411*C405),1)+A422*1024*C413</f>
        <v/>
      </c>
      <c r="D422">
        <f>B422/C422</f>
        <v/>
      </c>
      <c r="E422" t="n">
        <v>0.03</v>
      </c>
      <c r="F422">
        <f>A422*1024/(C422*0.000001)/1000000000*C414</f>
        <v/>
      </c>
      <c r="G422">
        <f>E422/F422</f>
        <v/>
      </c>
    </row>
    <row r="423">
      <c r="A423" t="n">
        <v>32</v>
      </c>
      <c r="B423" t="n">
        <v>1020.34</v>
      </c>
      <c r="C423">
        <f>C415*CEILING(A423*1024/(C406*C411*C405),1)+A423*1024*C413</f>
        <v/>
      </c>
      <c r="D423">
        <f>B423/C423</f>
        <v/>
      </c>
      <c r="E423" t="n">
        <v>0.06</v>
      </c>
      <c r="F423">
        <f>A423*1024/(C423*0.000001)/1000000000*C414</f>
        <v/>
      </c>
      <c r="G423">
        <f>E423/F423</f>
        <v/>
      </c>
    </row>
    <row r="424">
      <c r="A424" t="n">
        <v>64</v>
      </c>
      <c r="B424" t="n">
        <v>1021.47</v>
      </c>
      <c r="C424">
        <f>C415*CEILING(A424*1024/(C406*C411*C405),1)+A424*1024*C413</f>
        <v/>
      </c>
      <c r="D424">
        <f>B424/C424</f>
        <v/>
      </c>
      <c r="E424" t="n">
        <v>0.13</v>
      </c>
      <c r="F424">
        <f>A424*1024/(C424*0.000001)/1000000000*C414</f>
        <v/>
      </c>
      <c r="G424">
        <f>E424/F424</f>
        <v/>
      </c>
    </row>
    <row r="425">
      <c r="A425" t="n">
        <v>128</v>
      </c>
      <c r="B425" t="n">
        <v>1022.04</v>
      </c>
      <c r="C425">
        <f>C415*CEILING(A425*1024/(C406*C411*C405),1)+A425*1024*C413</f>
        <v/>
      </c>
      <c r="D425">
        <f>B425/C425</f>
        <v/>
      </c>
      <c r="E425" t="n">
        <v>0.25</v>
      </c>
      <c r="F425">
        <f>A425*1024/(C425*0.000001)/1000000000*C414</f>
        <v/>
      </c>
      <c r="G425">
        <f>E425/F425</f>
        <v/>
      </c>
    </row>
    <row r="426">
      <c r="A426" t="n">
        <v>256</v>
      </c>
      <c r="B426" t="n">
        <v>1046.77</v>
      </c>
      <c r="C426">
        <f>C415*CEILING(A426*1024/(C406*C411*C405),1)+A426*1024*C413</f>
        <v/>
      </c>
      <c r="D426">
        <f>B426/C426</f>
        <v/>
      </c>
      <c r="E426" t="n">
        <v>0.5</v>
      </c>
      <c r="F426">
        <f>A426*1024/(C426*0.000001)/1000000000*C414</f>
        <v/>
      </c>
      <c r="G426">
        <f>E426/F426</f>
        <v/>
      </c>
    </row>
    <row r="427">
      <c r="A427" t="n">
        <v>512</v>
      </c>
      <c r="B427" t="n">
        <v>1081.22</v>
      </c>
      <c r="C427">
        <f>C415*CEILING(A427*1024/(C406*C411*C405),1)+A427*1024*C413</f>
        <v/>
      </c>
      <c r="D427">
        <f>B427/C427</f>
        <v/>
      </c>
      <c r="E427" t="n">
        <v>0.96</v>
      </c>
      <c r="F427">
        <f>A427*1024/(C427*0.000001)/1000000000*C414</f>
        <v/>
      </c>
      <c r="G427">
        <f>E427/F427</f>
        <v/>
      </c>
    </row>
    <row r="428">
      <c r="A428" t="n">
        <v>1024</v>
      </c>
      <c r="B428" t="n">
        <v>1162.77</v>
      </c>
      <c r="C428">
        <f>C415*CEILING(A428*1024/(C406*C411*C405),1)+A428*1024*C413</f>
        <v/>
      </c>
      <c r="D428">
        <f>B428/C428</f>
        <v/>
      </c>
      <c r="E428" t="n">
        <v>1.79</v>
      </c>
      <c r="F428">
        <f>A428*1024/(C428*0.000001)/1000000000*C414</f>
        <v/>
      </c>
      <c r="G428">
        <f>E428/F428</f>
        <v/>
      </c>
    </row>
    <row r="429">
      <c r="A429" t="n">
        <v>2048</v>
      </c>
      <c r="B429" t="n">
        <v>1233.23</v>
      </c>
      <c r="C429">
        <f>C415*CEILING(A429*1024/(C406*C411*C405),1)+A429*1024*C413</f>
        <v/>
      </c>
      <c r="D429">
        <f>B429/C429</f>
        <v/>
      </c>
      <c r="E429" t="n">
        <v>3.37</v>
      </c>
      <c r="F429">
        <f>A429*1024/(C429*0.000001)/1000000000*C414</f>
        <v/>
      </c>
      <c r="G429">
        <f>E429/F429</f>
        <v/>
      </c>
    </row>
    <row r="430">
      <c r="A430" t="n">
        <v>4096</v>
      </c>
      <c r="B430" t="n">
        <v>1391</v>
      </c>
      <c r="C430">
        <f>C415*CEILING(A430*1024/(C406*C411*C405),1)+A430*1024*C413</f>
        <v/>
      </c>
      <c r="D430">
        <f>B430/C430</f>
        <v/>
      </c>
      <c r="E430" t="n">
        <v>5.98</v>
      </c>
      <c r="F430">
        <f>A430*1024/(C430*0.000001)/1000000000*C414</f>
        <v/>
      </c>
      <c r="G430">
        <f>E430/F430</f>
        <v/>
      </c>
    </row>
    <row r="431">
      <c r="A431" t="n">
        <v>8192</v>
      </c>
      <c r="B431" t="n">
        <v>1597.93</v>
      </c>
      <c r="C431">
        <f>C415*CEILING(A431*1024/(C406*C411*C405),1)+A431*1024*C413</f>
        <v/>
      </c>
      <c r="D431">
        <f>B431/C431</f>
        <v/>
      </c>
      <c r="E431" t="n">
        <v>10.42</v>
      </c>
      <c r="F431">
        <f>A431*1024/(C431*0.000001)/1000000000*C414</f>
        <v/>
      </c>
      <c r="G431">
        <f>E431/F431</f>
        <v/>
      </c>
    </row>
    <row r="432">
      <c r="A432" t="n">
        <v>16384</v>
      </c>
      <c r="B432" t="n">
        <v>2326.05</v>
      </c>
      <c r="C432">
        <f>C415*CEILING(A432*1024/(C406*C411*C405),1)+A432*1024*C413</f>
        <v/>
      </c>
      <c r="D432">
        <f>B432/C432</f>
        <v/>
      </c>
      <c r="E432" t="n">
        <v>14.31</v>
      </c>
      <c r="F432">
        <f>A432*1024/(C432*0.000001)/1000000000*C414</f>
        <v/>
      </c>
      <c r="G432">
        <f>E432/F432</f>
        <v/>
      </c>
    </row>
    <row r="433">
      <c r="A433" t="n">
        <v>32768</v>
      </c>
      <c r="B433" t="n">
        <v>3686.74</v>
      </c>
      <c r="C433">
        <f>C415*CEILING(A433*1024/(C406*C411*C405),1)+A433*1024*C413</f>
        <v/>
      </c>
      <c r="D433">
        <f>B433/C433</f>
        <v/>
      </c>
      <c r="E433" t="n">
        <v>18.06</v>
      </c>
      <c r="F433">
        <f>A433*1024/(C433*0.000001)/1000000000*C414</f>
        <v/>
      </c>
      <c r="G433">
        <f>E433/F433</f>
        <v/>
      </c>
    </row>
    <row r="434">
      <c r="A434" t="n">
        <v>65536</v>
      </c>
      <c r="B434" t="n">
        <v>6503.89</v>
      </c>
      <c r="C434">
        <f>C415*CEILING(A434*1024/(C406*C411*C405),1)+A434*1024*C413</f>
        <v/>
      </c>
      <c r="D434">
        <f>B434/C434</f>
        <v/>
      </c>
      <c r="E434" t="n">
        <v>20.48</v>
      </c>
      <c r="F434">
        <f>A434*1024/(C434*0.000001)/1000000000*C414</f>
        <v/>
      </c>
      <c r="G434">
        <f>E434/F434</f>
        <v/>
      </c>
    </row>
    <row r="435">
      <c r="A435" t="n">
        <v>131072</v>
      </c>
      <c r="B435" t="n">
        <v>12986.3</v>
      </c>
      <c r="C435">
        <f>C415*CEILING(A435*1024/(C406*C411*C405),1)+A435*1024*C413</f>
        <v/>
      </c>
      <c r="D435">
        <f>B435/C435</f>
        <v/>
      </c>
      <c r="E435" t="n">
        <v>20.51</v>
      </c>
      <c r="F435">
        <f>A435*1024/(C435*0.000001)/1000000000*C414</f>
        <v/>
      </c>
      <c r="G435">
        <f>E435/F435</f>
        <v/>
      </c>
    </row>
    <row r="436">
      <c r="A436" t="n">
        <v>262144</v>
      </c>
      <c r="B436" t="n">
        <v>25834.2</v>
      </c>
      <c r="C436">
        <f>C415*CEILING(A436*1024/(C406*C411*C405),1)+A436*1024*C413</f>
        <v/>
      </c>
      <c r="D436">
        <f>B436/C436</f>
        <v/>
      </c>
      <c r="E436" t="n">
        <v>20.62</v>
      </c>
      <c r="F436">
        <f>A436*1024/(C436*0.000001)/1000000000*C414</f>
        <v/>
      </c>
      <c r="G436">
        <f>E436/F436</f>
        <v/>
      </c>
    </row>
    <row r="437">
      <c r="A437" t="n">
        <v>524288</v>
      </c>
      <c r="B437" t="n">
        <v>51649</v>
      </c>
      <c r="C437">
        <f>C415*CEILING(A437*1024/(C406*C411*C405),1)+A437*1024*C413</f>
        <v/>
      </c>
      <c r="D437">
        <f>B437/C437</f>
        <v/>
      </c>
      <c r="E437" t="n">
        <v>20.63</v>
      </c>
      <c r="F437">
        <f>A437*1024/(C437*0.000001)/1000000000*C414</f>
        <v/>
      </c>
      <c r="G437">
        <f>E437/F437</f>
        <v/>
      </c>
    </row>
    <row r="438">
      <c r="A438" t="n">
        <v>1048576</v>
      </c>
      <c r="B438" t="n">
        <v>102549</v>
      </c>
      <c r="C438">
        <f>C415*CEILING(A438*1024/(C406*C411*C405),1)+A438*1024*C413</f>
        <v/>
      </c>
      <c r="D438">
        <f>B438/C438</f>
        <v/>
      </c>
      <c r="E438" t="n">
        <v>20.78</v>
      </c>
      <c r="F438">
        <f>A438*1024/(C438*0.000001)/1000000000*C414</f>
        <v/>
      </c>
      <c r="G438">
        <f>E438/F438</f>
        <v/>
      </c>
    </row>
    <row r="439"/>
    <row r="440">
      <c r="A440" t="inlineStr">
        <is>
          <t>Nodes: 16, Protocol: LL128, Channels: 2</t>
        </is>
      </c>
    </row>
    <row r="441">
      <c r="A441" t="inlineStr">
        <is>
          <t>Parameter</t>
        </is>
      </c>
      <c r="B441" t="inlineStr">
        <is>
          <t>Formula</t>
        </is>
      </c>
      <c r="C441" t="inlineStr">
        <is>
          <t>Value</t>
        </is>
      </c>
    </row>
    <row r="442">
      <c r="A442" t="inlineStr">
        <is>
          <t>N</t>
        </is>
      </c>
      <c r="B442" t="inlineStr">
        <is>
          <t>nodes</t>
        </is>
      </c>
      <c r="C442" t="n">
        <v>16</v>
      </c>
    </row>
    <row r="443">
      <c r="A443" t="inlineStr">
        <is>
          <t>n</t>
        </is>
      </c>
      <c r="B443" t="inlineStr">
        <is>
          <t>GPUs/node</t>
        </is>
      </c>
      <c r="C443" t="n">
        <v>8</v>
      </c>
    </row>
    <row r="444">
      <c r="A444" t="inlineStr">
        <is>
          <t>n_total</t>
        </is>
      </c>
      <c r="B444" t="inlineStr">
        <is>
          <t>N*n</t>
        </is>
      </c>
      <c r="C444" t="n">
        <v>128</v>
      </c>
    </row>
    <row r="445">
      <c r="A445" t="inlineStr">
        <is>
          <t>nch_raw</t>
        </is>
      </c>
      <c r="B445" t="inlineStr">
        <is>
          <t>raw channels</t>
        </is>
      </c>
      <c r="C445" t="n">
        <v>2</v>
      </c>
    </row>
    <row r="446">
      <c r="A446" t="inlineStr">
        <is>
          <t>nch</t>
        </is>
      </c>
      <c r="B446" t="inlineStr">
        <is>
          <t>min(nch_raw,8)</t>
        </is>
      </c>
      <c r="C446" t="n">
        <v>2</v>
      </c>
    </row>
    <row r="447">
      <c r="A447" t="inlineStr">
        <is>
          <t>a</t>
        </is>
      </c>
      <c r="B447" t="inlineStr">
        <is>
          <t>RTT (us)</t>
        </is>
      </c>
      <c r="C447" t="n">
        <v>24.92</v>
      </c>
    </row>
    <row r="448">
      <c r="A448" t="inlineStr">
        <is>
          <t>NIC_BW</t>
        </is>
      </c>
      <c r="B448" t="inlineStr">
        <is>
          <t>bytes/us</t>
        </is>
      </c>
      <c r="C448" t="n">
        <v>48750</v>
      </c>
    </row>
    <row r="449">
      <c r="A449" t="inlineStr">
        <is>
          <t>intra_node_latency</t>
        </is>
      </c>
      <c r="B449" t="inlineStr">
        <is>
          <t>us</t>
        </is>
      </c>
      <c r="C449" t="n">
        <v>8.4</v>
      </c>
    </row>
    <row r="450">
      <c r="A450" t="inlineStr">
        <is>
          <t>chunk_size</t>
        </is>
      </c>
      <c r="B450" t="inlineStr">
        <is>
          <t>bytes</t>
        </is>
      </c>
      <c r="C450" t="n">
        <v>576000</v>
      </c>
    </row>
    <row r="451">
      <c r="A451" t="inlineStr">
        <is>
          <t>G_agg</t>
        </is>
      </c>
      <c r="B451" t="inlineStr">
        <is>
          <t>nch*NIC_BW</t>
        </is>
      </c>
      <c r="C451">
        <f>C446*C448</f>
        <v/>
      </c>
    </row>
    <row r="452">
      <c r="A452" t="inlineStr">
        <is>
          <t>G</t>
        </is>
      </c>
      <c r="B452" t="inlineStr">
        <is>
          <t>(16/15)*2*(n_total-1)/(n_total*G_agg)</t>
        </is>
      </c>
      <c r="C452">
        <f>(16/15)*2*(C444-1)/(C444*C451)</f>
        <v/>
      </c>
    </row>
    <row r="453">
      <c r="A453" t="inlineStr">
        <is>
          <t>busbw_factor</t>
        </is>
      </c>
      <c r="B453" t="inlineStr">
        <is>
          <t>2*(n_total-1)/n_total</t>
        </is>
      </c>
      <c r="C453">
        <f>2*(C444-1)/C444</f>
        <v/>
      </c>
    </row>
    <row r="454">
      <c r="A454" t="inlineStr">
        <is>
          <t>fixed_per_step</t>
        </is>
      </c>
      <c r="B454" t="inlineStr">
        <is>
          <t>(2*N-1)*(a/2+intra)</t>
        </is>
      </c>
      <c r="C454">
        <f>(2*C442-1)*(C447/2+C449)</f>
        <v/>
      </c>
    </row>
    <row r="455"/>
    <row r="456">
      <c r="A456" t="inlineStr">
        <is>
          <t>size_KB</t>
        </is>
      </c>
      <c r="B456" t="inlineStr">
        <is>
          <t>Actual Time (us)</t>
        </is>
      </c>
      <c r="C456" t="inlineStr">
        <is>
          <t>Roofline Time (us)</t>
        </is>
      </c>
      <c r="D456" t="inlineStr">
        <is>
          <t>Actual/Roofline</t>
        </is>
      </c>
      <c r="E456" t="inlineStr">
        <is>
          <t>Actual busBW (GB/s)</t>
        </is>
      </c>
      <c r="F456" t="inlineStr">
        <is>
          <t>Roofline busBW (GB/s)</t>
        </is>
      </c>
      <c r="G456" t="inlineStr">
        <is>
          <t>Meas/Roof busBW</t>
        </is>
      </c>
    </row>
    <row r="457">
      <c r="A457" t="n">
        <v>1</v>
      </c>
      <c r="B457" t="n">
        <v>991.03</v>
      </c>
      <c r="C457">
        <f>C454*CEILING(A457*1024/(C445*C450*C444),1)+A457*1024*C452</f>
        <v/>
      </c>
      <c r="D457">
        <f>B457/C457</f>
        <v/>
      </c>
      <c r="E457" t="n">
        <v>0</v>
      </c>
      <c r="F457">
        <f>A457*1024/(C457*0.000001)/1000000000*C453</f>
        <v/>
      </c>
      <c r="G457">
        <f>E457/F457</f>
        <v/>
      </c>
    </row>
    <row r="458">
      <c r="A458" t="n">
        <v>2</v>
      </c>
      <c r="B458" t="n">
        <v>1026.17</v>
      </c>
      <c r="C458">
        <f>C454*CEILING(A458*1024/(C445*C450*C444),1)+A458*1024*C452</f>
        <v/>
      </c>
      <c r="D458">
        <f>B458/C458</f>
        <v/>
      </c>
      <c r="E458" t="n">
        <v>0</v>
      </c>
      <c r="F458">
        <f>A458*1024/(C458*0.000001)/1000000000*C453</f>
        <v/>
      </c>
      <c r="G458">
        <f>E458/F458</f>
        <v/>
      </c>
    </row>
    <row r="459">
      <c r="A459" t="n">
        <v>4</v>
      </c>
      <c r="B459" t="n">
        <v>1016.85</v>
      </c>
      <c r="C459">
        <f>C454*CEILING(A459*1024/(C445*C450*C444),1)+A459*1024*C452</f>
        <v/>
      </c>
      <c r="D459">
        <f>B459/C459</f>
        <v/>
      </c>
      <c r="E459" t="n">
        <v>0.01</v>
      </c>
      <c r="F459">
        <f>A459*1024/(C459*0.000001)/1000000000*C453</f>
        <v/>
      </c>
      <c r="G459">
        <f>E459/F459</f>
        <v/>
      </c>
    </row>
    <row r="460">
      <c r="A460" t="n">
        <v>8</v>
      </c>
      <c r="B460" t="n">
        <v>1031.24</v>
      </c>
      <c r="C460">
        <f>C454*CEILING(A460*1024/(C445*C450*C444),1)+A460*1024*C452</f>
        <v/>
      </c>
      <c r="D460">
        <f>B460/C460</f>
        <v/>
      </c>
      <c r="E460" t="n">
        <v>0.02</v>
      </c>
      <c r="F460">
        <f>A460*1024/(C460*0.000001)/1000000000*C453</f>
        <v/>
      </c>
      <c r="G460">
        <f>E460/F460</f>
        <v/>
      </c>
    </row>
    <row r="461">
      <c r="A461" t="n">
        <v>16</v>
      </c>
      <c r="B461" t="n">
        <v>1020.66</v>
      </c>
      <c r="C461">
        <f>C454*CEILING(A461*1024/(C445*C450*C444),1)+A461*1024*C452</f>
        <v/>
      </c>
      <c r="D461">
        <f>B461/C461</f>
        <v/>
      </c>
      <c r="E461" t="n">
        <v>0.03</v>
      </c>
      <c r="F461">
        <f>A461*1024/(C461*0.000001)/1000000000*C453</f>
        <v/>
      </c>
      <c r="G461">
        <f>E461/F461</f>
        <v/>
      </c>
    </row>
    <row r="462">
      <c r="A462" t="n">
        <v>32</v>
      </c>
      <c r="B462" t="n">
        <v>1045.1</v>
      </c>
      <c r="C462">
        <f>C454*CEILING(A462*1024/(C445*C450*C444),1)+A462*1024*C452</f>
        <v/>
      </c>
      <c r="D462">
        <f>B462/C462</f>
        <v/>
      </c>
      <c r="E462" t="n">
        <v>0.06</v>
      </c>
      <c r="F462">
        <f>A462*1024/(C462*0.000001)/1000000000*C453</f>
        <v/>
      </c>
      <c r="G462">
        <f>E462/F462</f>
        <v/>
      </c>
    </row>
    <row r="463">
      <c r="A463" t="n">
        <v>64</v>
      </c>
      <c r="B463" t="n">
        <v>1034.55</v>
      </c>
      <c r="C463">
        <f>C454*CEILING(A463*1024/(C445*C450*C444),1)+A463*1024*C452</f>
        <v/>
      </c>
      <c r="D463">
        <f>B463/C463</f>
        <v/>
      </c>
      <c r="E463" t="n">
        <v>0.13</v>
      </c>
      <c r="F463">
        <f>A463*1024/(C463*0.000001)/1000000000*C453</f>
        <v/>
      </c>
      <c r="G463">
        <f>E463/F463</f>
        <v/>
      </c>
    </row>
    <row r="464">
      <c r="A464" t="n">
        <v>128</v>
      </c>
      <c r="B464" t="n">
        <v>1075.42</v>
      </c>
      <c r="C464">
        <f>C454*CEILING(A464*1024/(C445*C450*C444),1)+A464*1024*C452</f>
        <v/>
      </c>
      <c r="D464">
        <f>B464/C464</f>
        <v/>
      </c>
      <c r="E464" t="n">
        <v>0.24</v>
      </c>
      <c r="F464">
        <f>A464*1024/(C464*0.000001)/1000000000*C453</f>
        <v/>
      </c>
      <c r="G464">
        <f>E464/F464</f>
        <v/>
      </c>
    </row>
    <row r="465">
      <c r="A465" t="n">
        <v>256</v>
      </c>
      <c r="B465" t="n">
        <v>1048.56</v>
      </c>
      <c r="C465">
        <f>C454*CEILING(A465*1024/(C445*C450*C444),1)+A465*1024*C452</f>
        <v/>
      </c>
      <c r="D465">
        <f>B465/C465</f>
        <v/>
      </c>
      <c r="E465" t="n">
        <v>0.5</v>
      </c>
      <c r="F465">
        <f>A465*1024/(C465*0.000001)/1000000000*C453</f>
        <v/>
      </c>
      <c r="G465">
        <f>E465/F465</f>
        <v/>
      </c>
    </row>
    <row r="466">
      <c r="A466" t="n">
        <v>512</v>
      </c>
      <c r="B466" t="n">
        <v>1064.08</v>
      </c>
      <c r="C466">
        <f>C454*CEILING(A466*1024/(C445*C450*C444),1)+A466*1024*C452</f>
        <v/>
      </c>
      <c r="D466">
        <f>B466/C466</f>
        <v/>
      </c>
      <c r="E466" t="n">
        <v>0.98</v>
      </c>
      <c r="F466">
        <f>A466*1024/(C466*0.000001)/1000000000*C453</f>
        <v/>
      </c>
      <c r="G466">
        <f>E466/F466</f>
        <v/>
      </c>
    </row>
    <row r="467">
      <c r="A467" t="n">
        <v>1024</v>
      </c>
      <c r="B467" t="n">
        <v>1091.77</v>
      </c>
      <c r="C467">
        <f>C454*CEILING(A467*1024/(C445*C450*C444),1)+A467*1024*C452</f>
        <v/>
      </c>
      <c r="D467">
        <f>B467/C467</f>
        <v/>
      </c>
      <c r="E467" t="n">
        <v>1.91</v>
      </c>
      <c r="F467">
        <f>A467*1024/(C467*0.000001)/1000000000*C453</f>
        <v/>
      </c>
      <c r="G467">
        <f>E467/F467</f>
        <v/>
      </c>
    </row>
    <row r="468">
      <c r="A468" t="n">
        <v>2048</v>
      </c>
      <c r="B468" t="n">
        <v>1178.49</v>
      </c>
      <c r="C468">
        <f>C454*CEILING(A468*1024/(C445*C450*C444),1)+A468*1024*C452</f>
        <v/>
      </c>
      <c r="D468">
        <f>B468/C468</f>
        <v/>
      </c>
      <c r="E468" t="n">
        <v>3.53</v>
      </c>
      <c r="F468">
        <f>A468*1024/(C468*0.000001)/1000000000*C453</f>
        <v/>
      </c>
      <c r="G468">
        <f>E468/F468</f>
        <v/>
      </c>
    </row>
    <row r="469">
      <c r="A469" t="n">
        <v>4096</v>
      </c>
      <c r="B469" t="n">
        <v>1244.57</v>
      </c>
      <c r="C469">
        <f>C454*CEILING(A469*1024/(C445*C450*C444),1)+A469*1024*C452</f>
        <v/>
      </c>
      <c r="D469">
        <f>B469/C469</f>
        <v/>
      </c>
      <c r="E469" t="n">
        <v>6.69</v>
      </c>
      <c r="F469">
        <f>A469*1024/(C469*0.000001)/1000000000*C453</f>
        <v/>
      </c>
      <c r="G469">
        <f>E469/F469</f>
        <v/>
      </c>
    </row>
    <row r="470">
      <c r="A470" t="n">
        <v>8192</v>
      </c>
      <c r="B470" t="n">
        <v>1415.91</v>
      </c>
      <c r="C470">
        <f>C454*CEILING(A470*1024/(C445*C450*C444),1)+A470*1024*C452</f>
        <v/>
      </c>
      <c r="D470">
        <f>B470/C470</f>
        <v/>
      </c>
      <c r="E470" t="n">
        <v>11.76</v>
      </c>
      <c r="F470">
        <f>A470*1024/(C470*0.000001)/1000000000*C453</f>
        <v/>
      </c>
      <c r="G470">
        <f>E470/F470</f>
        <v/>
      </c>
    </row>
    <row r="471">
      <c r="A471" t="n">
        <v>16384</v>
      </c>
      <c r="B471" t="n">
        <v>1647.67</v>
      </c>
      <c r="C471">
        <f>C454*CEILING(A471*1024/(C445*C450*C444),1)+A471*1024*C452</f>
        <v/>
      </c>
      <c r="D471">
        <f>B471/C471</f>
        <v/>
      </c>
      <c r="E471" t="n">
        <v>20.21</v>
      </c>
      <c r="F471">
        <f>A471*1024/(C471*0.000001)/1000000000*C453</f>
        <v/>
      </c>
      <c r="G471">
        <f>E471/F471</f>
        <v/>
      </c>
    </row>
    <row r="472">
      <c r="A472" t="n">
        <v>32768</v>
      </c>
      <c r="B472" t="n">
        <v>2364.49</v>
      </c>
      <c r="C472">
        <f>C454*CEILING(A472*1024/(C445*C450*C444),1)+A472*1024*C452</f>
        <v/>
      </c>
      <c r="D472">
        <f>B472/C472</f>
        <v/>
      </c>
      <c r="E472" t="n">
        <v>28.16</v>
      </c>
      <c r="F472">
        <f>A472*1024/(C472*0.000001)/1000000000*C453</f>
        <v/>
      </c>
      <c r="G472">
        <f>E472/F472</f>
        <v/>
      </c>
    </row>
    <row r="473">
      <c r="A473" t="n">
        <v>65536</v>
      </c>
      <c r="B473" t="n">
        <v>3730.78</v>
      </c>
      <c r="C473">
        <f>C454*CEILING(A473*1024/(C445*C450*C444),1)+A473*1024*C452</f>
        <v/>
      </c>
      <c r="D473">
        <f>B473/C473</f>
        <v/>
      </c>
      <c r="E473" t="n">
        <v>35.69</v>
      </c>
      <c r="F473">
        <f>A473*1024/(C473*0.000001)/1000000000*C453</f>
        <v/>
      </c>
      <c r="G473">
        <f>E473/F473</f>
        <v/>
      </c>
    </row>
    <row r="474">
      <c r="A474" t="n">
        <v>131072</v>
      </c>
      <c r="B474" t="n">
        <v>6583.4</v>
      </c>
      <c r="C474">
        <f>C454*CEILING(A474*1024/(C445*C450*C444),1)+A474*1024*C452</f>
        <v/>
      </c>
      <c r="D474">
        <f>B474/C474</f>
        <v/>
      </c>
      <c r="E474" t="n">
        <v>40.46</v>
      </c>
      <c r="F474">
        <f>A474*1024/(C474*0.000001)/1000000000*C453</f>
        <v/>
      </c>
      <c r="G474">
        <f>E474/F474</f>
        <v/>
      </c>
    </row>
    <row r="475">
      <c r="A475" t="n">
        <v>262144</v>
      </c>
      <c r="B475" t="n">
        <v>13193.5</v>
      </c>
      <c r="C475">
        <f>C454*CEILING(A475*1024/(C445*C450*C444),1)+A475*1024*C452</f>
        <v/>
      </c>
      <c r="D475">
        <f>B475/C475</f>
        <v/>
      </c>
      <c r="E475" t="n">
        <v>40.37</v>
      </c>
      <c r="F475">
        <f>A475*1024/(C475*0.000001)/1000000000*C453</f>
        <v/>
      </c>
      <c r="G475">
        <f>E475/F475</f>
        <v/>
      </c>
    </row>
    <row r="476">
      <c r="A476" t="n">
        <v>524288</v>
      </c>
      <c r="B476" t="n">
        <v>26218.2</v>
      </c>
      <c r="C476">
        <f>C454*CEILING(A476*1024/(C445*C450*C444),1)+A476*1024*C452</f>
        <v/>
      </c>
      <c r="D476">
        <f>B476/C476</f>
        <v/>
      </c>
      <c r="E476" t="n">
        <v>40.63</v>
      </c>
      <c r="F476">
        <f>A476*1024/(C476*0.000001)/1000000000*C453</f>
        <v/>
      </c>
      <c r="G476">
        <f>E476/F476</f>
        <v/>
      </c>
    </row>
    <row r="477">
      <c r="A477" t="n">
        <v>1048576</v>
      </c>
      <c r="B477" t="n">
        <v>52544</v>
      </c>
      <c r="C477">
        <f>C454*CEILING(A477*1024/(C445*C450*C444),1)+A477*1024*C452</f>
        <v/>
      </c>
      <c r="D477">
        <f>B477/C477</f>
        <v/>
      </c>
      <c r="E477" t="n">
        <v>40.55</v>
      </c>
      <c r="F477">
        <f>A477*1024/(C477*0.000001)/1000000000*C453</f>
        <v/>
      </c>
      <c r="G477">
        <f>E477/F477</f>
        <v/>
      </c>
    </row>
    <row r="478"/>
    <row r="479">
      <c r="A479" t="inlineStr">
        <is>
          <t>Nodes: 16, Protocol: LL128, Channels: 4</t>
        </is>
      </c>
    </row>
    <row r="480">
      <c r="A480" t="inlineStr">
        <is>
          <t>Parameter</t>
        </is>
      </c>
      <c r="B480" t="inlineStr">
        <is>
          <t>Formula</t>
        </is>
      </c>
      <c r="C480" t="inlineStr">
        <is>
          <t>Value</t>
        </is>
      </c>
    </row>
    <row r="481">
      <c r="A481" t="inlineStr">
        <is>
          <t>N</t>
        </is>
      </c>
      <c r="B481" t="inlineStr">
        <is>
          <t>nodes</t>
        </is>
      </c>
      <c r="C481" t="n">
        <v>16</v>
      </c>
    </row>
    <row r="482">
      <c r="A482" t="inlineStr">
        <is>
          <t>n</t>
        </is>
      </c>
      <c r="B482" t="inlineStr">
        <is>
          <t>GPUs/node</t>
        </is>
      </c>
      <c r="C482" t="n">
        <v>8</v>
      </c>
    </row>
    <row r="483">
      <c r="A483" t="inlineStr">
        <is>
          <t>n_total</t>
        </is>
      </c>
      <c r="B483" t="inlineStr">
        <is>
          <t>N*n</t>
        </is>
      </c>
      <c r="C483" t="n">
        <v>128</v>
      </c>
    </row>
    <row r="484">
      <c r="A484" t="inlineStr">
        <is>
          <t>nch_raw</t>
        </is>
      </c>
      <c r="B484" t="inlineStr">
        <is>
          <t>raw channels</t>
        </is>
      </c>
      <c r="C484" t="n">
        <v>4</v>
      </c>
    </row>
    <row r="485">
      <c r="A485" t="inlineStr">
        <is>
          <t>nch</t>
        </is>
      </c>
      <c r="B485" t="inlineStr">
        <is>
          <t>min(nch_raw,8)</t>
        </is>
      </c>
      <c r="C485" t="n">
        <v>4</v>
      </c>
    </row>
    <row r="486">
      <c r="A486" t="inlineStr">
        <is>
          <t>a</t>
        </is>
      </c>
      <c r="B486" t="inlineStr">
        <is>
          <t>RTT (us)</t>
        </is>
      </c>
      <c r="C486" t="n">
        <v>24.92</v>
      </c>
    </row>
    <row r="487">
      <c r="A487" t="inlineStr">
        <is>
          <t>NIC_BW</t>
        </is>
      </c>
      <c r="B487" t="inlineStr">
        <is>
          <t>bytes/us</t>
        </is>
      </c>
      <c r="C487" t="n">
        <v>48750</v>
      </c>
    </row>
    <row r="488">
      <c r="A488" t="inlineStr">
        <is>
          <t>intra_node_latency</t>
        </is>
      </c>
      <c r="B488" t="inlineStr">
        <is>
          <t>us</t>
        </is>
      </c>
      <c r="C488" t="n">
        <v>8.4</v>
      </c>
    </row>
    <row r="489">
      <c r="A489" t="inlineStr">
        <is>
          <t>chunk_size</t>
        </is>
      </c>
      <c r="B489" t="inlineStr">
        <is>
          <t>bytes</t>
        </is>
      </c>
      <c r="C489" t="n">
        <v>576000</v>
      </c>
    </row>
    <row r="490">
      <c r="A490" t="inlineStr">
        <is>
          <t>G_agg</t>
        </is>
      </c>
      <c r="B490" t="inlineStr">
        <is>
          <t>nch*NIC_BW</t>
        </is>
      </c>
      <c r="C490">
        <f>C485*C487</f>
        <v/>
      </c>
    </row>
    <row r="491">
      <c r="A491" t="inlineStr">
        <is>
          <t>G</t>
        </is>
      </c>
      <c r="B491" t="inlineStr">
        <is>
          <t>(16/15)*2*(n_total-1)/(n_total*G_agg)</t>
        </is>
      </c>
      <c r="C491">
        <f>(16/15)*2*(C483-1)/(C483*C490)</f>
        <v/>
      </c>
    </row>
    <row r="492">
      <c r="A492" t="inlineStr">
        <is>
          <t>busbw_factor</t>
        </is>
      </c>
      <c r="B492" t="inlineStr">
        <is>
          <t>2*(n_total-1)/n_total</t>
        </is>
      </c>
      <c r="C492">
        <f>2*(C483-1)/C483</f>
        <v/>
      </c>
    </row>
    <row r="493">
      <c r="A493" t="inlineStr">
        <is>
          <t>fixed_per_step</t>
        </is>
      </c>
      <c r="B493" t="inlineStr">
        <is>
          <t>(2*N-1)*(a/2+intra)</t>
        </is>
      </c>
      <c r="C493">
        <f>(2*C481-1)*(C486/2+C488)</f>
        <v/>
      </c>
    </row>
    <row r="494"/>
    <row r="495">
      <c r="A495" t="inlineStr">
        <is>
          <t>size_KB</t>
        </is>
      </c>
      <c r="B495" t="inlineStr">
        <is>
          <t>Actual Time (us)</t>
        </is>
      </c>
      <c r="C495" t="inlineStr">
        <is>
          <t>Roofline Time (us)</t>
        </is>
      </c>
      <c r="D495" t="inlineStr">
        <is>
          <t>Actual/Roofline</t>
        </is>
      </c>
      <c r="E495" t="inlineStr">
        <is>
          <t>Actual busBW (GB/s)</t>
        </is>
      </c>
      <c r="F495" t="inlineStr">
        <is>
          <t>Roofline busBW (GB/s)</t>
        </is>
      </c>
      <c r="G495" t="inlineStr">
        <is>
          <t>Meas/Roof busBW</t>
        </is>
      </c>
    </row>
    <row r="496">
      <c r="A496" t="n">
        <v>1</v>
      </c>
      <c r="B496" t="n">
        <v>1003.07</v>
      </c>
      <c r="C496">
        <f>C493*CEILING(A496*1024/(C484*C489*C483),1)+A496*1024*C491</f>
        <v/>
      </c>
      <c r="D496">
        <f>B496/C496</f>
        <v/>
      </c>
      <c r="E496" t="n">
        <v>0</v>
      </c>
      <c r="F496">
        <f>A496*1024/(C496*0.000001)/1000000000*C492</f>
        <v/>
      </c>
      <c r="G496">
        <f>E496/F496</f>
        <v/>
      </c>
    </row>
    <row r="497">
      <c r="A497" t="n">
        <v>2</v>
      </c>
      <c r="B497" t="n">
        <v>1016.4</v>
      </c>
      <c r="C497">
        <f>C493*CEILING(A497*1024/(C484*C489*C483),1)+A497*1024*C491</f>
        <v/>
      </c>
      <c r="D497">
        <f>B497/C497</f>
        <v/>
      </c>
      <c r="E497" t="n">
        <v>0</v>
      </c>
      <c r="F497">
        <f>A497*1024/(C497*0.000001)/1000000000*C492</f>
        <v/>
      </c>
      <c r="G497">
        <f>E497/F497</f>
        <v/>
      </c>
    </row>
    <row r="498">
      <c r="A498" t="n">
        <v>4</v>
      </c>
      <c r="B498" t="n">
        <v>1021.47</v>
      </c>
      <c r="C498">
        <f>C493*CEILING(A498*1024/(C484*C489*C483),1)+A498*1024*C491</f>
        <v/>
      </c>
      <c r="D498">
        <f>B498/C498</f>
        <v/>
      </c>
      <c r="E498" t="n">
        <v>0.01</v>
      </c>
      <c r="F498">
        <f>A498*1024/(C498*0.000001)/1000000000*C492</f>
        <v/>
      </c>
      <c r="G498">
        <f>E498/F498</f>
        <v/>
      </c>
    </row>
    <row r="499">
      <c r="A499" t="n">
        <v>8</v>
      </c>
      <c r="B499" t="n">
        <v>1018.64</v>
      </c>
      <c r="C499">
        <f>C493*CEILING(A499*1024/(C484*C489*C483),1)+A499*1024*C491</f>
        <v/>
      </c>
      <c r="D499">
        <f>B499/C499</f>
        <v/>
      </c>
      <c r="E499" t="n">
        <v>0.02</v>
      </c>
      <c r="F499">
        <f>A499*1024/(C499*0.000001)/1000000000*C492</f>
        <v/>
      </c>
      <c r="G499">
        <f>E499/F499</f>
        <v/>
      </c>
    </row>
    <row r="500">
      <c r="A500" t="n">
        <v>16</v>
      </c>
      <c r="B500" t="n">
        <v>1019.32</v>
      </c>
      <c r="C500">
        <f>C493*CEILING(A500*1024/(C484*C489*C483),1)+A500*1024*C491</f>
        <v/>
      </c>
      <c r="D500">
        <f>B500/C500</f>
        <v/>
      </c>
      <c r="E500" t="n">
        <v>0.03</v>
      </c>
      <c r="F500">
        <f>A500*1024/(C500*0.000001)/1000000000*C492</f>
        <v/>
      </c>
      <c r="G500">
        <f>E500/F500</f>
        <v/>
      </c>
    </row>
    <row r="501">
      <c r="A501" t="n">
        <v>32</v>
      </c>
      <c r="B501" t="n">
        <v>1033.17</v>
      </c>
      <c r="C501">
        <f>C493*CEILING(A501*1024/(C484*C489*C483),1)+A501*1024*C491</f>
        <v/>
      </c>
      <c r="D501">
        <f>B501/C501</f>
        <v/>
      </c>
      <c r="E501" t="n">
        <v>0.06</v>
      </c>
      <c r="F501">
        <f>A501*1024/(C501*0.000001)/1000000000*C492</f>
        <v/>
      </c>
      <c r="G501">
        <f>E501/F501</f>
        <v/>
      </c>
    </row>
    <row r="502">
      <c r="A502" t="n">
        <v>64</v>
      </c>
      <c r="B502" t="n">
        <v>1043.39</v>
      </c>
      <c r="C502">
        <f>C493*CEILING(A502*1024/(C484*C489*C483),1)+A502*1024*C491</f>
        <v/>
      </c>
      <c r="D502">
        <f>B502/C502</f>
        <v/>
      </c>
      <c r="E502" t="n">
        <v>0.12</v>
      </c>
      <c r="F502">
        <f>A502*1024/(C502*0.000001)/1000000000*C492</f>
        <v/>
      </c>
      <c r="G502">
        <f>E502/F502</f>
        <v/>
      </c>
    </row>
    <row r="503">
      <c r="A503" t="n">
        <v>128</v>
      </c>
      <c r="B503" t="n">
        <v>1036.05</v>
      </c>
      <c r="C503">
        <f>C493*CEILING(A503*1024/(C484*C489*C483),1)+A503*1024*C491</f>
        <v/>
      </c>
      <c r="D503">
        <f>B503/C503</f>
        <v/>
      </c>
      <c r="E503" t="n">
        <v>0.25</v>
      </c>
      <c r="F503">
        <f>A503*1024/(C503*0.000001)/1000000000*C492</f>
        <v/>
      </c>
      <c r="G503">
        <f>E503/F503</f>
        <v/>
      </c>
    </row>
    <row r="504">
      <c r="A504" t="n">
        <v>256</v>
      </c>
      <c r="B504" t="n">
        <v>1039.72</v>
      </c>
      <c r="C504">
        <f>C493*CEILING(A504*1024/(C484*C489*C483),1)+A504*1024*C491</f>
        <v/>
      </c>
      <c r="D504">
        <f>B504/C504</f>
        <v/>
      </c>
      <c r="E504" t="n">
        <v>0.5</v>
      </c>
      <c r="F504">
        <f>A504*1024/(C504*0.000001)/1000000000*C492</f>
        <v/>
      </c>
      <c r="G504">
        <f>E504/F504</f>
        <v/>
      </c>
    </row>
    <row r="505">
      <c r="A505" t="n">
        <v>512</v>
      </c>
      <c r="B505" t="n">
        <v>1040.18</v>
      </c>
      <c r="C505">
        <f>C493*CEILING(A505*1024/(C484*C489*C483),1)+A505*1024*C491</f>
        <v/>
      </c>
      <c r="D505">
        <f>B505/C505</f>
        <v/>
      </c>
      <c r="E505" t="n">
        <v>1</v>
      </c>
      <c r="F505">
        <f>A505*1024/(C505*0.000001)/1000000000*C492</f>
        <v/>
      </c>
      <c r="G505">
        <f>E505/F505</f>
        <v/>
      </c>
    </row>
    <row r="506">
      <c r="A506" t="n">
        <v>1024</v>
      </c>
      <c r="B506" t="n">
        <v>1067.17</v>
      </c>
      <c r="C506">
        <f>C493*CEILING(A506*1024/(C484*C489*C483),1)+A506*1024*C491</f>
        <v/>
      </c>
      <c r="D506">
        <f>B506/C506</f>
        <v/>
      </c>
      <c r="E506" t="n">
        <v>1.95</v>
      </c>
      <c r="F506">
        <f>A506*1024/(C506*0.000001)/1000000000*C492</f>
        <v/>
      </c>
      <c r="G506">
        <f>E506/F506</f>
        <v/>
      </c>
    </row>
    <row r="507">
      <c r="A507" t="n">
        <v>2048</v>
      </c>
      <c r="B507" t="n">
        <v>1097.66</v>
      </c>
      <c r="C507">
        <f>C493*CEILING(A507*1024/(C484*C489*C483),1)+A507*1024*C491</f>
        <v/>
      </c>
      <c r="D507">
        <f>B507/C507</f>
        <v/>
      </c>
      <c r="E507" t="n">
        <v>3.79</v>
      </c>
      <c r="F507">
        <f>A507*1024/(C507*0.000001)/1000000000*C492</f>
        <v/>
      </c>
      <c r="G507">
        <f>E507/F507</f>
        <v/>
      </c>
    </row>
    <row r="508">
      <c r="A508" t="n">
        <v>4096</v>
      </c>
      <c r="B508" t="n">
        <v>1175.45</v>
      </c>
      <c r="C508">
        <f>C493*CEILING(A508*1024/(C484*C489*C483),1)+A508*1024*C491</f>
        <v/>
      </c>
      <c r="D508">
        <f>B508/C508</f>
        <v/>
      </c>
      <c r="E508" t="n">
        <v>7.08</v>
      </c>
      <c r="F508">
        <f>A508*1024/(C508*0.000001)/1000000000*C492</f>
        <v/>
      </c>
      <c r="G508">
        <f>E508/F508</f>
        <v/>
      </c>
    </row>
    <row r="509">
      <c r="A509" t="n">
        <v>8192</v>
      </c>
      <c r="B509" t="n">
        <v>1249.26</v>
      </c>
      <c r="C509">
        <f>C493*CEILING(A509*1024/(C484*C489*C483),1)+A509*1024*C491</f>
        <v/>
      </c>
      <c r="D509">
        <f>B509/C509</f>
        <v/>
      </c>
      <c r="E509" t="n">
        <v>13.32</v>
      </c>
      <c r="F509">
        <f>A509*1024/(C509*0.000001)/1000000000*C492</f>
        <v/>
      </c>
      <c r="G509">
        <f>E509/F509</f>
        <v/>
      </c>
    </row>
    <row r="510">
      <c r="A510" t="n">
        <v>16384</v>
      </c>
      <c r="B510" t="n">
        <v>1420.03</v>
      </c>
      <c r="C510">
        <f>C493*CEILING(A510*1024/(C484*C489*C483),1)+A510*1024*C491</f>
        <v/>
      </c>
      <c r="D510">
        <f>B510/C510</f>
        <v/>
      </c>
      <c r="E510" t="n">
        <v>23.44</v>
      </c>
      <c r="F510">
        <f>A510*1024/(C510*0.000001)/1000000000*C492</f>
        <v/>
      </c>
      <c r="G510">
        <f>E510/F510</f>
        <v/>
      </c>
    </row>
    <row r="511">
      <c r="A511" t="n">
        <v>32768</v>
      </c>
      <c r="B511" t="n">
        <v>1661.12</v>
      </c>
      <c r="C511">
        <f>C493*CEILING(A511*1024/(C484*C489*C483),1)+A511*1024*C491</f>
        <v/>
      </c>
      <c r="D511">
        <f>B511/C511</f>
        <v/>
      </c>
      <c r="E511" t="n">
        <v>40.08</v>
      </c>
      <c r="F511">
        <f>A511*1024/(C511*0.000001)/1000000000*C492</f>
        <v/>
      </c>
      <c r="G511">
        <f>E511/F511</f>
        <v/>
      </c>
    </row>
    <row r="512">
      <c r="A512" t="n">
        <v>65536</v>
      </c>
      <c r="B512" t="n">
        <v>2407.18</v>
      </c>
      <c r="C512">
        <f>C493*CEILING(A512*1024/(C484*C489*C483),1)+A512*1024*C491</f>
        <v/>
      </c>
      <c r="D512">
        <f>B512/C512</f>
        <v/>
      </c>
      <c r="E512" t="n">
        <v>55.32</v>
      </c>
      <c r="F512">
        <f>A512*1024/(C512*0.000001)/1000000000*C492</f>
        <v/>
      </c>
      <c r="G512">
        <f>E512/F512</f>
        <v/>
      </c>
    </row>
    <row r="513">
      <c r="A513" t="n">
        <v>131072</v>
      </c>
      <c r="B513" t="n">
        <v>3772.55</v>
      </c>
      <c r="C513">
        <f>C493*CEILING(A513*1024/(C484*C489*C483),1)+A513*1024*C491</f>
        <v/>
      </c>
      <c r="D513">
        <f>B513/C513</f>
        <v/>
      </c>
      <c r="E513" t="n">
        <v>70.59999999999999</v>
      </c>
      <c r="F513">
        <f>A513*1024/(C513*0.000001)/1000000000*C492</f>
        <v/>
      </c>
      <c r="G513">
        <f>E513/F513</f>
        <v/>
      </c>
    </row>
    <row r="514">
      <c r="A514" t="n">
        <v>262144</v>
      </c>
      <c r="B514" t="n">
        <v>6766.43</v>
      </c>
      <c r="C514">
        <f>C493*CEILING(A514*1024/(C484*C489*C483),1)+A514*1024*C491</f>
        <v/>
      </c>
      <c r="D514">
        <f>B514/C514</f>
        <v/>
      </c>
      <c r="E514" t="n">
        <v>78.72</v>
      </c>
      <c r="F514">
        <f>A514*1024/(C514*0.000001)/1000000000*C492</f>
        <v/>
      </c>
      <c r="G514">
        <f>E514/F514</f>
        <v/>
      </c>
    </row>
    <row r="515">
      <c r="A515" t="n">
        <v>524288</v>
      </c>
      <c r="B515" t="n">
        <v>13370.8</v>
      </c>
      <c r="C515">
        <f>C493*CEILING(A515*1024/(C484*C489*C483),1)+A515*1024*C491</f>
        <v/>
      </c>
      <c r="D515">
        <f>B515/C515</f>
        <v/>
      </c>
      <c r="E515" t="n">
        <v>79.68000000000001</v>
      </c>
      <c r="F515">
        <f>A515*1024/(C515*0.000001)/1000000000*C492</f>
        <v/>
      </c>
      <c r="G515">
        <f>E515/F515</f>
        <v/>
      </c>
    </row>
    <row r="516">
      <c r="A516" t="n">
        <v>1048576</v>
      </c>
      <c r="B516" t="n">
        <v>26714.7</v>
      </c>
      <c r="C516">
        <f>C493*CEILING(A516*1024/(C484*C489*C483),1)+A516*1024*C491</f>
        <v/>
      </c>
      <c r="D516">
        <f>B516/C516</f>
        <v/>
      </c>
      <c r="E516" t="n">
        <v>79.76000000000001</v>
      </c>
      <c r="F516">
        <f>A516*1024/(C516*0.000001)/1000000000*C492</f>
        <v/>
      </c>
      <c r="G516">
        <f>E516/F516</f>
        <v/>
      </c>
    </row>
    <row r="517"/>
    <row r="518">
      <c r="A518" t="inlineStr">
        <is>
          <t>Nodes: 16, Protocol: LL128, Channels: 8</t>
        </is>
      </c>
    </row>
    <row r="519">
      <c r="A519" t="inlineStr">
        <is>
          <t>Parameter</t>
        </is>
      </c>
      <c r="B519" t="inlineStr">
        <is>
          <t>Formula</t>
        </is>
      </c>
      <c r="C519" t="inlineStr">
        <is>
          <t>Value</t>
        </is>
      </c>
    </row>
    <row r="520">
      <c r="A520" t="inlineStr">
        <is>
          <t>N</t>
        </is>
      </c>
      <c r="B520" t="inlineStr">
        <is>
          <t>nodes</t>
        </is>
      </c>
      <c r="C520" t="n">
        <v>16</v>
      </c>
    </row>
    <row r="521">
      <c r="A521" t="inlineStr">
        <is>
          <t>n</t>
        </is>
      </c>
      <c r="B521" t="inlineStr">
        <is>
          <t>GPUs/node</t>
        </is>
      </c>
      <c r="C521" t="n">
        <v>8</v>
      </c>
    </row>
    <row r="522">
      <c r="A522" t="inlineStr">
        <is>
          <t>n_total</t>
        </is>
      </c>
      <c r="B522" t="inlineStr">
        <is>
          <t>N*n</t>
        </is>
      </c>
      <c r="C522" t="n">
        <v>128</v>
      </c>
    </row>
    <row r="523">
      <c r="A523" t="inlineStr">
        <is>
          <t>nch_raw</t>
        </is>
      </c>
      <c r="B523" t="inlineStr">
        <is>
          <t>raw channels</t>
        </is>
      </c>
      <c r="C523" t="n">
        <v>8</v>
      </c>
    </row>
    <row r="524">
      <c r="A524" t="inlineStr">
        <is>
          <t>nch</t>
        </is>
      </c>
      <c r="B524" t="inlineStr">
        <is>
          <t>min(nch_raw,8)</t>
        </is>
      </c>
      <c r="C524" t="n">
        <v>8</v>
      </c>
    </row>
    <row r="525">
      <c r="A525" t="inlineStr">
        <is>
          <t>a</t>
        </is>
      </c>
      <c r="B525" t="inlineStr">
        <is>
          <t>RTT (us)</t>
        </is>
      </c>
      <c r="C525" t="n">
        <v>24.92</v>
      </c>
    </row>
    <row r="526">
      <c r="A526" t="inlineStr">
        <is>
          <t>NIC_BW</t>
        </is>
      </c>
      <c r="B526" t="inlineStr">
        <is>
          <t>bytes/us</t>
        </is>
      </c>
      <c r="C526" t="n">
        <v>48750</v>
      </c>
    </row>
    <row r="527">
      <c r="A527" t="inlineStr">
        <is>
          <t>intra_node_latency</t>
        </is>
      </c>
      <c r="B527" t="inlineStr">
        <is>
          <t>us</t>
        </is>
      </c>
      <c r="C527" t="n">
        <v>8.4</v>
      </c>
    </row>
    <row r="528">
      <c r="A528" t="inlineStr">
        <is>
          <t>chunk_size</t>
        </is>
      </c>
      <c r="B528" t="inlineStr">
        <is>
          <t>bytes</t>
        </is>
      </c>
      <c r="C528" t="n">
        <v>576000</v>
      </c>
    </row>
    <row r="529">
      <c r="A529" t="inlineStr">
        <is>
          <t>G_agg</t>
        </is>
      </c>
      <c r="B529" t="inlineStr">
        <is>
          <t>nch*NIC_BW</t>
        </is>
      </c>
      <c r="C529">
        <f>C524*C526</f>
        <v/>
      </c>
    </row>
    <row r="530">
      <c r="A530" t="inlineStr">
        <is>
          <t>G</t>
        </is>
      </c>
      <c r="B530" t="inlineStr">
        <is>
          <t>(16/15)*2*(n_total-1)/(n_total*G_agg)</t>
        </is>
      </c>
      <c r="C530">
        <f>(16/15)*2*(C522-1)/(C522*C529)</f>
        <v/>
      </c>
    </row>
    <row r="531">
      <c r="A531" t="inlineStr">
        <is>
          <t>busbw_factor</t>
        </is>
      </c>
      <c r="B531" t="inlineStr">
        <is>
          <t>2*(n_total-1)/n_total</t>
        </is>
      </c>
      <c r="C531">
        <f>2*(C522-1)/C522</f>
        <v/>
      </c>
    </row>
    <row r="532">
      <c r="A532" t="inlineStr">
        <is>
          <t>fixed_per_step</t>
        </is>
      </c>
      <c r="B532" t="inlineStr">
        <is>
          <t>(2*N-1)*(a/2+intra)</t>
        </is>
      </c>
      <c r="C532">
        <f>(2*C520-1)*(C525/2+C527)</f>
        <v/>
      </c>
    </row>
    <row r="533"/>
    <row r="534">
      <c r="A534" t="inlineStr">
        <is>
          <t>size_KB</t>
        </is>
      </c>
      <c r="B534" t="inlineStr">
        <is>
          <t>Actual Time (us)</t>
        </is>
      </c>
      <c r="C534" t="inlineStr">
        <is>
          <t>Roofline Time (us)</t>
        </is>
      </c>
      <c r="D534" t="inlineStr">
        <is>
          <t>Actual/Roofline</t>
        </is>
      </c>
      <c r="E534" t="inlineStr">
        <is>
          <t>Actual busBW (GB/s)</t>
        </is>
      </c>
      <c r="F534" t="inlineStr">
        <is>
          <t>Roofline busBW (GB/s)</t>
        </is>
      </c>
      <c r="G534" t="inlineStr">
        <is>
          <t>Meas/Roof busBW</t>
        </is>
      </c>
    </row>
    <row r="535">
      <c r="A535" t="n">
        <v>1</v>
      </c>
      <c r="B535" t="n">
        <v>989.38</v>
      </c>
      <c r="C535">
        <f>C532*CEILING(A535*1024/(C523*C528*C522),1)+A535*1024*C530</f>
        <v/>
      </c>
      <c r="D535">
        <f>B535/C535</f>
        <v/>
      </c>
      <c r="E535" t="n">
        <v>0</v>
      </c>
      <c r="F535">
        <f>A535*1024/(C535*0.000001)/1000000000*C531</f>
        <v/>
      </c>
      <c r="G535">
        <f>E535/F535</f>
        <v/>
      </c>
    </row>
    <row r="536">
      <c r="A536" t="n">
        <v>2</v>
      </c>
      <c r="B536" t="n">
        <v>1020.69</v>
      </c>
      <c r="C536">
        <f>C532*CEILING(A536*1024/(C523*C528*C522),1)+A536*1024*C530</f>
        <v/>
      </c>
      <c r="D536">
        <f>B536/C536</f>
        <v/>
      </c>
      <c r="E536" t="n">
        <v>0</v>
      </c>
      <c r="F536">
        <f>A536*1024/(C536*0.000001)/1000000000*C531</f>
        <v/>
      </c>
      <c r="G536">
        <f>E536/F536</f>
        <v/>
      </c>
    </row>
    <row r="537">
      <c r="A537" t="n">
        <v>4</v>
      </c>
      <c r="B537" t="n">
        <v>1018.67</v>
      </c>
      <c r="C537">
        <f>C532*CEILING(A537*1024/(C523*C528*C522),1)+A537*1024*C530</f>
        <v/>
      </c>
      <c r="D537">
        <f>B537/C537</f>
        <v/>
      </c>
      <c r="E537" t="n">
        <v>0.01</v>
      </c>
      <c r="F537">
        <f>A537*1024/(C537*0.000001)/1000000000*C531</f>
        <v/>
      </c>
      <c r="G537">
        <f>E537/F537</f>
        <v/>
      </c>
    </row>
    <row r="538">
      <c r="A538" t="n">
        <v>8</v>
      </c>
      <c r="B538" t="n">
        <v>1028.26</v>
      </c>
      <c r="C538">
        <f>C532*CEILING(A538*1024/(C523*C528*C522),1)+A538*1024*C530</f>
        <v/>
      </c>
      <c r="D538">
        <f>B538/C538</f>
        <v/>
      </c>
      <c r="E538" t="n">
        <v>0.02</v>
      </c>
      <c r="F538">
        <f>A538*1024/(C538*0.000001)/1000000000*C531</f>
        <v/>
      </c>
      <c r="G538">
        <f>E538/F538</f>
        <v/>
      </c>
    </row>
    <row r="539">
      <c r="A539" t="n">
        <v>16</v>
      </c>
      <c r="B539" t="n">
        <v>1024.64</v>
      </c>
      <c r="C539">
        <f>C532*CEILING(A539*1024/(C523*C528*C522),1)+A539*1024*C530</f>
        <v/>
      </c>
      <c r="D539">
        <f>B539/C539</f>
        <v/>
      </c>
      <c r="E539" t="n">
        <v>0.03</v>
      </c>
      <c r="F539">
        <f>A539*1024/(C539*0.000001)/1000000000*C531</f>
        <v/>
      </c>
      <c r="G539">
        <f>E539/F539</f>
        <v/>
      </c>
    </row>
    <row r="540">
      <c r="A540" t="n">
        <v>32</v>
      </c>
      <c r="B540" t="n">
        <v>1176.25</v>
      </c>
      <c r="C540">
        <f>C532*CEILING(A540*1024/(C523*C528*C522),1)+A540*1024*C530</f>
        <v/>
      </c>
      <c r="D540">
        <f>B540/C540</f>
        <v/>
      </c>
      <c r="E540" t="n">
        <v>0.06</v>
      </c>
      <c r="F540">
        <f>A540*1024/(C540*0.000001)/1000000000*C531</f>
        <v/>
      </c>
      <c r="G540">
        <f>E540/F540</f>
        <v/>
      </c>
    </row>
    <row r="541">
      <c r="A541" t="n">
        <v>64</v>
      </c>
      <c r="B541" t="n">
        <v>1074.58</v>
      </c>
      <c r="C541">
        <f>C532*CEILING(A541*1024/(C523*C528*C522),1)+A541*1024*C530</f>
        <v/>
      </c>
      <c r="D541">
        <f>B541/C541</f>
        <v/>
      </c>
      <c r="E541" t="n">
        <v>0.12</v>
      </c>
      <c r="F541">
        <f>A541*1024/(C541*0.000001)/1000000000*C531</f>
        <v/>
      </c>
      <c r="G541">
        <f>E541/F541</f>
        <v/>
      </c>
    </row>
    <row r="542">
      <c r="A542" t="n">
        <v>128</v>
      </c>
      <c r="B542" t="n">
        <v>1080.63</v>
      </c>
      <c r="C542">
        <f>C532*CEILING(A542*1024/(C523*C528*C522),1)+A542*1024*C530</f>
        <v/>
      </c>
      <c r="D542">
        <f>B542/C542</f>
        <v/>
      </c>
      <c r="E542" t="n">
        <v>0.24</v>
      </c>
      <c r="F542">
        <f>A542*1024/(C542*0.000001)/1000000000*C531</f>
        <v/>
      </c>
      <c r="G542">
        <f>E542/F542</f>
        <v/>
      </c>
    </row>
    <row r="543">
      <c r="A543" t="n">
        <v>256</v>
      </c>
      <c r="B543" t="n">
        <v>1044.86</v>
      </c>
      <c r="C543">
        <f>C532*CEILING(A543*1024/(C523*C528*C522),1)+A543*1024*C530</f>
        <v/>
      </c>
      <c r="D543">
        <f>B543/C543</f>
        <v/>
      </c>
      <c r="E543" t="n">
        <v>0.5</v>
      </c>
      <c r="F543">
        <f>A543*1024/(C543*0.000001)/1000000000*C531</f>
        <v/>
      </c>
      <c r="G543">
        <f>E543/F543</f>
        <v/>
      </c>
    </row>
    <row r="544">
      <c r="A544" t="n">
        <v>512</v>
      </c>
      <c r="B544" t="n">
        <v>1095.18</v>
      </c>
      <c r="C544">
        <f>C532*CEILING(A544*1024/(C523*C528*C522),1)+A544*1024*C530</f>
        <v/>
      </c>
      <c r="D544">
        <f>B544/C544</f>
        <v/>
      </c>
      <c r="E544" t="n">
        <v>0.95</v>
      </c>
      <c r="F544">
        <f>A544*1024/(C544*0.000001)/1000000000*C531</f>
        <v/>
      </c>
      <c r="G544">
        <f>E544/F544</f>
        <v/>
      </c>
    </row>
    <row r="545">
      <c r="A545" t="n">
        <v>1024</v>
      </c>
      <c r="B545" t="n">
        <v>1046.07</v>
      </c>
      <c r="C545">
        <f>C532*CEILING(A545*1024/(C523*C528*C522),1)+A545*1024*C530</f>
        <v/>
      </c>
      <c r="D545">
        <f>B545/C545</f>
        <v/>
      </c>
      <c r="E545" t="n">
        <v>1.99</v>
      </c>
      <c r="F545">
        <f>A545*1024/(C545*0.000001)/1000000000*C531</f>
        <v/>
      </c>
      <c r="G545">
        <f>E545/F545</f>
        <v/>
      </c>
    </row>
    <row r="546">
      <c r="A546" t="n">
        <v>2048</v>
      </c>
      <c r="B546" t="n">
        <v>1073.56</v>
      </c>
      <c r="C546">
        <f>C532*CEILING(A546*1024/(C523*C528*C522),1)+A546*1024*C530</f>
        <v/>
      </c>
      <c r="D546">
        <f>B546/C546</f>
        <v/>
      </c>
      <c r="E546" t="n">
        <v>3.88</v>
      </c>
      <c r="F546">
        <f>A546*1024/(C546*0.000001)/1000000000*C531</f>
        <v/>
      </c>
      <c r="G546">
        <f>E546/F546</f>
        <v/>
      </c>
    </row>
    <row r="547">
      <c r="A547" t="n">
        <v>4096</v>
      </c>
      <c r="B547" t="n">
        <v>1105.08</v>
      </c>
      <c r="C547">
        <f>C532*CEILING(A547*1024/(C523*C528*C522),1)+A547*1024*C530</f>
        <v/>
      </c>
      <c r="D547">
        <f>B547/C547</f>
        <v/>
      </c>
      <c r="E547" t="n">
        <v>7.53</v>
      </c>
      <c r="F547">
        <f>A547*1024/(C547*0.000001)/1000000000*C531</f>
        <v/>
      </c>
      <c r="G547">
        <f>E547/F547</f>
        <v/>
      </c>
    </row>
    <row r="548">
      <c r="A548" t="n">
        <v>8192</v>
      </c>
      <c r="B548" t="n">
        <v>1185.76</v>
      </c>
      <c r="C548">
        <f>C532*CEILING(A548*1024/(C523*C528*C522),1)+A548*1024*C530</f>
        <v/>
      </c>
      <c r="D548">
        <f>B548/C548</f>
        <v/>
      </c>
      <c r="E548" t="n">
        <v>14.04</v>
      </c>
      <c r="F548">
        <f>A548*1024/(C548*0.000001)/1000000000*C531</f>
        <v/>
      </c>
      <c r="G548">
        <f>E548/F548</f>
        <v/>
      </c>
    </row>
    <row r="549">
      <c r="A549" t="n">
        <v>16384</v>
      </c>
      <c r="B549" t="n">
        <v>1299.95</v>
      </c>
      <c r="C549">
        <f>C532*CEILING(A549*1024/(C523*C528*C522),1)+A549*1024*C530</f>
        <v/>
      </c>
      <c r="D549">
        <f>B549/C549</f>
        <v/>
      </c>
      <c r="E549" t="n">
        <v>25.61</v>
      </c>
      <c r="F549">
        <f>A549*1024/(C549*0.000001)/1000000000*C531</f>
        <v/>
      </c>
      <c r="G549">
        <f>E549/F549</f>
        <v/>
      </c>
    </row>
    <row r="550">
      <c r="A550" t="n">
        <v>32768</v>
      </c>
      <c r="B550" t="n">
        <v>1449.21</v>
      </c>
      <c r="C550">
        <f>C532*CEILING(A550*1024/(C523*C528*C522),1)+A550*1024*C530</f>
        <v/>
      </c>
      <c r="D550">
        <f>B550/C550</f>
        <v/>
      </c>
      <c r="E550" t="n">
        <v>45.95</v>
      </c>
      <c r="F550">
        <f>A550*1024/(C550*0.000001)/1000000000*C531</f>
        <v/>
      </c>
      <c r="G550">
        <f>E550/F550</f>
        <v/>
      </c>
    </row>
    <row r="551">
      <c r="A551" t="n">
        <v>65536</v>
      </c>
      <c r="B551" t="n">
        <v>1684.54</v>
      </c>
      <c r="C551">
        <f>C532*CEILING(A551*1024/(C523*C528*C522),1)+A551*1024*C530</f>
        <v/>
      </c>
      <c r="D551">
        <f>B551/C551</f>
        <v/>
      </c>
      <c r="E551" t="n">
        <v>79.05</v>
      </c>
      <c r="F551">
        <f>A551*1024/(C551*0.000001)/1000000000*C531</f>
        <v/>
      </c>
      <c r="G551">
        <f>E551/F551</f>
        <v/>
      </c>
    </row>
    <row r="552">
      <c r="A552" t="n">
        <v>131072</v>
      </c>
      <c r="B552" t="n">
        <v>2456.29</v>
      </c>
      <c r="C552">
        <f>C532*CEILING(A552*1024/(C523*C528*C522),1)+A552*1024*C530</f>
        <v/>
      </c>
      <c r="D552">
        <f>B552/C552</f>
        <v/>
      </c>
      <c r="E552" t="n">
        <v>108.43</v>
      </c>
      <c r="F552">
        <f>A552*1024/(C552*0.000001)/1000000000*C531</f>
        <v/>
      </c>
      <c r="G552">
        <f>E552/F552</f>
        <v/>
      </c>
    </row>
    <row r="553">
      <c r="A553" t="n">
        <v>262144</v>
      </c>
      <c r="B553" t="n">
        <v>3857.23</v>
      </c>
      <c r="C553">
        <f>C532*CEILING(A553*1024/(C523*C528*C522),1)+A553*1024*C530</f>
        <v/>
      </c>
      <c r="D553">
        <f>B553/C553</f>
        <v/>
      </c>
      <c r="E553" t="n">
        <v>138.1</v>
      </c>
      <c r="F553">
        <f>A553*1024/(C553*0.000001)/1000000000*C531</f>
        <v/>
      </c>
      <c r="G553">
        <f>E553/F553</f>
        <v/>
      </c>
    </row>
    <row r="554">
      <c r="A554" t="n">
        <v>524288</v>
      </c>
      <c r="B554" t="n">
        <v>7123.67</v>
      </c>
      <c r="C554">
        <f>C532*CEILING(A554*1024/(C523*C528*C522),1)+A554*1024*C530</f>
        <v/>
      </c>
      <c r="D554">
        <f>B554/C554</f>
        <v/>
      </c>
      <c r="E554" t="n">
        <v>149.55</v>
      </c>
      <c r="F554">
        <f>A554*1024/(C554*0.000001)/1000000000*C531</f>
        <v/>
      </c>
      <c r="G554">
        <f>E554/F554</f>
        <v/>
      </c>
    </row>
    <row r="555">
      <c r="A555" t="n">
        <v>1048576</v>
      </c>
      <c r="B555" t="n">
        <v>14244.4</v>
      </c>
      <c r="C555">
        <f>C532*CEILING(A555*1024/(C523*C528*C522),1)+A555*1024*C530</f>
        <v/>
      </c>
      <c r="D555">
        <f>B555/C555</f>
        <v/>
      </c>
      <c r="E555" t="n">
        <v>149.58</v>
      </c>
      <c r="F555">
        <f>A555*1024/(C555*0.000001)/1000000000*C531</f>
        <v/>
      </c>
      <c r="G555">
        <f>E555/F555</f>
        <v/>
      </c>
    </row>
    <row r="556"/>
    <row r="557">
      <c r="A557" t="inlineStr">
        <is>
          <t>Nodes: 16, Protocol: LL128, Channels: 16</t>
        </is>
      </c>
    </row>
    <row r="558">
      <c r="A558" t="inlineStr">
        <is>
          <t>Parameter</t>
        </is>
      </c>
      <c r="B558" t="inlineStr">
        <is>
          <t>Formula</t>
        </is>
      </c>
      <c r="C558" t="inlineStr">
        <is>
          <t>Value</t>
        </is>
      </c>
    </row>
    <row r="559">
      <c r="A559" t="inlineStr">
        <is>
          <t>N</t>
        </is>
      </c>
      <c r="B559" t="inlineStr">
        <is>
          <t>nodes</t>
        </is>
      </c>
      <c r="C559" t="n">
        <v>16</v>
      </c>
    </row>
    <row r="560">
      <c r="A560" t="inlineStr">
        <is>
          <t>n</t>
        </is>
      </c>
      <c r="B560" t="inlineStr">
        <is>
          <t>GPUs/node</t>
        </is>
      </c>
      <c r="C560" t="n">
        <v>8</v>
      </c>
    </row>
    <row r="561">
      <c r="A561" t="inlineStr">
        <is>
          <t>n_total</t>
        </is>
      </c>
      <c r="B561" t="inlineStr">
        <is>
          <t>N*n</t>
        </is>
      </c>
      <c r="C561" t="n">
        <v>128</v>
      </c>
    </row>
    <row r="562">
      <c r="A562" t="inlineStr">
        <is>
          <t>nch_raw</t>
        </is>
      </c>
      <c r="B562" t="inlineStr">
        <is>
          <t>raw channels</t>
        </is>
      </c>
      <c r="C562" t="n">
        <v>16</v>
      </c>
    </row>
    <row r="563">
      <c r="A563" t="inlineStr">
        <is>
          <t>nch</t>
        </is>
      </c>
      <c r="B563" t="inlineStr">
        <is>
          <t>min(nch_raw,8)</t>
        </is>
      </c>
      <c r="C563" t="n">
        <v>8</v>
      </c>
    </row>
    <row r="564">
      <c r="A564" t="inlineStr">
        <is>
          <t>a</t>
        </is>
      </c>
      <c r="B564" t="inlineStr">
        <is>
          <t>RTT (us)</t>
        </is>
      </c>
      <c r="C564" t="n">
        <v>24.92</v>
      </c>
    </row>
    <row r="565">
      <c r="A565" t="inlineStr">
        <is>
          <t>NIC_BW</t>
        </is>
      </c>
      <c r="B565" t="inlineStr">
        <is>
          <t>bytes/us</t>
        </is>
      </c>
      <c r="C565" t="n">
        <v>48750</v>
      </c>
    </row>
    <row r="566">
      <c r="A566" t="inlineStr">
        <is>
          <t>intra_node_latency</t>
        </is>
      </c>
      <c r="B566" t="inlineStr">
        <is>
          <t>us</t>
        </is>
      </c>
      <c r="C566" t="n">
        <v>8.4</v>
      </c>
    </row>
    <row r="567">
      <c r="A567" t="inlineStr">
        <is>
          <t>chunk_size</t>
        </is>
      </c>
      <c r="B567" t="inlineStr">
        <is>
          <t>bytes</t>
        </is>
      </c>
      <c r="C567" t="n">
        <v>576000</v>
      </c>
    </row>
    <row r="568">
      <c r="A568" t="inlineStr">
        <is>
          <t>G_agg</t>
        </is>
      </c>
      <c r="B568" t="inlineStr">
        <is>
          <t>nch*NIC_BW</t>
        </is>
      </c>
      <c r="C568">
        <f>C563*C565</f>
        <v/>
      </c>
    </row>
    <row r="569">
      <c r="A569" t="inlineStr">
        <is>
          <t>G</t>
        </is>
      </c>
      <c r="B569" t="inlineStr">
        <is>
          <t>(16/15)*2*(n_total-1)/(n_total*G_agg)</t>
        </is>
      </c>
      <c r="C569">
        <f>(16/15)*2*(C561-1)/(C561*C568)</f>
        <v/>
      </c>
    </row>
    <row r="570">
      <c r="A570" t="inlineStr">
        <is>
          <t>busbw_factor</t>
        </is>
      </c>
      <c r="B570" t="inlineStr">
        <is>
          <t>2*(n_total-1)/n_total</t>
        </is>
      </c>
      <c r="C570">
        <f>2*(C561-1)/C561</f>
        <v/>
      </c>
    </row>
    <row r="571">
      <c r="A571" t="inlineStr">
        <is>
          <t>fixed_per_step</t>
        </is>
      </c>
      <c r="B571" t="inlineStr">
        <is>
          <t>(2*N-1)*(a/2+intra)</t>
        </is>
      </c>
      <c r="C571">
        <f>(2*C559-1)*(C564/2+C566)</f>
        <v/>
      </c>
    </row>
    <row r="572"/>
    <row r="573">
      <c r="A573" t="inlineStr">
        <is>
          <t>size_KB</t>
        </is>
      </c>
      <c r="B573" t="inlineStr">
        <is>
          <t>Actual Time (us)</t>
        </is>
      </c>
      <c r="C573" t="inlineStr">
        <is>
          <t>Roofline Time (us)</t>
        </is>
      </c>
      <c r="D573" t="inlineStr">
        <is>
          <t>Actual/Roofline</t>
        </is>
      </c>
      <c r="E573" t="inlineStr">
        <is>
          <t>Actual busBW (GB/s)</t>
        </is>
      </c>
      <c r="F573" t="inlineStr">
        <is>
          <t>Roofline busBW (GB/s)</t>
        </is>
      </c>
      <c r="G573" t="inlineStr">
        <is>
          <t>Meas/Roof busBW</t>
        </is>
      </c>
    </row>
    <row r="574">
      <c r="A574" t="n">
        <v>1</v>
      </c>
      <c r="B574" t="n">
        <v>997.72</v>
      </c>
      <c r="C574">
        <f>C571*CEILING(A574*1024/(C562*C567*C561),1)+A574*1024*C569</f>
        <v/>
      </c>
      <c r="D574">
        <f>B574/C574</f>
        <v/>
      </c>
      <c r="E574" t="n">
        <v>0</v>
      </c>
      <c r="F574">
        <f>A574*1024/(C574*0.000001)/1000000000*C570</f>
        <v/>
      </c>
      <c r="G574">
        <f>E574/F574</f>
        <v/>
      </c>
    </row>
    <row r="575">
      <c r="A575" t="n">
        <v>2</v>
      </c>
      <c r="B575" t="n">
        <v>1018.47</v>
      </c>
      <c r="C575">
        <f>C571*CEILING(A575*1024/(C562*C567*C561),1)+A575*1024*C569</f>
        <v/>
      </c>
      <c r="D575">
        <f>B575/C575</f>
        <v/>
      </c>
      <c r="E575" t="n">
        <v>0</v>
      </c>
      <c r="F575">
        <f>A575*1024/(C575*0.000001)/1000000000*C570</f>
        <v/>
      </c>
      <c r="G575">
        <f>E575/F575</f>
        <v/>
      </c>
    </row>
    <row r="576">
      <c r="A576" t="n">
        <v>4</v>
      </c>
      <c r="B576" t="n">
        <v>1017.5</v>
      </c>
      <c r="C576">
        <f>C571*CEILING(A576*1024/(C562*C567*C561),1)+A576*1024*C569</f>
        <v/>
      </c>
      <c r="D576">
        <f>B576/C576</f>
        <v/>
      </c>
      <c r="E576" t="n">
        <v>0.01</v>
      </c>
      <c r="F576">
        <f>A576*1024/(C576*0.000001)/1000000000*C570</f>
        <v/>
      </c>
      <c r="G576">
        <f>E576/F576</f>
        <v/>
      </c>
    </row>
    <row r="577">
      <c r="A577" t="n">
        <v>8</v>
      </c>
      <c r="B577" t="n">
        <v>1020.59</v>
      </c>
      <c r="C577">
        <f>C571*CEILING(A577*1024/(C562*C567*C561),1)+A577*1024*C569</f>
        <v/>
      </c>
      <c r="D577">
        <f>B577/C577</f>
        <v/>
      </c>
      <c r="E577" t="n">
        <v>0.02</v>
      </c>
      <c r="F577">
        <f>A577*1024/(C577*0.000001)/1000000000*C570</f>
        <v/>
      </c>
      <c r="G577">
        <f>E577/F577</f>
        <v/>
      </c>
    </row>
    <row r="578">
      <c r="A578" t="n">
        <v>16</v>
      </c>
      <c r="B578" t="n">
        <v>1021.17</v>
      </c>
      <c r="C578">
        <f>C571*CEILING(A578*1024/(C562*C567*C561),1)+A578*1024*C569</f>
        <v/>
      </c>
      <c r="D578">
        <f>B578/C578</f>
        <v/>
      </c>
      <c r="E578" t="n">
        <v>0.03</v>
      </c>
      <c r="F578">
        <f>A578*1024/(C578*0.000001)/1000000000*C570</f>
        <v/>
      </c>
      <c r="G578">
        <f>E578/F578</f>
        <v/>
      </c>
    </row>
    <row r="579">
      <c r="A579" t="n">
        <v>32</v>
      </c>
      <c r="B579" t="n">
        <v>1045.5</v>
      </c>
      <c r="C579">
        <f>C571*CEILING(A579*1024/(C562*C567*C561),1)+A579*1024*C569</f>
        <v/>
      </c>
      <c r="D579">
        <f>B579/C579</f>
        <v/>
      </c>
      <c r="E579" t="n">
        <v>0.06</v>
      </c>
      <c r="F579">
        <f>A579*1024/(C579*0.000001)/1000000000*C570</f>
        <v/>
      </c>
      <c r="G579">
        <f>E579/F579</f>
        <v/>
      </c>
    </row>
    <row r="580">
      <c r="A580" t="n">
        <v>64</v>
      </c>
      <c r="B580" t="n">
        <v>1038.32</v>
      </c>
      <c r="C580">
        <f>C571*CEILING(A580*1024/(C562*C567*C561),1)+A580*1024*C569</f>
        <v/>
      </c>
      <c r="D580">
        <f>B580/C580</f>
        <v/>
      </c>
      <c r="E580" t="n">
        <v>0.13</v>
      </c>
      <c r="F580">
        <f>A580*1024/(C580*0.000001)/1000000000*C570</f>
        <v/>
      </c>
      <c r="G580">
        <f>E580/F580</f>
        <v/>
      </c>
    </row>
    <row r="581">
      <c r="A581" t="n">
        <v>128</v>
      </c>
      <c r="B581" t="n">
        <v>1093</v>
      </c>
      <c r="C581">
        <f>C571*CEILING(A581*1024/(C562*C567*C561),1)+A581*1024*C569</f>
        <v/>
      </c>
      <c r="D581">
        <f>B581/C581</f>
        <v/>
      </c>
      <c r="E581" t="n">
        <v>0.24</v>
      </c>
      <c r="F581">
        <f>A581*1024/(C581*0.000001)/1000000000*C570</f>
        <v/>
      </c>
      <c r="G581">
        <f>E581/F581</f>
        <v/>
      </c>
    </row>
    <row r="582">
      <c r="A582" t="n">
        <v>256</v>
      </c>
      <c r="B582" t="n">
        <v>1313.24</v>
      </c>
      <c r="C582">
        <f>C571*CEILING(A582*1024/(C562*C567*C561),1)+A582*1024*C569</f>
        <v/>
      </c>
      <c r="D582">
        <f>B582/C582</f>
        <v/>
      </c>
      <c r="E582" t="n">
        <v>0.4</v>
      </c>
      <c r="F582">
        <f>A582*1024/(C582*0.000001)/1000000000*C570</f>
        <v/>
      </c>
      <c r="G582">
        <f>E582/F582</f>
        <v/>
      </c>
    </row>
    <row r="583">
      <c r="A583" t="n">
        <v>512</v>
      </c>
      <c r="B583" t="n">
        <v>1295.95</v>
      </c>
      <c r="C583">
        <f>C571*CEILING(A583*1024/(C562*C567*C561),1)+A583*1024*C569</f>
        <v/>
      </c>
      <c r="D583">
        <f>B583/C583</f>
        <v/>
      </c>
      <c r="E583" t="n">
        <v>0.8</v>
      </c>
      <c r="F583">
        <f>A583*1024/(C583*0.000001)/1000000000*C570</f>
        <v/>
      </c>
      <c r="G583">
        <f>E583/F583</f>
        <v/>
      </c>
    </row>
    <row r="584">
      <c r="A584" t="n">
        <v>1024</v>
      </c>
      <c r="B584" t="n">
        <v>1272.95</v>
      </c>
      <c r="C584">
        <f>C571*CEILING(A584*1024/(C562*C567*C561),1)+A584*1024*C569</f>
        <v/>
      </c>
      <c r="D584">
        <f>B584/C584</f>
        <v/>
      </c>
      <c r="E584" t="n">
        <v>1.63</v>
      </c>
      <c r="F584">
        <f>A584*1024/(C584*0.000001)/1000000000*C570</f>
        <v/>
      </c>
      <c r="G584">
        <f>E584/F584</f>
        <v/>
      </c>
    </row>
    <row r="585">
      <c r="A585" t="n">
        <v>2048</v>
      </c>
      <c r="B585" t="n">
        <v>1266.44</v>
      </c>
      <c r="C585">
        <f>C571*CEILING(A585*1024/(C562*C567*C561),1)+A585*1024*C569</f>
        <v/>
      </c>
      <c r="D585">
        <f>B585/C585</f>
        <v/>
      </c>
      <c r="E585" t="n">
        <v>3.29</v>
      </c>
      <c r="F585">
        <f>A585*1024/(C585*0.000001)/1000000000*C570</f>
        <v/>
      </c>
      <c r="G585">
        <f>E585/F585</f>
        <v/>
      </c>
    </row>
    <row r="586">
      <c r="A586" t="n">
        <v>4096</v>
      </c>
      <c r="B586" t="n">
        <v>1281.49</v>
      </c>
      <c r="C586">
        <f>C571*CEILING(A586*1024/(C562*C567*C561),1)+A586*1024*C569</f>
        <v/>
      </c>
      <c r="D586">
        <f>B586/C586</f>
        <v/>
      </c>
      <c r="E586" t="n">
        <v>6.49</v>
      </c>
      <c r="F586">
        <f>A586*1024/(C586*0.000001)/1000000000*C570</f>
        <v/>
      </c>
      <c r="G586">
        <f>E586/F586</f>
        <v/>
      </c>
    </row>
    <row r="587">
      <c r="A587" t="n">
        <v>8192</v>
      </c>
      <c r="B587" t="n">
        <v>1333.17</v>
      </c>
      <c r="C587">
        <f>C571*CEILING(A587*1024/(C562*C567*C561),1)+A587*1024*C569</f>
        <v/>
      </c>
      <c r="D587">
        <f>B587/C587</f>
        <v/>
      </c>
      <c r="E587" t="n">
        <v>12.49</v>
      </c>
      <c r="F587">
        <f>A587*1024/(C587*0.000001)/1000000000*C570</f>
        <v/>
      </c>
      <c r="G587">
        <f>E587/F587</f>
        <v/>
      </c>
    </row>
    <row r="588">
      <c r="A588" t="n">
        <v>16384</v>
      </c>
      <c r="B588" t="n">
        <v>1358.54</v>
      </c>
      <c r="C588">
        <f>C571*CEILING(A588*1024/(C562*C567*C561),1)+A588*1024*C569</f>
        <v/>
      </c>
      <c r="D588">
        <f>B588/C588</f>
        <v/>
      </c>
      <c r="E588" t="n">
        <v>24.51</v>
      </c>
      <c r="F588">
        <f>A588*1024/(C588*0.000001)/1000000000*C570</f>
        <v/>
      </c>
      <c r="G588">
        <f>E588/F588</f>
        <v/>
      </c>
    </row>
    <row r="589">
      <c r="A589" t="n">
        <v>32768</v>
      </c>
      <c r="B589" t="n">
        <v>1430.02</v>
      </c>
      <c r="C589">
        <f>C571*CEILING(A589*1024/(C562*C567*C561),1)+A589*1024*C569</f>
        <v/>
      </c>
      <c r="D589">
        <f>B589/C589</f>
        <v/>
      </c>
      <c r="E589" t="n">
        <v>46.56</v>
      </c>
      <c r="F589">
        <f>A589*1024/(C589*0.000001)/1000000000*C570</f>
        <v/>
      </c>
      <c r="G589">
        <f>E589/F589</f>
        <v/>
      </c>
    </row>
    <row r="590">
      <c r="A590" t="n">
        <v>65536</v>
      </c>
      <c r="B590" t="n">
        <v>1565.96</v>
      </c>
      <c r="C590">
        <f>C571*CEILING(A590*1024/(C562*C567*C561),1)+A590*1024*C569</f>
        <v/>
      </c>
      <c r="D590">
        <f>B590/C590</f>
        <v/>
      </c>
      <c r="E590" t="n">
        <v>85.04000000000001</v>
      </c>
      <c r="F590">
        <f>A590*1024/(C590*0.000001)/1000000000*C570</f>
        <v/>
      </c>
      <c r="G590">
        <f>E590/F590</f>
        <v/>
      </c>
    </row>
    <row r="591">
      <c r="A591" t="n">
        <v>131072</v>
      </c>
      <c r="B591" t="n">
        <v>1819.83</v>
      </c>
      <c r="C591">
        <f>C571*CEILING(A591*1024/(C562*C567*C561),1)+A591*1024*C569</f>
        <v/>
      </c>
      <c r="D591">
        <f>B591/C591</f>
        <v/>
      </c>
      <c r="E591" t="n">
        <v>146.35</v>
      </c>
      <c r="F591">
        <f>A591*1024/(C591*0.000001)/1000000000*C570</f>
        <v/>
      </c>
      <c r="G591">
        <f>E591/F591</f>
        <v/>
      </c>
    </row>
    <row r="592">
      <c r="A592" t="n">
        <v>262144</v>
      </c>
      <c r="B592" t="n">
        <v>2525.32</v>
      </c>
      <c r="C592">
        <f>C571*CEILING(A592*1024/(C562*C567*C561),1)+A592*1024*C569</f>
        <v/>
      </c>
      <c r="D592">
        <f>B592/C592</f>
        <v/>
      </c>
      <c r="E592" t="n">
        <v>210.93</v>
      </c>
      <c r="F592">
        <f>A592*1024/(C592*0.000001)/1000000000*C570</f>
        <v/>
      </c>
      <c r="G592">
        <f>E592/F592</f>
        <v/>
      </c>
    </row>
    <row r="593">
      <c r="A593" t="n">
        <v>524288</v>
      </c>
      <c r="B593" t="n">
        <v>4166.7</v>
      </c>
      <c r="C593">
        <f>C571*CEILING(A593*1024/(C562*C567*C561),1)+A593*1024*C569</f>
        <v/>
      </c>
      <c r="D593">
        <f>B593/C593</f>
        <v/>
      </c>
      <c r="E593" t="n">
        <v>255.68</v>
      </c>
      <c r="F593">
        <f>A593*1024/(C593*0.000001)/1000000000*C570</f>
        <v/>
      </c>
      <c r="G593">
        <f>E593/F593</f>
        <v/>
      </c>
    </row>
    <row r="594">
      <c r="A594" t="n">
        <v>1048576</v>
      </c>
      <c r="B594" t="n">
        <v>7459.31</v>
      </c>
      <c r="C594">
        <f>C571*CEILING(A594*1024/(C562*C567*C561),1)+A594*1024*C569</f>
        <v/>
      </c>
      <c r="D594">
        <f>B594/C594</f>
        <v/>
      </c>
      <c r="E594" t="n">
        <v>285.64</v>
      </c>
      <c r="F594">
        <f>A594*1024/(C594*0.000001)/1000000000*C570</f>
        <v/>
      </c>
      <c r="G594">
        <f>E594/F594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79"/>
  <sheetViews>
    <sheetView tabSelected="1" zoomScaleNormal="100" workbookViewId="0">
      <selection activeCell="A1" sqref="A1"/>
    </sheetView>
  </sheetViews>
  <sheetFormatPr baseColWidth="10" defaultColWidth="8.83203125" defaultRowHeight="15"/>
  <sheetData>
    <row r="1">
      <c r="A1" t="inlineStr">
        <is>
          <t>Nodes: 16, Protocol: Simple, Channels: 1</t>
        </is>
      </c>
    </row>
    <row r="2">
      <c r="A2" t="inlineStr">
        <is>
          <t>Parameter</t>
        </is>
      </c>
      <c r="B2" t="inlineStr">
        <is>
          <t>Formula</t>
        </is>
      </c>
      <c r="C2" t="inlineStr">
        <is>
          <t>Value</t>
        </is>
      </c>
    </row>
    <row r="3">
      <c r="A3" t="inlineStr">
        <is>
          <t>N</t>
        </is>
      </c>
      <c r="B3" t="inlineStr">
        <is>
          <t>nodes</t>
        </is>
      </c>
      <c r="C3" t="n">
        <v>16</v>
      </c>
    </row>
    <row r="4">
      <c r="A4" t="inlineStr">
        <is>
          <t>n</t>
        </is>
      </c>
      <c r="B4" t="inlineStr">
        <is>
          <t>GPUs/node</t>
        </is>
      </c>
      <c r="C4" t="n">
        <v>8</v>
      </c>
    </row>
    <row r="5">
      <c r="A5" t="inlineStr">
        <is>
          <t>n_total</t>
        </is>
      </c>
      <c r="B5" t="inlineStr">
        <is>
          <t>N*n</t>
        </is>
      </c>
      <c r="C5" t="n">
        <v>128</v>
      </c>
    </row>
    <row r="6">
      <c r="A6" t="inlineStr">
        <is>
          <t>nch_raw</t>
        </is>
      </c>
      <c r="B6" t="inlineStr">
        <is>
          <t>raw channels</t>
        </is>
      </c>
      <c r="C6" t="n">
        <v>1</v>
      </c>
    </row>
    <row r="7">
      <c r="A7" t="inlineStr">
        <is>
          <t>nch_eff</t>
        </is>
      </c>
      <c r="B7" t="inlineStr">
        <is>
          <t>min(nch_raw,8)</t>
        </is>
      </c>
      <c r="C7" t="n">
        <v>1</v>
      </c>
    </row>
    <row r="8">
      <c r="A8" t="inlineStr">
        <is>
          <t>a</t>
        </is>
      </c>
      <c r="B8" t="inlineStr">
        <is>
          <t>RTT (us)</t>
        </is>
      </c>
      <c r="C8" t="n">
        <v>24.92</v>
      </c>
    </row>
    <row r="9">
      <c r="A9" t="inlineStr">
        <is>
          <t>NIC_BW</t>
        </is>
      </c>
      <c r="B9" t="inlineStr">
        <is>
          <t>bytes/us</t>
        </is>
      </c>
      <c r="C9" t="n">
        <v>48750</v>
      </c>
    </row>
    <row r="10">
      <c r="A10" t="inlineStr">
        <is>
          <t>intra_node_tree_latency</t>
        </is>
      </c>
      <c r="B10" t="inlineStr">
        <is>
          <t>us</t>
        </is>
      </c>
      <c r="C10" t="n">
        <v>8.4</v>
      </c>
    </row>
    <row r="11">
      <c r="A11" t="inlineStr">
        <is>
          <t>NIC_BW_REAL</t>
        </is>
      </c>
      <c r="B11" t="inlineStr">
        <is>
          <t>nch_eff*NIC_BW/3</t>
        </is>
      </c>
      <c r="C11">
        <f>C7*C9/3</f>
        <v/>
      </c>
    </row>
    <row r="12">
      <c r="A12" t="inlineStr">
        <is>
          <t>G</t>
        </is>
      </c>
      <c r="B12" t="inlineStr">
        <is>
          <t>1/NIC_BW_REAL</t>
        </is>
      </c>
      <c r="C12">
        <f>1/C11</f>
        <v/>
      </c>
    </row>
    <row r="13">
      <c r="A13" t="inlineStr">
        <is>
          <t>busbw_factor</t>
        </is>
      </c>
      <c r="B13" t="inlineStr">
        <is>
          <t>2*(n_total-1)/n_total</t>
        </is>
      </c>
      <c r="C13">
        <f>2*(C5-1)/C5</f>
        <v/>
      </c>
    </row>
    <row r="14">
      <c r="A14" t="inlineStr">
        <is>
          <t>fixed_overhead</t>
        </is>
      </c>
      <c r="B14" t="inlineStr">
        <is>
          <t>(2*LOG2(N)+1)*a/2+2*intra</t>
        </is>
      </c>
      <c r="C14">
        <f>(2*LOG(C3,2)+1)*C8/2+2*C10</f>
        <v/>
      </c>
    </row>
    <row r="15"/>
    <row r="16">
      <c r="A16" t="inlineStr">
        <is>
          <t>size_KB</t>
        </is>
      </c>
      <c r="B16" t="inlineStr">
        <is>
          <t>Actual Time (us)</t>
        </is>
      </c>
      <c r="C16" t="inlineStr">
        <is>
          <t>Roofline Time (us)</t>
        </is>
      </c>
      <c r="D16" t="inlineStr">
        <is>
          <t>Actual/Roofline</t>
        </is>
      </c>
      <c r="E16" t="inlineStr">
        <is>
          <t>Actual busBW (GB/s)</t>
        </is>
      </c>
      <c r="F16" t="inlineStr">
        <is>
          <t>Roofline busBW (GB/s)</t>
        </is>
      </c>
      <c r="G16" t="inlineStr">
        <is>
          <t>Meas/Roof busBW</t>
        </is>
      </c>
    </row>
    <row r="17">
      <c r="A17" t="n">
        <v>1</v>
      </c>
      <c r="B17" t="n">
        <v>272.28</v>
      </c>
      <c r="C17">
        <f>C14+A17*1024*C12</f>
        <v/>
      </c>
      <c r="D17">
        <f>B17/C17</f>
        <v/>
      </c>
      <c r="E17" t="n">
        <v>0.01</v>
      </c>
      <c r="F17">
        <f>A17*1024/(C17*0.000001)/1000000000*C13</f>
        <v/>
      </c>
      <c r="G17">
        <f>E17/F17</f>
        <v/>
      </c>
    </row>
    <row r="18">
      <c r="A18" t="n">
        <v>2</v>
      </c>
      <c r="B18" t="n">
        <v>236.39</v>
      </c>
      <c r="C18">
        <f>C14+A18*1024*C12</f>
        <v/>
      </c>
      <c r="D18">
        <f>B18/C18</f>
        <v/>
      </c>
      <c r="E18" t="n">
        <v>0.02</v>
      </c>
      <c r="F18">
        <f>A18*1024/(C18*0.000001)/1000000000*C13</f>
        <v/>
      </c>
      <c r="G18">
        <f>E18/F18</f>
        <v/>
      </c>
    </row>
    <row r="19">
      <c r="A19" t="n">
        <v>4</v>
      </c>
      <c r="B19" t="n">
        <v>244.68</v>
      </c>
      <c r="C19">
        <f>C14+A19*1024*C12</f>
        <v/>
      </c>
      <c r="D19">
        <f>B19/C19</f>
        <v/>
      </c>
      <c r="E19" t="n">
        <v>0.03</v>
      </c>
      <c r="F19">
        <f>A19*1024/(C19*0.000001)/1000000000*C13</f>
        <v/>
      </c>
      <c r="G19">
        <f>E19/F19</f>
        <v/>
      </c>
    </row>
    <row r="20">
      <c r="A20" t="n">
        <v>8</v>
      </c>
      <c r="B20" t="n">
        <v>262.69</v>
      </c>
      <c r="C20">
        <f>C14+A20*1024*C12</f>
        <v/>
      </c>
      <c r="D20">
        <f>B20/C20</f>
        <v/>
      </c>
      <c r="E20" t="n">
        <v>0.06</v>
      </c>
      <c r="F20">
        <f>A20*1024/(C20*0.000001)/1000000000*C13</f>
        <v/>
      </c>
      <c r="G20">
        <f>E20/F20</f>
        <v/>
      </c>
    </row>
    <row r="21">
      <c r="A21" t="n">
        <v>16</v>
      </c>
      <c r="B21" t="n">
        <v>304.03</v>
      </c>
      <c r="C21">
        <f>C14+A21*1024*C12</f>
        <v/>
      </c>
      <c r="D21">
        <f>B21/C21</f>
        <v/>
      </c>
      <c r="E21" t="n">
        <v>0.11</v>
      </c>
      <c r="F21">
        <f>A21*1024/(C21*0.000001)/1000000000*C13</f>
        <v/>
      </c>
      <c r="G21">
        <f>E21/F21</f>
        <v/>
      </c>
    </row>
    <row r="22">
      <c r="A22" t="n">
        <v>32</v>
      </c>
      <c r="B22" t="n">
        <v>342.91</v>
      </c>
      <c r="C22">
        <f>C14+A22*1024*C12</f>
        <v/>
      </c>
      <c r="D22">
        <f>B22/C22</f>
        <v/>
      </c>
      <c r="E22" t="n">
        <v>0.19</v>
      </c>
      <c r="F22">
        <f>A22*1024/(C22*0.000001)/1000000000*C13</f>
        <v/>
      </c>
      <c r="G22">
        <f>E22/F22</f>
        <v/>
      </c>
    </row>
    <row r="23">
      <c r="A23" t="n">
        <v>64</v>
      </c>
      <c r="B23" t="n">
        <v>394.94</v>
      </c>
      <c r="C23">
        <f>C14+A23*1024*C12</f>
        <v/>
      </c>
      <c r="D23">
        <f>B23/C23</f>
        <v/>
      </c>
      <c r="E23" t="n">
        <v>0.33</v>
      </c>
      <c r="F23">
        <f>A23*1024/(C23*0.000001)/1000000000*C13</f>
        <v/>
      </c>
      <c r="G23">
        <f>E23/F23</f>
        <v/>
      </c>
    </row>
    <row r="24">
      <c r="A24" t="n">
        <v>128</v>
      </c>
      <c r="B24" t="n">
        <v>507.66</v>
      </c>
      <c r="C24">
        <f>C14+A24*1024*C12</f>
        <v/>
      </c>
      <c r="D24">
        <f>B24/C24</f>
        <v/>
      </c>
      <c r="E24" t="n">
        <v>0.51</v>
      </c>
      <c r="F24">
        <f>A24*1024/(C24*0.000001)/1000000000*C13</f>
        <v/>
      </c>
      <c r="G24">
        <f>E24/F24</f>
        <v/>
      </c>
    </row>
    <row r="25">
      <c r="A25" t="n">
        <v>256</v>
      </c>
      <c r="B25" t="n">
        <v>644.41</v>
      </c>
      <c r="C25">
        <f>C14+A25*1024*C12</f>
        <v/>
      </c>
      <c r="D25">
        <f>B25/C25</f>
        <v/>
      </c>
      <c r="E25" t="n">
        <v>0.8100000000000001</v>
      </c>
      <c r="F25">
        <f>A25*1024/(C25*0.000001)/1000000000*C13</f>
        <v/>
      </c>
      <c r="G25">
        <f>E25/F25</f>
        <v/>
      </c>
    </row>
    <row r="26">
      <c r="A26" t="n">
        <v>512</v>
      </c>
      <c r="B26" t="n">
        <v>976.9400000000001</v>
      </c>
      <c r="C26">
        <f>C14+A26*1024*C12</f>
        <v/>
      </c>
      <c r="D26">
        <f>B26/C26</f>
        <v/>
      </c>
      <c r="E26" t="n">
        <v>1.06</v>
      </c>
      <c r="F26">
        <f>A26*1024/(C26*0.000001)/1000000000*C13</f>
        <v/>
      </c>
      <c r="G26">
        <f>E26/F26</f>
        <v/>
      </c>
    </row>
    <row r="27">
      <c r="A27" t="n">
        <v>1024</v>
      </c>
      <c r="B27" t="n">
        <v>1653.89</v>
      </c>
      <c r="C27">
        <f>C14+A27*1024*C12</f>
        <v/>
      </c>
      <c r="D27">
        <f>B27/C27</f>
        <v/>
      </c>
      <c r="E27" t="n">
        <v>1.26</v>
      </c>
      <c r="F27">
        <f>A27*1024/(C27*0.000001)/1000000000*C13</f>
        <v/>
      </c>
      <c r="G27">
        <f>E27/F27</f>
        <v/>
      </c>
    </row>
    <row r="28">
      <c r="A28" t="n">
        <v>2048</v>
      </c>
      <c r="B28" t="n">
        <v>1741.46</v>
      </c>
      <c r="C28">
        <f>C14+A28*1024*C12</f>
        <v/>
      </c>
      <c r="D28">
        <f>B28/C28</f>
        <v/>
      </c>
      <c r="E28" t="n">
        <v>2.39</v>
      </c>
      <c r="F28">
        <f>A28*1024/(C28*0.000001)/1000000000*C13</f>
        <v/>
      </c>
      <c r="G28">
        <f>E28/F28</f>
        <v/>
      </c>
    </row>
    <row r="29">
      <c r="A29" t="n">
        <v>4096</v>
      </c>
      <c r="B29" t="n">
        <v>1928.1</v>
      </c>
      <c r="C29">
        <f>C14+A29*1024*C12</f>
        <v/>
      </c>
      <c r="D29">
        <f>B29/C29</f>
        <v/>
      </c>
      <c r="E29" t="n">
        <v>4.32</v>
      </c>
      <c r="F29">
        <f>A29*1024/(C29*0.000001)/1000000000*C13</f>
        <v/>
      </c>
      <c r="G29">
        <f>E29/F29</f>
        <v/>
      </c>
    </row>
    <row r="30">
      <c r="A30" t="n">
        <v>8192</v>
      </c>
      <c r="B30" t="n">
        <v>2561.71</v>
      </c>
      <c r="C30">
        <f>C14+A30*1024*C12</f>
        <v/>
      </c>
      <c r="D30">
        <f>B30/C30</f>
        <v/>
      </c>
      <c r="E30" t="n">
        <v>6.5</v>
      </c>
      <c r="F30">
        <f>A30*1024/(C30*0.000001)/1000000000*C13</f>
        <v/>
      </c>
      <c r="G30">
        <f>E30/F30</f>
        <v/>
      </c>
    </row>
    <row r="31">
      <c r="A31" t="n">
        <v>16384</v>
      </c>
      <c r="B31" t="n">
        <v>3552.67</v>
      </c>
      <c r="C31">
        <f>C14+A31*1024*C12</f>
        <v/>
      </c>
      <c r="D31">
        <f>B31/C31</f>
        <v/>
      </c>
      <c r="E31" t="n">
        <v>9.369999999999999</v>
      </c>
      <c r="F31">
        <f>A31*1024/(C31*0.000001)/1000000000*C13</f>
        <v/>
      </c>
      <c r="G31">
        <f>E31/F31</f>
        <v/>
      </c>
    </row>
    <row r="32">
      <c r="A32" t="n">
        <v>32768</v>
      </c>
      <c r="B32" t="n">
        <v>5616.94</v>
      </c>
      <c r="C32">
        <f>C14+A32*1024*C12</f>
        <v/>
      </c>
      <c r="D32">
        <f>B32/C32</f>
        <v/>
      </c>
      <c r="E32" t="n">
        <v>11.85</v>
      </c>
      <c r="F32">
        <f>A32*1024/(C32*0.000001)/1000000000*C13</f>
        <v/>
      </c>
      <c r="G32">
        <f>E32/F32</f>
        <v/>
      </c>
    </row>
    <row r="33">
      <c r="A33" t="n">
        <v>65536</v>
      </c>
      <c r="B33" t="n">
        <v>9766.719999999999</v>
      </c>
      <c r="C33">
        <f>C14+A33*1024*C12</f>
        <v/>
      </c>
      <c r="D33">
        <f>B33/C33</f>
        <v/>
      </c>
      <c r="E33" t="n">
        <v>13.63</v>
      </c>
      <c r="F33">
        <f>A33*1024/(C33*0.000001)/1000000000*C13</f>
        <v/>
      </c>
      <c r="G33">
        <f>E33/F33</f>
        <v/>
      </c>
    </row>
    <row r="34">
      <c r="A34" t="n">
        <v>131072</v>
      </c>
      <c r="B34" t="n">
        <v>18220.6</v>
      </c>
      <c r="C34">
        <f>C14+A34*1024*C12</f>
        <v/>
      </c>
      <c r="D34">
        <f>B34/C34</f>
        <v/>
      </c>
      <c r="E34" t="n">
        <v>14.62</v>
      </c>
      <c r="F34">
        <f>A34*1024/(C34*0.000001)/1000000000*C13</f>
        <v/>
      </c>
      <c r="G34">
        <f>E34/F34</f>
        <v/>
      </c>
    </row>
    <row r="35">
      <c r="A35" t="n">
        <v>262144</v>
      </c>
      <c r="B35" t="n">
        <v>35109.1</v>
      </c>
      <c r="C35">
        <f>C14+A35*1024*C12</f>
        <v/>
      </c>
      <c r="D35">
        <f>B35/C35</f>
        <v/>
      </c>
      <c r="E35" t="n">
        <v>15.17</v>
      </c>
      <c r="F35">
        <f>A35*1024/(C35*0.000001)/1000000000*C13</f>
        <v/>
      </c>
      <c r="G35">
        <f>E35/F35</f>
        <v/>
      </c>
    </row>
    <row r="36">
      <c r="A36" t="n">
        <v>524288</v>
      </c>
      <c r="B36" t="n">
        <v>68970.2</v>
      </c>
      <c r="C36">
        <f>C14+A36*1024*C12</f>
        <v/>
      </c>
      <c r="D36">
        <f>B36/C36</f>
        <v/>
      </c>
      <c r="E36" t="n">
        <v>15.45</v>
      </c>
      <c r="F36">
        <f>A36*1024/(C36*0.000001)/1000000000*C13</f>
        <v/>
      </c>
      <c r="G36">
        <f>E36/F36</f>
        <v/>
      </c>
    </row>
    <row r="37">
      <c r="A37" t="n">
        <v>1048576</v>
      </c>
      <c r="B37" t="n">
        <v>136703</v>
      </c>
      <c r="C37">
        <f>C14+A37*1024*C12</f>
        <v/>
      </c>
      <c r="D37">
        <f>B37/C37</f>
        <v/>
      </c>
      <c r="E37" t="n">
        <v>15.59</v>
      </c>
      <c r="F37">
        <f>A37*1024/(C37*0.000001)/1000000000*C13</f>
        <v/>
      </c>
      <c r="G37">
        <f>E37/F37</f>
        <v/>
      </c>
    </row>
    <row r="38">
      <c r="A38" t="n">
        <v>2097152</v>
      </c>
      <c r="B38" t="n">
        <v>272114</v>
      </c>
      <c r="C38">
        <f>C14+A38*1024*C12</f>
        <v/>
      </c>
      <c r="D38">
        <f>B38/C38</f>
        <v/>
      </c>
      <c r="E38" t="n">
        <v>15.66</v>
      </c>
      <c r="F38">
        <f>A38*1024/(C38*0.000001)/1000000000*C13</f>
        <v/>
      </c>
      <c r="G38">
        <f>E38/F38</f>
        <v/>
      </c>
    </row>
    <row r="39">
      <c r="A39" t="n">
        <v>4194304</v>
      </c>
      <c r="B39" t="n">
        <v>543568</v>
      </c>
      <c r="C39">
        <f>C14+A39*1024*C12</f>
        <v/>
      </c>
      <c r="D39">
        <f>B39/C39</f>
        <v/>
      </c>
      <c r="E39" t="n">
        <v>15.68</v>
      </c>
      <c r="F39">
        <f>A39*1024/(C39*0.000001)/1000000000*C13</f>
        <v/>
      </c>
      <c r="G39">
        <f>E39/F39</f>
        <v/>
      </c>
    </row>
    <row r="40"/>
    <row r="41">
      <c r="A41" t="inlineStr">
        <is>
          <t>Nodes: 16, Protocol: Simple, Channels: 2</t>
        </is>
      </c>
    </row>
    <row r="42">
      <c r="A42" t="inlineStr">
        <is>
          <t>Parameter</t>
        </is>
      </c>
      <c r="B42" t="inlineStr">
        <is>
          <t>Formula</t>
        </is>
      </c>
      <c r="C42" t="inlineStr">
        <is>
          <t>Value</t>
        </is>
      </c>
    </row>
    <row r="43">
      <c r="A43" t="inlineStr">
        <is>
          <t>N</t>
        </is>
      </c>
      <c r="B43" t="inlineStr">
        <is>
          <t>nodes</t>
        </is>
      </c>
      <c r="C43" t="n">
        <v>16</v>
      </c>
    </row>
    <row r="44">
      <c r="A44" t="inlineStr">
        <is>
          <t>n</t>
        </is>
      </c>
      <c r="B44" t="inlineStr">
        <is>
          <t>GPUs/node</t>
        </is>
      </c>
      <c r="C44" t="n">
        <v>8</v>
      </c>
    </row>
    <row r="45">
      <c r="A45" t="inlineStr">
        <is>
          <t>n_total</t>
        </is>
      </c>
      <c r="B45" t="inlineStr">
        <is>
          <t>N*n</t>
        </is>
      </c>
      <c r="C45" t="n">
        <v>128</v>
      </c>
    </row>
    <row r="46">
      <c r="A46" t="inlineStr">
        <is>
          <t>nch_raw</t>
        </is>
      </c>
      <c r="B46" t="inlineStr">
        <is>
          <t>raw channels</t>
        </is>
      </c>
      <c r="C46" t="n">
        <v>2</v>
      </c>
    </row>
    <row r="47">
      <c r="A47" t="inlineStr">
        <is>
          <t>nch_eff</t>
        </is>
      </c>
      <c r="B47" t="inlineStr">
        <is>
          <t>min(nch_raw,8)</t>
        </is>
      </c>
      <c r="C47" t="n">
        <v>2</v>
      </c>
    </row>
    <row r="48">
      <c r="A48" t="inlineStr">
        <is>
          <t>a</t>
        </is>
      </c>
      <c r="B48" t="inlineStr">
        <is>
          <t>RTT (us)</t>
        </is>
      </c>
      <c r="C48" t="n">
        <v>24.92</v>
      </c>
    </row>
    <row r="49">
      <c r="A49" t="inlineStr">
        <is>
          <t>NIC_BW</t>
        </is>
      </c>
      <c r="B49" t="inlineStr">
        <is>
          <t>bytes/us</t>
        </is>
      </c>
      <c r="C49" t="n">
        <v>48750</v>
      </c>
    </row>
    <row r="50">
      <c r="A50" t="inlineStr">
        <is>
          <t>intra_node_tree_latency</t>
        </is>
      </c>
      <c r="B50" t="inlineStr">
        <is>
          <t>us</t>
        </is>
      </c>
      <c r="C50" t="n">
        <v>8.4</v>
      </c>
    </row>
    <row r="51">
      <c r="A51" t="inlineStr">
        <is>
          <t>NIC_BW_REAL</t>
        </is>
      </c>
      <c r="B51" t="inlineStr">
        <is>
          <t>nch_eff*NIC_BW/3</t>
        </is>
      </c>
      <c r="C51">
        <f>C47*C49/3</f>
        <v/>
      </c>
    </row>
    <row r="52">
      <c r="A52" t="inlineStr">
        <is>
          <t>G</t>
        </is>
      </c>
      <c r="B52" t="inlineStr">
        <is>
          <t>1/NIC_BW_REAL</t>
        </is>
      </c>
      <c r="C52">
        <f>1/C51</f>
        <v/>
      </c>
    </row>
    <row r="53">
      <c r="A53" t="inlineStr">
        <is>
          <t>busbw_factor</t>
        </is>
      </c>
      <c r="B53" t="inlineStr">
        <is>
          <t>2*(n_total-1)/n_total</t>
        </is>
      </c>
      <c r="C53">
        <f>2*(C45-1)/C45</f>
        <v/>
      </c>
    </row>
    <row r="54">
      <c r="A54" t="inlineStr">
        <is>
          <t>fixed_overhead</t>
        </is>
      </c>
      <c r="B54" t="inlineStr">
        <is>
          <t>(2*LOG2(N)+1)*a/2+2*intra</t>
        </is>
      </c>
      <c r="C54">
        <f>(2*LOG(C43,2)+1)*C48/2+2*C50</f>
        <v/>
      </c>
    </row>
    <row r="55"/>
    <row r="56">
      <c r="A56" t="inlineStr">
        <is>
          <t>size_KB</t>
        </is>
      </c>
      <c r="B56" t="inlineStr">
        <is>
          <t>Actual Time (us)</t>
        </is>
      </c>
      <c r="C56" t="inlineStr">
        <is>
          <t>Roofline Time (us)</t>
        </is>
      </c>
      <c r="D56" t="inlineStr">
        <is>
          <t>Actual/Roofline</t>
        </is>
      </c>
      <c r="E56" t="inlineStr">
        <is>
          <t>Actual busBW (GB/s)</t>
        </is>
      </c>
      <c r="F56" t="inlineStr">
        <is>
          <t>Roofline busBW (GB/s)</t>
        </is>
      </c>
      <c r="G56" t="inlineStr">
        <is>
          <t>Meas/Roof busBW</t>
        </is>
      </c>
    </row>
    <row r="57">
      <c r="A57" t="n">
        <v>1</v>
      </c>
      <c r="B57" t="n">
        <v>277.1</v>
      </c>
      <c r="C57">
        <f>C54+A57*1024*C52</f>
        <v/>
      </c>
      <c r="D57">
        <f>B57/C57</f>
        <v/>
      </c>
      <c r="E57" t="n">
        <v>0.01</v>
      </c>
      <c r="F57">
        <f>A57*1024/(C57*0.000001)/1000000000*C53</f>
        <v/>
      </c>
      <c r="G57">
        <f>E57/F57</f>
        <v/>
      </c>
    </row>
    <row r="58">
      <c r="A58" t="n">
        <v>2</v>
      </c>
      <c r="B58" t="n">
        <v>235.38</v>
      </c>
      <c r="C58">
        <f>C54+A58*1024*C52</f>
        <v/>
      </c>
      <c r="D58">
        <f>B58/C58</f>
        <v/>
      </c>
      <c r="E58" t="n">
        <v>0.02</v>
      </c>
      <c r="F58">
        <f>A58*1024/(C58*0.000001)/1000000000*C53</f>
        <v/>
      </c>
      <c r="G58">
        <f>E58/F58</f>
        <v/>
      </c>
    </row>
    <row r="59">
      <c r="A59" t="n">
        <v>4</v>
      </c>
      <c r="B59" t="n">
        <v>243.17</v>
      </c>
      <c r="C59">
        <f>C54+A59*1024*C52</f>
        <v/>
      </c>
      <c r="D59">
        <f>B59/C59</f>
        <v/>
      </c>
      <c r="E59" t="n">
        <v>0.03</v>
      </c>
      <c r="F59">
        <f>A59*1024/(C59*0.000001)/1000000000*C53</f>
        <v/>
      </c>
      <c r="G59">
        <f>E59/F59</f>
        <v/>
      </c>
    </row>
    <row r="60">
      <c r="A60" t="n">
        <v>8</v>
      </c>
      <c r="B60" t="n">
        <v>260.45</v>
      </c>
      <c r="C60">
        <f>C54+A60*1024*C52</f>
        <v/>
      </c>
      <c r="D60">
        <f>B60/C60</f>
        <v/>
      </c>
      <c r="E60" t="n">
        <v>0.06</v>
      </c>
      <c r="F60">
        <f>A60*1024/(C60*0.000001)/1000000000*C53</f>
        <v/>
      </c>
      <c r="G60">
        <f>E60/F60</f>
        <v/>
      </c>
    </row>
    <row r="61">
      <c r="A61" t="n">
        <v>16</v>
      </c>
      <c r="B61" t="n">
        <v>301.87</v>
      </c>
      <c r="C61">
        <f>C54+A61*1024*C52</f>
        <v/>
      </c>
      <c r="D61">
        <f>B61/C61</f>
        <v/>
      </c>
      <c r="E61" t="n">
        <v>0.11</v>
      </c>
      <c r="F61">
        <f>A61*1024/(C61*0.000001)/1000000000*C53</f>
        <v/>
      </c>
      <c r="G61">
        <f>E61/F61</f>
        <v/>
      </c>
    </row>
    <row r="62">
      <c r="A62" t="n">
        <v>32</v>
      </c>
      <c r="B62" t="n">
        <v>341.18</v>
      </c>
      <c r="C62">
        <f>C54+A62*1024*C52</f>
        <v/>
      </c>
      <c r="D62">
        <f>B62/C62</f>
        <v/>
      </c>
      <c r="E62" t="n">
        <v>0.19</v>
      </c>
      <c r="F62">
        <f>A62*1024/(C62*0.000001)/1000000000*C53</f>
        <v/>
      </c>
      <c r="G62">
        <f>E62/F62</f>
        <v/>
      </c>
    </row>
    <row r="63">
      <c r="A63" t="n">
        <v>64</v>
      </c>
      <c r="B63" t="n">
        <v>343.25</v>
      </c>
      <c r="C63">
        <f>C54+A63*1024*C52</f>
        <v/>
      </c>
      <c r="D63">
        <f>B63/C63</f>
        <v/>
      </c>
      <c r="E63" t="n">
        <v>0.38</v>
      </c>
      <c r="F63">
        <f>A63*1024/(C63*0.000001)/1000000000*C53</f>
        <v/>
      </c>
      <c r="G63">
        <f>E63/F63</f>
        <v/>
      </c>
    </row>
    <row r="64">
      <c r="A64" t="n">
        <v>128</v>
      </c>
      <c r="B64" t="n">
        <v>396.06</v>
      </c>
      <c r="C64">
        <f>C54+A64*1024*C52</f>
        <v/>
      </c>
      <c r="D64">
        <f>B64/C64</f>
        <v/>
      </c>
      <c r="E64" t="n">
        <v>0.66</v>
      </c>
      <c r="F64">
        <f>A64*1024/(C64*0.000001)/1000000000*C53</f>
        <v/>
      </c>
      <c r="G64">
        <f>E64/F64</f>
        <v/>
      </c>
    </row>
    <row r="65">
      <c r="A65" t="n">
        <v>256</v>
      </c>
      <c r="B65" t="n">
        <v>498.88</v>
      </c>
      <c r="C65">
        <f>C54+A65*1024*C52</f>
        <v/>
      </c>
      <c r="D65">
        <f>B65/C65</f>
        <v/>
      </c>
      <c r="E65" t="n">
        <v>1.04</v>
      </c>
      <c r="F65">
        <f>A65*1024/(C65*0.000001)/1000000000*C53</f>
        <v/>
      </c>
      <c r="G65">
        <f>E65/F65</f>
        <v/>
      </c>
    </row>
    <row r="66">
      <c r="A66" t="n">
        <v>512</v>
      </c>
      <c r="B66" t="n">
        <v>650.67</v>
      </c>
      <c r="C66">
        <f>C54+A66*1024*C52</f>
        <v/>
      </c>
      <c r="D66">
        <f>B66/C66</f>
        <v/>
      </c>
      <c r="E66" t="n">
        <v>1.6</v>
      </c>
      <c r="F66">
        <f>A66*1024/(C66*0.000001)/1000000000*C53</f>
        <v/>
      </c>
      <c r="G66">
        <f>E66/F66</f>
        <v/>
      </c>
    </row>
    <row r="67">
      <c r="A67" t="n">
        <v>1024</v>
      </c>
      <c r="B67" t="n">
        <v>982.49</v>
      </c>
      <c r="C67">
        <f>C54+A67*1024*C52</f>
        <v/>
      </c>
      <c r="D67">
        <f>B67/C67</f>
        <v/>
      </c>
      <c r="E67" t="n">
        <v>2.12</v>
      </c>
      <c r="F67">
        <f>A67*1024/(C67*0.000001)/1000000000*C53</f>
        <v/>
      </c>
      <c r="G67">
        <f>E67/F67</f>
        <v/>
      </c>
    </row>
    <row r="68">
      <c r="A68" t="n">
        <v>2048</v>
      </c>
      <c r="B68" t="n">
        <v>1651.89</v>
      </c>
      <c r="C68">
        <f>C54+A68*1024*C52</f>
        <v/>
      </c>
      <c r="D68">
        <f>B68/C68</f>
        <v/>
      </c>
      <c r="E68" t="n">
        <v>2.52</v>
      </c>
      <c r="F68">
        <f>A68*1024/(C68*0.000001)/1000000000*C53</f>
        <v/>
      </c>
      <c r="G68">
        <f>E68/F68</f>
        <v/>
      </c>
    </row>
    <row r="69">
      <c r="A69" t="n">
        <v>4096</v>
      </c>
      <c r="B69" t="n">
        <v>1749.41</v>
      </c>
      <c r="C69">
        <f>C54+A69*1024*C52</f>
        <v/>
      </c>
      <c r="D69">
        <f>B69/C69</f>
        <v/>
      </c>
      <c r="E69" t="n">
        <v>4.76</v>
      </c>
      <c r="F69">
        <f>A69*1024/(C69*0.000001)/1000000000*C53</f>
        <v/>
      </c>
      <c r="G69">
        <f>E69/F69</f>
        <v/>
      </c>
    </row>
    <row r="70">
      <c r="A70" t="n">
        <v>8192</v>
      </c>
      <c r="B70" t="n">
        <v>1959.38</v>
      </c>
      <c r="C70">
        <f>C54+A70*1024*C52</f>
        <v/>
      </c>
      <c r="D70">
        <f>B70/C70</f>
        <v/>
      </c>
      <c r="E70" t="n">
        <v>8.5</v>
      </c>
      <c r="F70">
        <f>A70*1024/(C70*0.000001)/1000000000*C53</f>
        <v/>
      </c>
      <c r="G70">
        <f>E70/F70</f>
        <v/>
      </c>
    </row>
    <row r="71">
      <c r="A71" t="n">
        <v>16384</v>
      </c>
      <c r="B71" t="n">
        <v>2572.16</v>
      </c>
      <c r="C71">
        <f>C54+A71*1024*C52</f>
        <v/>
      </c>
      <c r="D71">
        <f>B71/C71</f>
        <v/>
      </c>
      <c r="E71" t="n">
        <v>12.94</v>
      </c>
      <c r="F71">
        <f>A71*1024/(C71*0.000001)/1000000000*C53</f>
        <v/>
      </c>
      <c r="G71">
        <f>E71/F71</f>
        <v/>
      </c>
    </row>
    <row r="72">
      <c r="A72" t="n">
        <v>32768</v>
      </c>
      <c r="B72" t="n">
        <v>3624.23</v>
      </c>
      <c r="C72">
        <f>C54+A72*1024*C52</f>
        <v/>
      </c>
      <c r="D72">
        <f>B72/C72</f>
        <v/>
      </c>
      <c r="E72" t="n">
        <v>18.37</v>
      </c>
      <c r="F72">
        <f>A72*1024/(C72*0.000001)/1000000000*C53</f>
        <v/>
      </c>
      <c r="G72">
        <f>E72/F72</f>
        <v/>
      </c>
    </row>
    <row r="73">
      <c r="A73" t="n">
        <v>65536</v>
      </c>
      <c r="B73" t="n">
        <v>5726.7</v>
      </c>
      <c r="C73">
        <f>C54+A73*1024*C52</f>
        <v/>
      </c>
      <c r="D73">
        <f>B73/C73</f>
        <v/>
      </c>
      <c r="E73" t="n">
        <v>23.25</v>
      </c>
      <c r="F73">
        <f>A73*1024/(C73*0.000001)/1000000000*C53</f>
        <v/>
      </c>
      <c r="G73">
        <f>E73/F73</f>
        <v/>
      </c>
    </row>
    <row r="74">
      <c r="A74" t="n">
        <v>131072</v>
      </c>
      <c r="B74" t="n">
        <v>9946.450000000001</v>
      </c>
      <c r="C74">
        <f>C54+A74*1024*C52</f>
        <v/>
      </c>
      <c r="D74">
        <f>B74/C74</f>
        <v/>
      </c>
      <c r="E74" t="n">
        <v>26.78</v>
      </c>
      <c r="F74">
        <f>A74*1024/(C74*0.000001)/1000000000*C53</f>
        <v/>
      </c>
      <c r="G74">
        <f>E74/F74</f>
        <v/>
      </c>
    </row>
    <row r="75">
      <c r="A75" t="n">
        <v>262144</v>
      </c>
      <c r="B75" t="n">
        <v>18445.5</v>
      </c>
      <c r="C75">
        <f>C54+A75*1024*C52</f>
        <v/>
      </c>
      <c r="D75">
        <f>B75/C75</f>
        <v/>
      </c>
      <c r="E75" t="n">
        <v>28.88</v>
      </c>
      <c r="F75">
        <f>A75*1024/(C75*0.000001)/1000000000*C53</f>
        <v/>
      </c>
      <c r="G75">
        <f>E75/F75</f>
        <v/>
      </c>
    </row>
    <row r="76">
      <c r="A76" t="n">
        <v>524288</v>
      </c>
      <c r="B76" t="n">
        <v>35464.5</v>
      </c>
      <c r="C76">
        <f>C54+A76*1024*C52</f>
        <v/>
      </c>
      <c r="D76">
        <f>B76/C76</f>
        <v/>
      </c>
      <c r="E76" t="n">
        <v>30.04</v>
      </c>
      <c r="F76">
        <f>A76*1024/(C76*0.000001)/1000000000*C53</f>
        <v/>
      </c>
      <c r="G76">
        <f>E76/F76</f>
        <v/>
      </c>
    </row>
    <row r="77">
      <c r="A77" t="n">
        <v>1048576</v>
      </c>
      <c r="B77" t="n">
        <v>70025.3</v>
      </c>
      <c r="C77">
        <f>C54+A77*1024*C52</f>
        <v/>
      </c>
      <c r="D77">
        <f>B77/C77</f>
        <v/>
      </c>
      <c r="E77" t="n">
        <v>30.43</v>
      </c>
      <c r="F77">
        <f>A77*1024/(C77*0.000001)/1000000000*C53</f>
        <v/>
      </c>
      <c r="G77">
        <f>E77/F77</f>
        <v/>
      </c>
    </row>
    <row r="78">
      <c r="A78" t="n">
        <v>2097152</v>
      </c>
      <c r="B78" t="n">
        <v>138037</v>
      </c>
      <c r="C78">
        <f>C54+A78*1024*C52</f>
        <v/>
      </c>
      <c r="D78">
        <f>B78/C78</f>
        <v/>
      </c>
      <c r="E78" t="n">
        <v>30.87</v>
      </c>
      <c r="F78">
        <f>A78*1024/(C78*0.000001)/1000000000*C53</f>
        <v/>
      </c>
      <c r="G78">
        <f>E78/F78</f>
        <v/>
      </c>
    </row>
    <row r="79">
      <c r="A79" t="n">
        <v>4194304</v>
      </c>
      <c r="B79" t="n">
        <v>274539</v>
      </c>
      <c r="C79">
        <f>C54+A79*1024*C52</f>
        <v/>
      </c>
      <c r="D79">
        <f>B79/C79</f>
        <v/>
      </c>
      <c r="E79" t="n">
        <v>31.04</v>
      </c>
      <c r="F79">
        <f>A79*1024/(C79*0.000001)/1000000000*C53</f>
        <v/>
      </c>
      <c r="G79">
        <f>E79/F79</f>
        <v/>
      </c>
    </row>
    <row r="80"/>
    <row r="81">
      <c r="A81" t="inlineStr">
        <is>
          <t>Nodes: 16, Protocol: Simple, Channels: 4</t>
        </is>
      </c>
    </row>
    <row r="82">
      <c r="A82" t="inlineStr">
        <is>
          <t>Parameter</t>
        </is>
      </c>
      <c r="B82" t="inlineStr">
        <is>
          <t>Formula</t>
        </is>
      </c>
      <c r="C82" t="inlineStr">
        <is>
          <t>Value</t>
        </is>
      </c>
    </row>
    <row r="83">
      <c r="A83" t="inlineStr">
        <is>
          <t>N</t>
        </is>
      </c>
      <c r="B83" t="inlineStr">
        <is>
          <t>nodes</t>
        </is>
      </c>
      <c r="C83" t="n">
        <v>16</v>
      </c>
    </row>
    <row r="84">
      <c r="A84" t="inlineStr">
        <is>
          <t>n</t>
        </is>
      </c>
      <c r="B84" t="inlineStr">
        <is>
          <t>GPUs/node</t>
        </is>
      </c>
      <c r="C84" t="n">
        <v>8</v>
      </c>
    </row>
    <row r="85">
      <c r="A85" t="inlineStr">
        <is>
          <t>n_total</t>
        </is>
      </c>
      <c r="B85" t="inlineStr">
        <is>
          <t>N*n</t>
        </is>
      </c>
      <c r="C85" t="n">
        <v>128</v>
      </c>
    </row>
    <row r="86">
      <c r="A86" t="inlineStr">
        <is>
          <t>nch_raw</t>
        </is>
      </c>
      <c r="B86" t="inlineStr">
        <is>
          <t>raw channels</t>
        </is>
      </c>
      <c r="C86" t="n">
        <v>4</v>
      </c>
    </row>
    <row r="87">
      <c r="A87" t="inlineStr">
        <is>
          <t>nch_eff</t>
        </is>
      </c>
      <c r="B87" t="inlineStr">
        <is>
          <t>min(nch_raw,8)</t>
        </is>
      </c>
      <c r="C87" t="n">
        <v>4</v>
      </c>
    </row>
    <row r="88">
      <c r="A88" t="inlineStr">
        <is>
          <t>a</t>
        </is>
      </c>
      <c r="B88" t="inlineStr">
        <is>
          <t>RTT (us)</t>
        </is>
      </c>
      <c r="C88" t="n">
        <v>24.92</v>
      </c>
    </row>
    <row r="89">
      <c r="A89" t="inlineStr">
        <is>
          <t>NIC_BW</t>
        </is>
      </c>
      <c r="B89" t="inlineStr">
        <is>
          <t>bytes/us</t>
        </is>
      </c>
      <c r="C89" t="n">
        <v>48750</v>
      </c>
    </row>
    <row r="90">
      <c r="A90" t="inlineStr">
        <is>
          <t>intra_node_tree_latency</t>
        </is>
      </c>
      <c r="B90" t="inlineStr">
        <is>
          <t>us</t>
        </is>
      </c>
      <c r="C90" t="n">
        <v>8.4</v>
      </c>
    </row>
    <row r="91">
      <c r="A91" t="inlineStr">
        <is>
          <t>NIC_BW_REAL</t>
        </is>
      </c>
      <c r="B91" t="inlineStr">
        <is>
          <t>nch_eff*NIC_BW/3</t>
        </is>
      </c>
      <c r="C91">
        <f>C87*C89/3</f>
        <v/>
      </c>
    </row>
    <row r="92">
      <c r="A92" t="inlineStr">
        <is>
          <t>G</t>
        </is>
      </c>
      <c r="B92" t="inlineStr">
        <is>
          <t>1/NIC_BW_REAL</t>
        </is>
      </c>
      <c r="C92">
        <f>1/C91</f>
        <v/>
      </c>
    </row>
    <row r="93">
      <c r="A93" t="inlineStr">
        <is>
          <t>busbw_factor</t>
        </is>
      </c>
      <c r="B93" t="inlineStr">
        <is>
          <t>2*(n_total-1)/n_total</t>
        </is>
      </c>
      <c r="C93">
        <f>2*(C85-1)/C85</f>
        <v/>
      </c>
    </row>
    <row r="94">
      <c r="A94" t="inlineStr">
        <is>
          <t>fixed_overhead</t>
        </is>
      </c>
      <c r="B94" t="inlineStr">
        <is>
          <t>(2*LOG2(N)+1)*a/2+2*intra</t>
        </is>
      </c>
      <c r="C94">
        <f>(2*LOG(C83,2)+1)*C88/2+2*C90</f>
        <v/>
      </c>
    </row>
    <row r="95"/>
    <row r="96">
      <c r="A96" t="inlineStr">
        <is>
          <t>size_KB</t>
        </is>
      </c>
      <c r="B96" t="inlineStr">
        <is>
          <t>Actual Time (us)</t>
        </is>
      </c>
      <c r="C96" t="inlineStr">
        <is>
          <t>Roofline Time (us)</t>
        </is>
      </c>
      <c r="D96" t="inlineStr">
        <is>
          <t>Actual/Roofline</t>
        </is>
      </c>
      <c r="E96" t="inlineStr">
        <is>
          <t>Actual busBW (GB/s)</t>
        </is>
      </c>
      <c r="F96" t="inlineStr">
        <is>
          <t>Roofline busBW (GB/s)</t>
        </is>
      </c>
      <c r="G96" t="inlineStr">
        <is>
          <t>Meas/Roof busBW</t>
        </is>
      </c>
    </row>
    <row r="97">
      <c r="A97" t="n">
        <v>1</v>
      </c>
      <c r="B97" t="n">
        <v>257.19</v>
      </c>
      <c r="C97">
        <f>C94+A97*1024*C92</f>
        <v/>
      </c>
      <c r="D97">
        <f>B97/C97</f>
        <v/>
      </c>
      <c r="E97" t="n">
        <v>0.01</v>
      </c>
      <c r="F97">
        <f>A97*1024/(C97*0.000001)/1000000000*C93</f>
        <v/>
      </c>
      <c r="G97">
        <f>E97/F97</f>
        <v/>
      </c>
    </row>
    <row r="98">
      <c r="A98" t="n">
        <v>2</v>
      </c>
      <c r="B98" t="n">
        <v>240.23</v>
      </c>
      <c r="C98">
        <f>C94+A98*1024*C92</f>
        <v/>
      </c>
      <c r="D98">
        <f>B98/C98</f>
        <v/>
      </c>
      <c r="E98" t="n">
        <v>0.02</v>
      </c>
      <c r="F98">
        <f>A98*1024/(C98*0.000001)/1000000000*C93</f>
        <v/>
      </c>
      <c r="G98">
        <f>E98/F98</f>
        <v/>
      </c>
    </row>
    <row r="99">
      <c r="A99" t="n">
        <v>4</v>
      </c>
      <c r="B99" t="n">
        <v>268.69</v>
      </c>
      <c r="C99">
        <f>C94+A99*1024*C92</f>
        <v/>
      </c>
      <c r="D99">
        <f>B99/C99</f>
        <v/>
      </c>
      <c r="E99" t="n">
        <v>0.03</v>
      </c>
      <c r="F99">
        <f>A99*1024/(C99*0.000001)/1000000000*C93</f>
        <v/>
      </c>
      <c r="G99">
        <f>E99/F99</f>
        <v/>
      </c>
    </row>
    <row r="100">
      <c r="A100" t="n">
        <v>8</v>
      </c>
      <c r="B100" t="n">
        <v>284.93</v>
      </c>
      <c r="C100">
        <f>C94+A100*1024*C92</f>
        <v/>
      </c>
      <c r="D100">
        <f>B100/C100</f>
        <v/>
      </c>
      <c r="E100" t="n">
        <v>0.06</v>
      </c>
      <c r="F100">
        <f>A100*1024/(C100*0.000001)/1000000000*C93</f>
        <v/>
      </c>
      <c r="G100">
        <f>E100/F100</f>
        <v/>
      </c>
    </row>
    <row r="101">
      <c r="A101" t="n">
        <v>16</v>
      </c>
      <c r="B101" t="n">
        <v>302.66</v>
      </c>
      <c r="C101">
        <f>C94+A101*1024*C92</f>
        <v/>
      </c>
      <c r="D101">
        <f>B101/C101</f>
        <v/>
      </c>
      <c r="E101" t="n">
        <v>0.11</v>
      </c>
      <c r="F101">
        <f>A101*1024/(C101*0.000001)/1000000000*C93</f>
        <v/>
      </c>
      <c r="G101">
        <f>E101/F101</f>
        <v/>
      </c>
    </row>
    <row r="102">
      <c r="A102" t="n">
        <v>32</v>
      </c>
      <c r="B102" t="n">
        <v>340.17</v>
      </c>
      <c r="C102">
        <f>C94+A102*1024*C92</f>
        <v/>
      </c>
      <c r="D102">
        <f>B102/C102</f>
        <v/>
      </c>
      <c r="E102" t="n">
        <v>0.19</v>
      </c>
      <c r="F102">
        <f>A102*1024/(C102*0.000001)/1000000000*C93</f>
        <v/>
      </c>
      <c r="G102">
        <f>E102/F102</f>
        <v/>
      </c>
    </row>
    <row r="103">
      <c r="A103" t="n">
        <v>64</v>
      </c>
      <c r="B103" t="n">
        <v>362.56</v>
      </c>
      <c r="C103">
        <f>C94+A103*1024*C92</f>
        <v/>
      </c>
      <c r="D103">
        <f>B103/C103</f>
        <v/>
      </c>
      <c r="E103" t="n">
        <v>0.36</v>
      </c>
      <c r="F103">
        <f>A103*1024/(C103*0.000001)/1000000000*C93</f>
        <v/>
      </c>
      <c r="G103">
        <f>E103/F103</f>
        <v/>
      </c>
    </row>
    <row r="104">
      <c r="A104" t="n">
        <v>128</v>
      </c>
      <c r="B104" t="n">
        <v>362.41</v>
      </c>
      <c r="C104">
        <f>C94+A104*1024*C92</f>
        <v/>
      </c>
      <c r="D104">
        <f>B104/C104</f>
        <v/>
      </c>
      <c r="E104" t="n">
        <v>0.72</v>
      </c>
      <c r="F104">
        <f>A104*1024/(C104*0.000001)/1000000000*C93</f>
        <v/>
      </c>
      <c r="G104">
        <f>E104/F104</f>
        <v/>
      </c>
    </row>
    <row r="105">
      <c r="A105" t="n">
        <v>256</v>
      </c>
      <c r="B105" t="n">
        <v>400.5</v>
      </c>
      <c r="C105">
        <f>C94+A105*1024*C92</f>
        <v/>
      </c>
      <c r="D105">
        <f>B105/C105</f>
        <v/>
      </c>
      <c r="E105" t="n">
        <v>1.3</v>
      </c>
      <c r="F105">
        <f>A105*1024/(C105*0.000001)/1000000000*C93</f>
        <v/>
      </c>
      <c r="G105">
        <f>E105/F105</f>
        <v/>
      </c>
    </row>
    <row r="106">
      <c r="A106" t="n">
        <v>512</v>
      </c>
      <c r="B106" t="n">
        <v>502.5</v>
      </c>
      <c r="C106">
        <f>C94+A106*1024*C92</f>
        <v/>
      </c>
      <c r="D106">
        <f>B106/C106</f>
        <v/>
      </c>
      <c r="E106" t="n">
        <v>2.07</v>
      </c>
      <c r="F106">
        <f>A106*1024/(C106*0.000001)/1000000000*C93</f>
        <v/>
      </c>
      <c r="G106">
        <f>E106/F106</f>
        <v/>
      </c>
    </row>
    <row r="107">
      <c r="A107" t="n">
        <v>1024</v>
      </c>
      <c r="B107" t="n">
        <v>655.47</v>
      </c>
      <c r="C107">
        <f>C94+A107*1024*C92</f>
        <v/>
      </c>
      <c r="D107">
        <f>B107/C107</f>
        <v/>
      </c>
      <c r="E107" t="n">
        <v>3.17</v>
      </c>
      <c r="F107">
        <f>A107*1024/(C107*0.000001)/1000000000*C93</f>
        <v/>
      </c>
      <c r="G107">
        <f>E107/F107</f>
        <v/>
      </c>
    </row>
    <row r="108">
      <c r="A108" t="n">
        <v>2048</v>
      </c>
      <c r="B108" t="n">
        <v>988.13</v>
      </c>
      <c r="C108">
        <f>C94+A108*1024*C92</f>
        <v/>
      </c>
      <c r="D108">
        <f>B108/C108</f>
        <v/>
      </c>
      <c r="E108" t="n">
        <v>4.21</v>
      </c>
      <c r="F108">
        <f>A108*1024/(C108*0.000001)/1000000000*C93</f>
        <v/>
      </c>
      <c r="G108">
        <f>E108/F108</f>
        <v/>
      </c>
    </row>
    <row r="109">
      <c r="A109" t="n">
        <v>4096</v>
      </c>
      <c r="B109" t="n">
        <v>1680.84</v>
      </c>
      <c r="C109">
        <f>C94+A109*1024*C92</f>
        <v/>
      </c>
      <c r="D109">
        <f>B109/C109</f>
        <v/>
      </c>
      <c r="E109" t="n">
        <v>4.95</v>
      </c>
      <c r="F109">
        <f>A109*1024/(C109*0.000001)/1000000000*C93</f>
        <v/>
      </c>
      <c r="G109">
        <f>E109/F109</f>
        <v/>
      </c>
    </row>
    <row r="110">
      <c r="A110" t="n">
        <v>8192</v>
      </c>
      <c r="B110" t="n">
        <v>1765.89</v>
      </c>
      <c r="C110">
        <f>C94+A110*1024*C92</f>
        <v/>
      </c>
      <c r="D110">
        <f>B110/C110</f>
        <v/>
      </c>
      <c r="E110" t="n">
        <v>9.43</v>
      </c>
      <c r="F110">
        <f>A110*1024/(C110*0.000001)/1000000000*C93</f>
        <v/>
      </c>
      <c r="G110">
        <f>E110/F110</f>
        <v/>
      </c>
    </row>
    <row r="111">
      <c r="A111" t="n">
        <v>16384</v>
      </c>
      <c r="B111" t="n">
        <v>1955.46</v>
      </c>
      <c r="C111">
        <f>C94+A111*1024*C92</f>
        <v/>
      </c>
      <c r="D111">
        <f>B111/C111</f>
        <v/>
      </c>
      <c r="E111" t="n">
        <v>17.03</v>
      </c>
      <c r="F111">
        <f>A111*1024/(C111*0.000001)/1000000000*C93</f>
        <v/>
      </c>
      <c r="G111">
        <f>E111/F111</f>
        <v/>
      </c>
    </row>
    <row r="112">
      <c r="A112" t="n">
        <v>32768</v>
      </c>
      <c r="B112" t="n">
        <v>2603.76</v>
      </c>
      <c r="C112">
        <f>C94+A112*1024*C92</f>
        <v/>
      </c>
      <c r="D112">
        <f>B112/C112</f>
        <v/>
      </c>
      <c r="E112" t="n">
        <v>25.57</v>
      </c>
      <c r="F112">
        <f>A112*1024/(C112*0.000001)/1000000000*C93</f>
        <v/>
      </c>
      <c r="G112">
        <f>E112/F112</f>
        <v/>
      </c>
    </row>
    <row r="113">
      <c r="A113" t="n">
        <v>65536</v>
      </c>
      <c r="B113" t="n">
        <v>3712.4</v>
      </c>
      <c r="C113">
        <f>C94+A113*1024*C92</f>
        <v/>
      </c>
      <c r="D113">
        <f>B113/C113</f>
        <v/>
      </c>
      <c r="E113" t="n">
        <v>35.87</v>
      </c>
      <c r="F113">
        <f>A113*1024/(C113*0.000001)/1000000000*C93</f>
        <v/>
      </c>
      <c r="G113">
        <f>E113/F113</f>
        <v/>
      </c>
    </row>
    <row r="114">
      <c r="A114" t="n">
        <v>131072</v>
      </c>
      <c r="B114" t="n">
        <v>5816.74</v>
      </c>
      <c r="C114">
        <f>C94+A114*1024*C92</f>
        <v/>
      </c>
      <c r="D114">
        <f>B114/C114</f>
        <v/>
      </c>
      <c r="E114" t="n">
        <v>45.79</v>
      </c>
      <c r="F114">
        <f>A114*1024/(C114*0.000001)/1000000000*C93</f>
        <v/>
      </c>
      <c r="G114">
        <f>E114/F114</f>
        <v/>
      </c>
    </row>
    <row r="115">
      <c r="A115" t="n">
        <v>262144</v>
      </c>
      <c r="B115" t="n">
        <v>10096.9</v>
      </c>
      <c r="C115">
        <f>C94+A115*1024*C92</f>
        <v/>
      </c>
      <c r="D115">
        <f>B115/C115</f>
        <v/>
      </c>
      <c r="E115" t="n">
        <v>52.76</v>
      </c>
      <c r="F115">
        <f>A115*1024/(C115*0.000001)/1000000000*C93</f>
        <v/>
      </c>
      <c r="G115">
        <f>E115/F115</f>
        <v/>
      </c>
    </row>
    <row r="116">
      <c r="A116" t="n">
        <v>524288</v>
      </c>
      <c r="B116" t="n">
        <v>18741.4</v>
      </c>
      <c r="C116">
        <f>C94+A116*1024*C92</f>
        <v/>
      </c>
      <c r="D116">
        <f>B116/C116</f>
        <v/>
      </c>
      <c r="E116" t="n">
        <v>56.84</v>
      </c>
      <c r="F116">
        <f>A116*1024/(C116*0.000001)/1000000000*C93</f>
        <v/>
      </c>
      <c r="G116">
        <f>E116/F116</f>
        <v/>
      </c>
    </row>
    <row r="117">
      <c r="A117" t="n">
        <v>1048576</v>
      </c>
      <c r="B117" t="n">
        <v>36416.1</v>
      </c>
      <c r="C117">
        <f>C94+A117*1024*C92</f>
        <v/>
      </c>
      <c r="D117">
        <f>B117/C117</f>
        <v/>
      </c>
      <c r="E117" t="n">
        <v>58.51</v>
      </c>
      <c r="F117">
        <f>A117*1024/(C117*0.000001)/1000000000*C93</f>
        <v/>
      </c>
      <c r="G117">
        <f>E117/F117</f>
        <v/>
      </c>
    </row>
    <row r="118">
      <c r="A118" t="n">
        <v>2097152</v>
      </c>
      <c r="B118" t="n">
        <v>70245.10000000001</v>
      </c>
      <c r="C118">
        <f>C94+A118*1024*C92</f>
        <v/>
      </c>
      <c r="D118">
        <f>B118/C118</f>
        <v/>
      </c>
      <c r="E118" t="n">
        <v>60.66</v>
      </c>
      <c r="F118">
        <f>A118*1024/(C118*0.000001)/1000000000*C93</f>
        <v/>
      </c>
      <c r="G118">
        <f>E118/F118</f>
        <v/>
      </c>
    </row>
    <row r="119">
      <c r="A119" t="n">
        <v>4194304</v>
      </c>
      <c r="B119" t="n">
        <v>139002</v>
      </c>
      <c r="C119">
        <f>C94+A119*1024*C92</f>
        <v/>
      </c>
      <c r="D119">
        <f>B119/C119</f>
        <v/>
      </c>
      <c r="E119" t="n">
        <v>61.31</v>
      </c>
      <c r="F119">
        <f>A119*1024/(C119*0.000001)/1000000000*C93</f>
        <v/>
      </c>
      <c r="G119">
        <f>E119/F119</f>
        <v/>
      </c>
    </row>
    <row r="120"/>
    <row r="121">
      <c r="A121" t="inlineStr">
        <is>
          <t>Nodes: 16, Protocol: Simple, Channels: 8</t>
        </is>
      </c>
    </row>
    <row r="122">
      <c r="A122" t="inlineStr">
        <is>
          <t>Parameter</t>
        </is>
      </c>
      <c r="B122" t="inlineStr">
        <is>
          <t>Formula</t>
        </is>
      </c>
      <c r="C122" t="inlineStr">
        <is>
          <t>Value</t>
        </is>
      </c>
    </row>
    <row r="123">
      <c r="A123" t="inlineStr">
        <is>
          <t>N</t>
        </is>
      </c>
      <c r="B123" t="inlineStr">
        <is>
          <t>nodes</t>
        </is>
      </c>
      <c r="C123" t="n">
        <v>16</v>
      </c>
    </row>
    <row r="124">
      <c r="A124" t="inlineStr">
        <is>
          <t>n</t>
        </is>
      </c>
      <c r="B124" t="inlineStr">
        <is>
          <t>GPUs/node</t>
        </is>
      </c>
      <c r="C124" t="n">
        <v>8</v>
      </c>
    </row>
    <row r="125">
      <c r="A125" t="inlineStr">
        <is>
          <t>n_total</t>
        </is>
      </c>
      <c r="B125" t="inlineStr">
        <is>
          <t>N*n</t>
        </is>
      </c>
      <c r="C125" t="n">
        <v>128</v>
      </c>
    </row>
    <row r="126">
      <c r="A126" t="inlineStr">
        <is>
          <t>nch_raw</t>
        </is>
      </c>
      <c r="B126" t="inlineStr">
        <is>
          <t>raw channels</t>
        </is>
      </c>
      <c r="C126" t="n">
        <v>8</v>
      </c>
    </row>
    <row r="127">
      <c r="A127" t="inlineStr">
        <is>
          <t>nch_eff</t>
        </is>
      </c>
      <c r="B127" t="inlineStr">
        <is>
          <t>min(nch_raw,8)</t>
        </is>
      </c>
      <c r="C127" t="n">
        <v>8</v>
      </c>
    </row>
    <row r="128">
      <c r="A128" t="inlineStr">
        <is>
          <t>a</t>
        </is>
      </c>
      <c r="B128" t="inlineStr">
        <is>
          <t>RTT (us)</t>
        </is>
      </c>
      <c r="C128" t="n">
        <v>24.92</v>
      </c>
    </row>
    <row r="129">
      <c r="A129" t="inlineStr">
        <is>
          <t>NIC_BW</t>
        </is>
      </c>
      <c r="B129" t="inlineStr">
        <is>
          <t>bytes/us</t>
        </is>
      </c>
      <c r="C129" t="n">
        <v>48750</v>
      </c>
    </row>
    <row r="130">
      <c r="A130" t="inlineStr">
        <is>
          <t>intra_node_tree_latency</t>
        </is>
      </c>
      <c r="B130" t="inlineStr">
        <is>
          <t>us</t>
        </is>
      </c>
      <c r="C130" t="n">
        <v>8.4</v>
      </c>
    </row>
    <row r="131">
      <c r="A131" t="inlineStr">
        <is>
          <t>NIC_BW_REAL</t>
        </is>
      </c>
      <c r="B131" t="inlineStr">
        <is>
          <t>nch_eff*NIC_BW/3</t>
        </is>
      </c>
      <c r="C131">
        <f>C127*C129/3</f>
        <v/>
      </c>
    </row>
    <row r="132">
      <c r="A132" t="inlineStr">
        <is>
          <t>G</t>
        </is>
      </c>
      <c r="B132" t="inlineStr">
        <is>
          <t>1/NIC_BW_REAL</t>
        </is>
      </c>
      <c r="C132">
        <f>1/C131</f>
        <v/>
      </c>
    </row>
    <row r="133">
      <c r="A133" t="inlineStr">
        <is>
          <t>busbw_factor</t>
        </is>
      </c>
      <c r="B133" t="inlineStr">
        <is>
          <t>2*(n_total-1)/n_total</t>
        </is>
      </c>
      <c r="C133">
        <f>2*(C125-1)/C125</f>
        <v/>
      </c>
    </row>
    <row r="134">
      <c r="A134" t="inlineStr">
        <is>
          <t>fixed_overhead</t>
        </is>
      </c>
      <c r="B134" t="inlineStr">
        <is>
          <t>(2*LOG2(N)+1)*a/2+2*intra</t>
        </is>
      </c>
      <c r="C134">
        <f>(2*LOG(C123,2)+1)*C128/2+2*C130</f>
        <v/>
      </c>
    </row>
    <row r="135"/>
    <row r="136">
      <c r="A136" t="inlineStr">
        <is>
          <t>size_KB</t>
        </is>
      </c>
      <c r="B136" t="inlineStr">
        <is>
          <t>Actual Time (us)</t>
        </is>
      </c>
      <c r="C136" t="inlineStr">
        <is>
          <t>Roofline Time (us)</t>
        </is>
      </c>
      <c r="D136" t="inlineStr">
        <is>
          <t>Actual/Roofline</t>
        </is>
      </c>
      <c r="E136" t="inlineStr">
        <is>
          <t>Actual busBW (GB/s)</t>
        </is>
      </c>
      <c r="F136" t="inlineStr">
        <is>
          <t>Roofline busBW (GB/s)</t>
        </is>
      </c>
      <c r="G136" t="inlineStr">
        <is>
          <t>Meas/Roof busBW</t>
        </is>
      </c>
    </row>
    <row r="137">
      <c r="A137" t="n">
        <v>1</v>
      </c>
      <c r="B137" t="n">
        <v>235.87</v>
      </c>
      <c r="C137">
        <f>C134+A137*1024*C132</f>
        <v/>
      </c>
      <c r="D137">
        <f>B137/C137</f>
        <v/>
      </c>
      <c r="E137" t="n">
        <v>0.01</v>
      </c>
      <c r="F137">
        <f>A137*1024/(C137*0.000001)/1000000000*C133</f>
        <v/>
      </c>
      <c r="G137">
        <f>E137/F137</f>
        <v/>
      </c>
    </row>
    <row r="138">
      <c r="A138" t="n">
        <v>2</v>
      </c>
      <c r="B138" t="n">
        <v>234.65</v>
      </c>
      <c r="C138">
        <f>C134+A138*1024*C132</f>
        <v/>
      </c>
      <c r="D138">
        <f>B138/C138</f>
        <v/>
      </c>
      <c r="E138" t="n">
        <v>0.02</v>
      </c>
      <c r="F138">
        <f>A138*1024/(C138*0.000001)/1000000000*C133</f>
        <v/>
      </c>
      <c r="G138">
        <f>E138/F138</f>
        <v/>
      </c>
    </row>
    <row r="139">
      <c r="A139" t="n">
        <v>4</v>
      </c>
      <c r="B139" t="n">
        <v>243.77</v>
      </c>
      <c r="C139">
        <f>C134+A139*1024*C132</f>
        <v/>
      </c>
      <c r="D139">
        <f>B139/C139</f>
        <v/>
      </c>
      <c r="E139" t="n">
        <v>0.03</v>
      </c>
      <c r="F139">
        <f>A139*1024/(C139*0.000001)/1000000000*C133</f>
        <v/>
      </c>
      <c r="G139">
        <f>E139/F139</f>
        <v/>
      </c>
    </row>
    <row r="140">
      <c r="A140" t="n">
        <v>8</v>
      </c>
      <c r="B140" t="n">
        <v>261.67</v>
      </c>
      <c r="C140">
        <f>C134+A140*1024*C132</f>
        <v/>
      </c>
      <c r="D140">
        <f>B140/C140</f>
        <v/>
      </c>
      <c r="E140" t="n">
        <v>0.06</v>
      </c>
      <c r="F140">
        <f>A140*1024/(C140*0.000001)/1000000000*C133</f>
        <v/>
      </c>
      <c r="G140">
        <f>E140/F140</f>
        <v/>
      </c>
    </row>
    <row r="141">
      <c r="A141" t="n">
        <v>16</v>
      </c>
      <c r="B141" t="n">
        <v>306.93</v>
      </c>
      <c r="C141">
        <f>C134+A141*1024*C132</f>
        <v/>
      </c>
      <c r="D141">
        <f>B141/C141</f>
        <v/>
      </c>
      <c r="E141" t="n">
        <v>0.11</v>
      </c>
      <c r="F141">
        <f>A141*1024/(C141*0.000001)/1000000000*C133</f>
        <v/>
      </c>
      <c r="G141">
        <f>E141/F141</f>
        <v/>
      </c>
    </row>
    <row r="142">
      <c r="A142" t="n">
        <v>32</v>
      </c>
      <c r="B142" t="n">
        <v>340.91</v>
      </c>
      <c r="C142">
        <f>C134+A142*1024*C132</f>
        <v/>
      </c>
      <c r="D142">
        <f>B142/C142</f>
        <v/>
      </c>
      <c r="E142" t="n">
        <v>0.19</v>
      </c>
      <c r="F142">
        <f>A142*1024/(C142*0.000001)/1000000000*C133</f>
        <v/>
      </c>
      <c r="G142">
        <f>E142/F142</f>
        <v/>
      </c>
    </row>
    <row r="143">
      <c r="A143" t="n">
        <v>64</v>
      </c>
      <c r="B143" t="n">
        <v>342.35</v>
      </c>
      <c r="C143">
        <f>C134+A143*1024*C132</f>
        <v/>
      </c>
      <c r="D143">
        <f>B143/C143</f>
        <v/>
      </c>
      <c r="E143" t="n">
        <v>0.38</v>
      </c>
      <c r="F143">
        <f>A143*1024/(C143*0.000001)/1000000000*C133</f>
        <v/>
      </c>
      <c r="G143">
        <f>E143/F143</f>
        <v/>
      </c>
    </row>
    <row r="144">
      <c r="A144" t="n">
        <v>128</v>
      </c>
      <c r="B144" t="n">
        <v>343.34</v>
      </c>
      <c r="C144">
        <f>C134+A144*1024*C132</f>
        <v/>
      </c>
      <c r="D144">
        <f>B144/C144</f>
        <v/>
      </c>
      <c r="E144" t="n">
        <v>0.76</v>
      </c>
      <c r="F144">
        <f>A144*1024/(C144*0.000001)/1000000000*C133</f>
        <v/>
      </c>
      <c r="G144">
        <f>E144/F144</f>
        <v/>
      </c>
    </row>
    <row r="145">
      <c r="A145" t="n">
        <v>256</v>
      </c>
      <c r="B145" t="n">
        <v>361.45</v>
      </c>
      <c r="C145">
        <f>C134+A145*1024*C132</f>
        <v/>
      </c>
      <c r="D145">
        <f>B145/C145</f>
        <v/>
      </c>
      <c r="E145" t="n">
        <v>1.44</v>
      </c>
      <c r="F145">
        <f>A145*1024/(C145*0.000001)/1000000000*C133</f>
        <v/>
      </c>
      <c r="G145">
        <f>E145/F145</f>
        <v/>
      </c>
    </row>
    <row r="146">
      <c r="A146" t="n">
        <v>512</v>
      </c>
      <c r="B146" t="n">
        <v>412.43</v>
      </c>
      <c r="C146">
        <f>C134+A146*1024*C132</f>
        <v/>
      </c>
      <c r="D146">
        <f>B146/C146</f>
        <v/>
      </c>
      <c r="E146" t="n">
        <v>2.52</v>
      </c>
      <c r="F146">
        <f>A146*1024/(C146*0.000001)/1000000000*C133</f>
        <v/>
      </c>
      <c r="G146">
        <f>E146/F146</f>
        <v/>
      </c>
    </row>
    <row r="147">
      <c r="A147" t="n">
        <v>1024</v>
      </c>
      <c r="B147" t="n">
        <v>507.11</v>
      </c>
      <c r="C147">
        <f>C134+A147*1024*C132</f>
        <v/>
      </c>
      <c r="D147">
        <f>B147/C147</f>
        <v/>
      </c>
      <c r="E147" t="n">
        <v>4.1</v>
      </c>
      <c r="F147">
        <f>A147*1024/(C147*0.000001)/1000000000*C133</f>
        <v/>
      </c>
      <c r="G147">
        <f>E147/F147</f>
        <v/>
      </c>
    </row>
    <row r="148">
      <c r="A148" t="n">
        <v>2048</v>
      </c>
      <c r="B148" t="n">
        <v>670.9299999999999</v>
      </c>
      <c r="C148">
        <f>C134+A148*1024*C132</f>
        <v/>
      </c>
      <c r="D148">
        <f>B148/C148</f>
        <v/>
      </c>
      <c r="E148" t="n">
        <v>6.2</v>
      </c>
      <c r="F148">
        <f>A148*1024/(C148*0.000001)/1000000000*C133</f>
        <v/>
      </c>
      <c r="G148">
        <f>E148/F148</f>
        <v/>
      </c>
    </row>
    <row r="149">
      <c r="A149" t="n">
        <v>4096</v>
      </c>
      <c r="B149" t="n">
        <v>999.62</v>
      </c>
      <c r="C149">
        <f>C134+A149*1024*C132</f>
        <v/>
      </c>
      <c r="D149">
        <f>B149/C149</f>
        <v/>
      </c>
      <c r="E149" t="n">
        <v>8.33</v>
      </c>
      <c r="F149">
        <f>A149*1024/(C149*0.000001)/1000000000*C133</f>
        <v/>
      </c>
      <c r="G149">
        <f>E149/F149</f>
        <v/>
      </c>
    </row>
    <row r="150">
      <c r="A150" t="n">
        <v>8192</v>
      </c>
      <c r="B150" t="n">
        <v>1695.7</v>
      </c>
      <c r="C150">
        <f>C134+A150*1024*C132</f>
        <v/>
      </c>
      <c r="D150">
        <f>B150/C150</f>
        <v/>
      </c>
      <c r="E150" t="n">
        <v>9.82</v>
      </c>
      <c r="F150">
        <f>A150*1024/(C150*0.000001)/1000000000*C133</f>
        <v/>
      </c>
      <c r="G150">
        <f>E150/F150</f>
        <v/>
      </c>
    </row>
    <row r="151">
      <c r="A151" t="n">
        <v>16384</v>
      </c>
      <c r="B151" t="n">
        <v>1802.98</v>
      </c>
      <c r="C151">
        <f>C134+A151*1024*C132</f>
        <v/>
      </c>
      <c r="D151">
        <f>B151/C151</f>
        <v/>
      </c>
      <c r="E151" t="n">
        <v>18.47</v>
      </c>
      <c r="F151">
        <f>A151*1024/(C151*0.000001)/1000000000*C133</f>
        <v/>
      </c>
      <c r="G151">
        <f>E151/F151</f>
        <v/>
      </c>
    </row>
    <row r="152">
      <c r="A152" t="n">
        <v>32768</v>
      </c>
      <c r="B152" t="n">
        <v>2020.61</v>
      </c>
      <c r="C152">
        <f>C134+A152*1024*C132</f>
        <v/>
      </c>
      <c r="D152">
        <f>B152/C152</f>
        <v/>
      </c>
      <c r="E152" t="n">
        <v>32.95</v>
      </c>
      <c r="F152">
        <f>A152*1024/(C152*0.000001)/1000000000*C133</f>
        <v/>
      </c>
      <c r="G152">
        <f>E152/F152</f>
        <v/>
      </c>
    </row>
    <row r="153">
      <c r="A153" t="n">
        <v>65536</v>
      </c>
      <c r="B153" t="n">
        <v>2622.53</v>
      </c>
      <c r="C153">
        <f>C134+A153*1024*C132</f>
        <v/>
      </c>
      <c r="D153">
        <f>B153/C153</f>
        <v/>
      </c>
      <c r="E153" t="n">
        <v>50.78</v>
      </c>
      <c r="F153">
        <f>A153*1024/(C153*0.000001)/1000000000*C133</f>
        <v/>
      </c>
      <c r="G153">
        <f>E153/F153</f>
        <v/>
      </c>
    </row>
    <row r="154">
      <c r="A154" t="n">
        <v>131072</v>
      </c>
      <c r="B154" t="n">
        <v>3756.43</v>
      </c>
      <c r="C154">
        <f>C134+A154*1024*C132</f>
        <v/>
      </c>
      <c r="D154">
        <f>B154/C154</f>
        <v/>
      </c>
      <c r="E154" t="n">
        <v>70.90000000000001</v>
      </c>
      <c r="F154">
        <f>A154*1024/(C154*0.000001)/1000000000*C133</f>
        <v/>
      </c>
      <c r="G154">
        <f>E154/F154</f>
        <v/>
      </c>
    </row>
    <row r="155">
      <c r="A155" t="n">
        <v>262144</v>
      </c>
      <c r="B155" t="n">
        <v>5871.71</v>
      </c>
      <c r="C155">
        <f>C134+A155*1024*C132</f>
        <v/>
      </c>
      <c r="D155">
        <f>B155/C155</f>
        <v/>
      </c>
      <c r="E155" t="n">
        <v>90.72</v>
      </c>
      <c r="F155">
        <f>A155*1024/(C155*0.000001)/1000000000*C133</f>
        <v/>
      </c>
      <c r="G155">
        <f>E155/F155</f>
        <v/>
      </c>
    </row>
    <row r="156">
      <c r="A156" t="n">
        <v>524288</v>
      </c>
      <c r="B156" t="n">
        <v>10376.7</v>
      </c>
      <c r="C156">
        <f>C134+A156*1024*C132</f>
        <v/>
      </c>
      <c r="D156">
        <f>B156/C156</f>
        <v/>
      </c>
      <c r="E156" t="n">
        <v>102.67</v>
      </c>
      <c r="F156">
        <f>A156*1024/(C156*0.000001)/1000000000*C133</f>
        <v/>
      </c>
      <c r="G156">
        <f>E156/F156</f>
        <v/>
      </c>
    </row>
    <row r="157">
      <c r="A157" t="n">
        <v>1048576</v>
      </c>
      <c r="B157" t="n">
        <v>19142.6</v>
      </c>
      <c r="C157">
        <f>C134+A157*1024*C132</f>
        <v/>
      </c>
      <c r="D157">
        <f>B157/C157</f>
        <v/>
      </c>
      <c r="E157" t="n">
        <v>111.31</v>
      </c>
      <c r="F157">
        <f>A157*1024/(C157*0.000001)/1000000000*C133</f>
        <v/>
      </c>
      <c r="G157">
        <f>E157/F157</f>
        <v/>
      </c>
    </row>
    <row r="158">
      <c r="A158" t="n">
        <v>2097152</v>
      </c>
      <c r="B158" t="n">
        <v>36351.8</v>
      </c>
      <c r="C158">
        <f>C134+A158*1024*C132</f>
        <v/>
      </c>
      <c r="D158">
        <f>B158/C158</f>
        <v/>
      </c>
      <c r="E158" t="n">
        <v>117.23</v>
      </c>
      <c r="F158">
        <f>A158*1024/(C158*0.000001)/1000000000*C133</f>
        <v/>
      </c>
      <c r="G158">
        <f>E158/F158</f>
        <v/>
      </c>
    </row>
    <row r="159">
      <c r="A159" t="n">
        <v>4194304</v>
      </c>
      <c r="B159" t="n">
        <v>70975.89999999999</v>
      </c>
      <c r="C159">
        <f>C134+A159*1024*C132</f>
        <v/>
      </c>
      <c r="D159">
        <f>B159/C159</f>
        <v/>
      </c>
      <c r="E159" t="n">
        <v>120.08</v>
      </c>
      <c r="F159">
        <f>A159*1024/(C159*0.000001)/1000000000*C133</f>
        <v/>
      </c>
      <c r="G159">
        <f>E159/F159</f>
        <v/>
      </c>
    </row>
    <row r="160"/>
    <row r="161">
      <c r="A161" t="inlineStr">
        <is>
          <t>Nodes: 16, Protocol: Simple, Channels: 16</t>
        </is>
      </c>
    </row>
    <row r="162">
      <c r="A162" t="inlineStr">
        <is>
          <t>Parameter</t>
        </is>
      </c>
      <c r="B162" t="inlineStr">
        <is>
          <t>Formula</t>
        </is>
      </c>
      <c r="C162" t="inlineStr">
        <is>
          <t>Value</t>
        </is>
      </c>
    </row>
    <row r="163">
      <c r="A163" t="inlineStr">
        <is>
          <t>N</t>
        </is>
      </c>
      <c r="B163" t="inlineStr">
        <is>
          <t>nodes</t>
        </is>
      </c>
      <c r="C163" t="n">
        <v>16</v>
      </c>
    </row>
    <row r="164">
      <c r="A164" t="inlineStr">
        <is>
          <t>n</t>
        </is>
      </c>
      <c r="B164" t="inlineStr">
        <is>
          <t>GPUs/node</t>
        </is>
      </c>
      <c r="C164" t="n">
        <v>8</v>
      </c>
    </row>
    <row r="165">
      <c r="A165" t="inlineStr">
        <is>
          <t>n_total</t>
        </is>
      </c>
      <c r="B165" t="inlineStr">
        <is>
          <t>N*n</t>
        </is>
      </c>
      <c r="C165" t="n">
        <v>128</v>
      </c>
    </row>
    <row r="166">
      <c r="A166" t="inlineStr">
        <is>
          <t>nch_raw</t>
        </is>
      </c>
      <c r="B166" t="inlineStr">
        <is>
          <t>raw channels</t>
        </is>
      </c>
      <c r="C166" t="n">
        <v>16</v>
      </c>
    </row>
    <row r="167">
      <c r="A167" t="inlineStr">
        <is>
          <t>nch_eff</t>
        </is>
      </c>
      <c r="B167" t="inlineStr">
        <is>
          <t>min(nch_raw,8)</t>
        </is>
      </c>
      <c r="C167" t="n">
        <v>8</v>
      </c>
    </row>
    <row r="168">
      <c r="A168" t="inlineStr">
        <is>
          <t>a</t>
        </is>
      </c>
      <c r="B168" t="inlineStr">
        <is>
          <t>RTT (us)</t>
        </is>
      </c>
      <c r="C168" t="n">
        <v>24.92</v>
      </c>
    </row>
    <row r="169">
      <c r="A169" t="inlineStr">
        <is>
          <t>NIC_BW</t>
        </is>
      </c>
      <c r="B169" t="inlineStr">
        <is>
          <t>bytes/us</t>
        </is>
      </c>
      <c r="C169" t="n">
        <v>48750</v>
      </c>
    </row>
    <row r="170">
      <c r="A170" t="inlineStr">
        <is>
          <t>intra_node_tree_latency</t>
        </is>
      </c>
      <c r="B170" t="inlineStr">
        <is>
          <t>us</t>
        </is>
      </c>
      <c r="C170" t="n">
        <v>8.4</v>
      </c>
    </row>
    <row r="171">
      <c r="A171" t="inlineStr">
        <is>
          <t>NIC_BW_REAL</t>
        </is>
      </c>
      <c r="B171" t="inlineStr">
        <is>
          <t>nch_eff*NIC_BW/3</t>
        </is>
      </c>
      <c r="C171">
        <f>C167*C169/3</f>
        <v/>
      </c>
    </row>
    <row r="172">
      <c r="A172" t="inlineStr">
        <is>
          <t>G</t>
        </is>
      </c>
      <c r="B172" t="inlineStr">
        <is>
          <t>1/NIC_BW_REAL</t>
        </is>
      </c>
      <c r="C172">
        <f>1/C171</f>
        <v/>
      </c>
    </row>
    <row r="173">
      <c r="A173" t="inlineStr">
        <is>
          <t>busbw_factor</t>
        </is>
      </c>
      <c r="B173" t="inlineStr">
        <is>
          <t>2*(n_total-1)/n_total</t>
        </is>
      </c>
      <c r="C173">
        <f>2*(C165-1)/C165</f>
        <v/>
      </c>
    </row>
    <row r="174">
      <c r="A174" t="inlineStr">
        <is>
          <t>fixed_overhead</t>
        </is>
      </c>
      <c r="B174" t="inlineStr">
        <is>
          <t>(2*LOG2(N)+1)*a/2+2*intra</t>
        </is>
      </c>
      <c r="C174">
        <f>(2*LOG(C163,2)+1)*C168/2+2*C170</f>
        <v/>
      </c>
    </row>
    <row r="175"/>
    <row r="176">
      <c r="A176" t="inlineStr">
        <is>
          <t>size_KB</t>
        </is>
      </c>
      <c r="B176" t="inlineStr">
        <is>
          <t>Actual Time (us)</t>
        </is>
      </c>
      <c r="C176" t="inlineStr">
        <is>
          <t>Roofline Time (us)</t>
        </is>
      </c>
      <c r="D176" t="inlineStr">
        <is>
          <t>Actual/Roofline</t>
        </is>
      </c>
      <c r="E176" t="inlineStr">
        <is>
          <t>Actual busBW (GB/s)</t>
        </is>
      </c>
      <c r="F176" t="inlineStr">
        <is>
          <t>Roofline busBW (GB/s)</t>
        </is>
      </c>
      <c r="G176" t="inlineStr">
        <is>
          <t>Meas/Roof busBW</t>
        </is>
      </c>
    </row>
    <row r="177">
      <c r="A177" t="n">
        <v>1</v>
      </c>
      <c r="B177" t="n">
        <v>255.33</v>
      </c>
      <c r="C177">
        <f>C174+A177*1024*C172</f>
        <v/>
      </c>
      <c r="D177">
        <f>B177/C177</f>
        <v/>
      </c>
      <c r="E177" t="n">
        <v>0.01</v>
      </c>
      <c r="F177">
        <f>A177*1024/(C177*0.000001)/1000000000*C173</f>
        <v/>
      </c>
      <c r="G177">
        <f>E177/F177</f>
        <v/>
      </c>
    </row>
    <row r="178">
      <c r="A178" t="n">
        <v>2</v>
      </c>
      <c r="B178" t="n">
        <v>235.68</v>
      </c>
      <c r="C178">
        <f>C174+A178*1024*C172</f>
        <v/>
      </c>
      <c r="D178">
        <f>B178/C178</f>
        <v/>
      </c>
      <c r="E178" t="n">
        <v>0.02</v>
      </c>
      <c r="F178">
        <f>A178*1024/(C178*0.000001)/1000000000*C173</f>
        <v/>
      </c>
      <c r="G178">
        <f>E178/F178</f>
        <v/>
      </c>
    </row>
    <row r="179">
      <c r="A179" t="n">
        <v>4</v>
      </c>
      <c r="B179" t="n">
        <v>244.15</v>
      </c>
      <c r="C179">
        <f>C174+A179*1024*C172</f>
        <v/>
      </c>
      <c r="D179">
        <f>B179/C179</f>
        <v/>
      </c>
      <c r="E179" t="n">
        <v>0.03</v>
      </c>
      <c r="F179">
        <f>A179*1024/(C179*0.000001)/1000000000*C173</f>
        <v/>
      </c>
      <c r="G179">
        <f>E179/F179</f>
        <v/>
      </c>
    </row>
    <row r="180">
      <c r="A180" t="n">
        <v>8</v>
      </c>
      <c r="B180" t="n">
        <v>261.95</v>
      </c>
      <c r="C180">
        <f>C174+A180*1024*C172</f>
        <v/>
      </c>
      <c r="D180">
        <f>B180/C180</f>
        <v/>
      </c>
      <c r="E180" t="n">
        <v>0.06</v>
      </c>
      <c r="F180">
        <f>A180*1024/(C180*0.000001)/1000000000*C173</f>
        <v/>
      </c>
      <c r="G180">
        <f>E180/F180</f>
        <v/>
      </c>
    </row>
    <row r="181">
      <c r="A181" t="n">
        <v>16</v>
      </c>
      <c r="B181" t="n">
        <v>303.83</v>
      </c>
      <c r="C181">
        <f>C174+A181*1024*C172</f>
        <v/>
      </c>
      <c r="D181">
        <f>B181/C181</f>
        <v/>
      </c>
      <c r="E181" t="n">
        <v>0.11</v>
      </c>
      <c r="F181">
        <f>A181*1024/(C181*0.000001)/1000000000*C173</f>
        <v/>
      </c>
      <c r="G181">
        <f>E181/F181</f>
        <v/>
      </c>
    </row>
    <row r="182">
      <c r="A182" t="n">
        <v>32</v>
      </c>
      <c r="B182" t="n">
        <v>362.57</v>
      </c>
      <c r="C182">
        <f>C174+A182*1024*C172</f>
        <v/>
      </c>
      <c r="D182">
        <f>B182/C182</f>
        <v/>
      </c>
      <c r="E182" t="n">
        <v>0.18</v>
      </c>
      <c r="F182">
        <f>A182*1024/(C182*0.000001)/1000000000*C173</f>
        <v/>
      </c>
      <c r="G182">
        <f>E182/F182</f>
        <v/>
      </c>
    </row>
    <row r="183">
      <c r="A183" t="n">
        <v>64</v>
      </c>
      <c r="B183" t="n">
        <v>343.93</v>
      </c>
      <c r="C183">
        <f>C174+A183*1024*C172</f>
        <v/>
      </c>
      <c r="D183">
        <f>B183/C183</f>
        <v/>
      </c>
      <c r="E183" t="n">
        <v>0.38</v>
      </c>
      <c r="F183">
        <f>A183*1024/(C183*0.000001)/1000000000*C173</f>
        <v/>
      </c>
      <c r="G183">
        <f>E183/F183</f>
        <v/>
      </c>
    </row>
    <row r="184">
      <c r="A184" t="n">
        <v>128</v>
      </c>
      <c r="B184" t="n">
        <v>343.89</v>
      </c>
      <c r="C184">
        <f>C174+A184*1024*C172</f>
        <v/>
      </c>
      <c r="D184">
        <f>B184/C184</f>
        <v/>
      </c>
      <c r="E184" t="n">
        <v>0.76</v>
      </c>
      <c r="F184">
        <f>A184*1024/(C184*0.000001)/1000000000*C173</f>
        <v/>
      </c>
      <c r="G184">
        <f>E184/F184</f>
        <v/>
      </c>
    </row>
    <row r="185">
      <c r="A185" t="n">
        <v>256</v>
      </c>
      <c r="B185" t="n">
        <v>428.91</v>
      </c>
      <c r="C185">
        <f>C174+A185*1024*C172</f>
        <v/>
      </c>
      <c r="D185">
        <f>B185/C185</f>
        <v/>
      </c>
      <c r="E185" t="n">
        <v>1.21</v>
      </c>
      <c r="F185">
        <f>A185*1024/(C185*0.000001)/1000000000*C173</f>
        <v/>
      </c>
      <c r="G185">
        <f>E185/F185</f>
        <v/>
      </c>
    </row>
    <row r="186">
      <c r="A186" t="n">
        <v>512</v>
      </c>
      <c r="B186" t="n">
        <v>354.75</v>
      </c>
      <c r="C186">
        <f>C174+A186*1024*C172</f>
        <v/>
      </c>
      <c r="D186">
        <f>B186/C186</f>
        <v/>
      </c>
      <c r="E186" t="n">
        <v>2.93</v>
      </c>
      <c r="F186">
        <f>A186*1024/(C186*0.000001)/1000000000*C173</f>
        <v/>
      </c>
      <c r="G186">
        <f>E186/F186</f>
        <v/>
      </c>
    </row>
    <row r="187">
      <c r="A187" t="n">
        <v>1024</v>
      </c>
      <c r="B187" t="n">
        <v>413.05</v>
      </c>
      <c r="C187">
        <f>C174+A187*1024*C172</f>
        <v/>
      </c>
      <c r="D187">
        <f>B187/C187</f>
        <v/>
      </c>
      <c r="E187" t="n">
        <v>5.04</v>
      </c>
      <c r="F187">
        <f>A187*1024/(C187*0.000001)/1000000000*C173</f>
        <v/>
      </c>
      <c r="G187">
        <f>E187/F187</f>
        <v/>
      </c>
    </row>
    <row r="188">
      <c r="A188" t="n">
        <v>2048</v>
      </c>
      <c r="B188" t="n">
        <v>514.72</v>
      </c>
      <c r="C188">
        <f>C174+A188*1024*C172</f>
        <v/>
      </c>
      <c r="D188">
        <f>B188/C188</f>
        <v/>
      </c>
      <c r="E188" t="n">
        <v>8.09</v>
      </c>
      <c r="F188">
        <f>A188*1024/(C188*0.000001)/1000000000*C173</f>
        <v/>
      </c>
      <c r="G188">
        <f>E188/F188</f>
        <v/>
      </c>
    </row>
    <row r="189">
      <c r="A189" t="n">
        <v>4096</v>
      </c>
      <c r="B189" t="n">
        <v>674.8200000000001</v>
      </c>
      <c r="C189">
        <f>C174+A189*1024*C172</f>
        <v/>
      </c>
      <c r="D189">
        <f>B189/C189</f>
        <v/>
      </c>
      <c r="E189" t="n">
        <v>12.33</v>
      </c>
      <c r="F189">
        <f>A189*1024/(C189*0.000001)/1000000000*C173</f>
        <v/>
      </c>
      <c r="G189">
        <f>E189/F189</f>
        <v/>
      </c>
    </row>
    <row r="190">
      <c r="A190" t="n">
        <v>8192</v>
      </c>
      <c r="B190" t="n">
        <v>1016.65</v>
      </c>
      <c r="C190">
        <f>C174+A190*1024*C172</f>
        <v/>
      </c>
      <c r="D190">
        <f>B190/C190</f>
        <v/>
      </c>
      <c r="E190" t="n">
        <v>16.37</v>
      </c>
      <c r="F190">
        <f>A190*1024/(C190*0.000001)/1000000000*C173</f>
        <v/>
      </c>
      <c r="G190">
        <f>E190/F190</f>
        <v/>
      </c>
    </row>
    <row r="191">
      <c r="A191" t="n">
        <v>16384</v>
      </c>
      <c r="B191" t="n">
        <v>1700.17</v>
      </c>
      <c r="C191">
        <f>C174+A191*1024*C172</f>
        <v/>
      </c>
      <c r="D191">
        <f>B191/C191</f>
        <v/>
      </c>
      <c r="E191" t="n">
        <v>19.58</v>
      </c>
      <c r="F191">
        <f>A191*1024/(C191*0.000001)/1000000000*C173</f>
        <v/>
      </c>
      <c r="G191">
        <f>E191/F191</f>
        <v/>
      </c>
    </row>
    <row r="192">
      <c r="A192" t="n">
        <v>32768</v>
      </c>
      <c r="B192" t="n">
        <v>1785.74</v>
      </c>
      <c r="C192">
        <f>C174+A192*1024*C172</f>
        <v/>
      </c>
      <c r="D192">
        <f>B192/C192</f>
        <v/>
      </c>
      <c r="E192" t="n">
        <v>37.29</v>
      </c>
      <c r="F192">
        <f>A192*1024/(C192*0.000001)/1000000000*C173</f>
        <v/>
      </c>
      <c r="G192">
        <f>E192/F192</f>
        <v/>
      </c>
    </row>
    <row r="193">
      <c r="A193" t="n">
        <v>65536</v>
      </c>
      <c r="B193" t="n">
        <v>2031.57</v>
      </c>
      <c r="C193">
        <f>C174+A193*1024*C172</f>
        <v/>
      </c>
      <c r="D193">
        <f>B193/C193</f>
        <v/>
      </c>
      <c r="E193" t="n">
        <v>65.55</v>
      </c>
      <c r="F193">
        <f>A193*1024/(C193*0.000001)/1000000000*C173</f>
        <v/>
      </c>
      <c r="G193">
        <f>E193/F193</f>
        <v/>
      </c>
    </row>
    <row r="194">
      <c r="A194" t="n">
        <v>131072</v>
      </c>
      <c r="B194" t="n">
        <v>2708.43</v>
      </c>
      <c r="C194">
        <f>C174+A194*1024*C172</f>
        <v/>
      </c>
      <c r="D194">
        <f>B194/C194</f>
        <v/>
      </c>
      <c r="E194" t="n">
        <v>98.34</v>
      </c>
      <c r="F194">
        <f>A194*1024/(C194*0.000001)/1000000000*C173</f>
        <v/>
      </c>
      <c r="G194">
        <f>E194/F194</f>
        <v/>
      </c>
    </row>
    <row r="195">
      <c r="A195" t="n">
        <v>262144</v>
      </c>
      <c r="B195" t="n">
        <v>3836.5</v>
      </c>
      <c r="C195">
        <f>C174+A195*1024*C172</f>
        <v/>
      </c>
      <c r="D195">
        <f>B195/C195</f>
        <v/>
      </c>
      <c r="E195" t="n">
        <v>138.84</v>
      </c>
      <c r="F195">
        <f>A195*1024/(C195*0.000001)/1000000000*C173</f>
        <v/>
      </c>
      <c r="G195">
        <f>E195/F195</f>
        <v/>
      </c>
    </row>
    <row r="196">
      <c r="A196" t="n">
        <v>524288</v>
      </c>
      <c r="B196" t="n">
        <v>6052.46</v>
      </c>
      <c r="C196">
        <f>C174+A196*1024*C172</f>
        <v/>
      </c>
      <c r="D196">
        <f>B196/C196</f>
        <v/>
      </c>
      <c r="E196" t="n">
        <v>176.02</v>
      </c>
      <c r="F196">
        <f>A196*1024/(C196*0.000001)/1000000000*C173</f>
        <v/>
      </c>
      <c r="G196">
        <f>E196/F196</f>
        <v/>
      </c>
    </row>
    <row r="197">
      <c r="A197" t="n">
        <v>1048576</v>
      </c>
      <c r="B197" t="n">
        <v>10445.1</v>
      </c>
      <c r="C197">
        <f>C174+A197*1024*C172</f>
        <v/>
      </c>
      <c r="D197">
        <f>B197/C197</f>
        <v/>
      </c>
      <c r="E197" t="n">
        <v>203.99</v>
      </c>
      <c r="F197">
        <f>A197*1024/(C197*0.000001)/1000000000*C173</f>
        <v/>
      </c>
      <c r="G197">
        <f>E197/F197</f>
        <v/>
      </c>
    </row>
    <row r="198">
      <c r="A198" t="n">
        <v>2097152</v>
      </c>
      <c r="B198" t="n">
        <v>19355.2</v>
      </c>
      <c r="C198">
        <f>C174+A198*1024*C172</f>
        <v/>
      </c>
      <c r="D198">
        <f>B198/C198</f>
        <v/>
      </c>
      <c r="E198" t="n">
        <v>220.17</v>
      </c>
      <c r="F198">
        <f>A198*1024/(C198*0.000001)/1000000000*C173</f>
        <v/>
      </c>
      <c r="G198">
        <f>E198/F198</f>
        <v/>
      </c>
    </row>
    <row r="199">
      <c r="A199" t="n">
        <v>4194304</v>
      </c>
      <c r="B199" t="n">
        <v>37299.6</v>
      </c>
      <c r="C199">
        <f>C174+A199*1024*C172</f>
        <v/>
      </c>
      <c r="D199">
        <f>B199/C199</f>
        <v/>
      </c>
      <c r="E199" t="n">
        <v>228.5</v>
      </c>
      <c r="F199">
        <f>A199*1024/(C199*0.000001)/1000000000*C173</f>
        <v/>
      </c>
      <c r="G199">
        <f>E199/F199</f>
        <v/>
      </c>
    </row>
    <row r="200"/>
    <row r="201">
      <c r="A201" t="inlineStr">
        <is>
          <t>Nodes: 16, Protocol: LL, Channels: 1</t>
        </is>
      </c>
    </row>
    <row r="202">
      <c r="A202" t="inlineStr">
        <is>
          <t>Parameter</t>
        </is>
      </c>
      <c r="B202" t="inlineStr">
        <is>
          <t>Formula</t>
        </is>
      </c>
      <c r="C202" t="inlineStr">
        <is>
          <t>Value</t>
        </is>
      </c>
    </row>
    <row r="203">
      <c r="A203" t="inlineStr">
        <is>
          <t>N</t>
        </is>
      </c>
      <c r="B203" t="inlineStr">
        <is>
          <t>nodes</t>
        </is>
      </c>
      <c r="C203" t="n">
        <v>16</v>
      </c>
    </row>
    <row r="204">
      <c r="A204" t="inlineStr">
        <is>
          <t>n</t>
        </is>
      </c>
      <c r="B204" t="inlineStr">
        <is>
          <t>GPUs/node</t>
        </is>
      </c>
      <c r="C204" t="n">
        <v>8</v>
      </c>
    </row>
    <row r="205">
      <c r="A205" t="inlineStr">
        <is>
          <t>n_total</t>
        </is>
      </c>
      <c r="B205" t="inlineStr">
        <is>
          <t>N*n</t>
        </is>
      </c>
      <c r="C205" t="n">
        <v>128</v>
      </c>
    </row>
    <row r="206">
      <c r="A206" t="inlineStr">
        <is>
          <t>nch_raw</t>
        </is>
      </c>
      <c r="B206" t="inlineStr">
        <is>
          <t>raw channels</t>
        </is>
      </c>
      <c r="C206" t="n">
        <v>1</v>
      </c>
    </row>
    <row r="207">
      <c r="A207" t="inlineStr">
        <is>
          <t>nch_eff</t>
        </is>
      </c>
      <c r="B207" t="inlineStr">
        <is>
          <t>min(nch_raw,8)</t>
        </is>
      </c>
      <c r="C207" t="n">
        <v>1</v>
      </c>
    </row>
    <row r="208">
      <c r="A208" t="inlineStr">
        <is>
          <t>a</t>
        </is>
      </c>
      <c r="B208" t="inlineStr">
        <is>
          <t>RTT (us)</t>
        </is>
      </c>
      <c r="C208" t="n">
        <v>24.92</v>
      </c>
    </row>
    <row r="209">
      <c r="A209" t="inlineStr">
        <is>
          <t>NIC_BW</t>
        </is>
      </c>
      <c r="B209" t="inlineStr">
        <is>
          <t>bytes/us</t>
        </is>
      </c>
      <c r="C209" t="n">
        <v>48750</v>
      </c>
    </row>
    <row r="210">
      <c r="A210" t="inlineStr">
        <is>
          <t>intra_node_latency</t>
        </is>
      </c>
      <c r="B210" t="inlineStr">
        <is>
          <t>us</t>
        </is>
      </c>
      <c r="C210" t="n">
        <v>8.4</v>
      </c>
    </row>
    <row r="211">
      <c r="A211" t="inlineStr">
        <is>
          <t>NIC_BW_REAL</t>
        </is>
      </c>
      <c r="B211" t="inlineStr">
        <is>
          <t>nch_eff*(NIC_BW/2)/3</t>
        </is>
      </c>
      <c r="C211">
        <f>C207*(C209/2)/3</f>
        <v/>
      </c>
    </row>
    <row r="212">
      <c r="A212" t="inlineStr">
        <is>
          <t>G</t>
        </is>
      </c>
      <c r="B212" t="inlineStr">
        <is>
          <t>1/NIC_BW_REAL</t>
        </is>
      </c>
      <c r="C212">
        <f>1/C211</f>
        <v/>
      </c>
    </row>
    <row r="213">
      <c r="A213" t="inlineStr">
        <is>
          <t>busbw_factor</t>
        </is>
      </c>
      <c r="B213" t="inlineStr">
        <is>
          <t>2*(n_total-1)/n_total</t>
        </is>
      </c>
      <c r="C213">
        <f>2*(C205-1)/C205</f>
        <v/>
      </c>
    </row>
    <row r="214">
      <c r="A214" t="inlineStr">
        <is>
          <t>fixed_overhead</t>
        </is>
      </c>
      <c r="B214" t="inlineStr">
        <is>
          <t>(2*LOG2(N)+1)*a/2+2*intra</t>
        </is>
      </c>
      <c r="C214">
        <f>(2*LOG(C203,2)+1)*C208/2+2*C210</f>
        <v/>
      </c>
    </row>
    <row r="215"/>
    <row r="216">
      <c r="A216" t="inlineStr">
        <is>
          <t>size_KB</t>
        </is>
      </c>
      <c r="B216" t="inlineStr">
        <is>
          <t>Actual Time (us)</t>
        </is>
      </c>
      <c r="C216" t="inlineStr">
        <is>
          <t>Roofline Time (us)</t>
        </is>
      </c>
      <c r="D216" t="inlineStr">
        <is>
          <t>Actual/Roofline</t>
        </is>
      </c>
      <c r="E216" t="inlineStr">
        <is>
          <t>Actual busBW (GB/s)</t>
        </is>
      </c>
      <c r="F216" t="inlineStr">
        <is>
          <t>Roofline busBW (GB/s)</t>
        </is>
      </c>
      <c r="G216" t="inlineStr">
        <is>
          <t>Meas/Roof busBW</t>
        </is>
      </c>
    </row>
    <row r="217">
      <c r="A217" t="n">
        <v>1</v>
      </c>
      <c r="B217" t="n">
        <v>149.53</v>
      </c>
      <c r="C217">
        <f>C214+A217*1024*C212</f>
        <v/>
      </c>
      <c r="D217">
        <f>B217/C217</f>
        <v/>
      </c>
      <c r="E217" t="n">
        <v>0.01</v>
      </c>
      <c r="F217">
        <f>A217*1024/(C217*0.000001)/1000000000*C213</f>
        <v/>
      </c>
      <c r="G217">
        <f>E217/F217</f>
        <v/>
      </c>
    </row>
    <row r="218">
      <c r="A218" t="n">
        <v>2</v>
      </c>
      <c r="B218" t="n">
        <v>151.02</v>
      </c>
      <c r="C218">
        <f>C214+A218*1024*C212</f>
        <v/>
      </c>
      <c r="D218">
        <f>B218/C218</f>
        <v/>
      </c>
      <c r="E218" t="n">
        <v>0.03</v>
      </c>
      <c r="F218">
        <f>A218*1024/(C218*0.000001)/1000000000*C213</f>
        <v/>
      </c>
      <c r="G218">
        <f>E218/F218</f>
        <v/>
      </c>
    </row>
    <row r="219">
      <c r="A219" t="n">
        <v>4</v>
      </c>
      <c r="B219" t="n">
        <v>161.02</v>
      </c>
      <c r="C219">
        <f>C214+A219*1024*C212</f>
        <v/>
      </c>
      <c r="D219">
        <f>B219/C219</f>
        <v/>
      </c>
      <c r="E219" t="n">
        <v>0.05</v>
      </c>
      <c r="F219">
        <f>A219*1024/(C219*0.000001)/1000000000*C213</f>
        <v/>
      </c>
      <c r="G219">
        <f>E219/F219</f>
        <v/>
      </c>
    </row>
    <row r="220">
      <c r="A220" t="n">
        <v>8</v>
      </c>
      <c r="B220" t="n">
        <v>176.6</v>
      </c>
      <c r="C220">
        <f>C214+A220*1024*C212</f>
        <v/>
      </c>
      <c r="D220">
        <f>B220/C220</f>
        <v/>
      </c>
      <c r="E220" t="n">
        <v>0.09</v>
      </c>
      <c r="F220">
        <f>A220*1024/(C220*0.000001)/1000000000*C213</f>
        <v/>
      </c>
      <c r="G220">
        <f>E220/F220</f>
        <v/>
      </c>
    </row>
    <row r="221">
      <c r="A221" t="n">
        <v>16</v>
      </c>
      <c r="B221" t="n">
        <v>199.98</v>
      </c>
      <c r="C221">
        <f>C214+A221*1024*C212</f>
        <v/>
      </c>
      <c r="D221">
        <f>B221/C221</f>
        <v/>
      </c>
      <c r="E221" t="n">
        <v>0.16</v>
      </c>
      <c r="F221">
        <f>A221*1024/(C221*0.000001)/1000000000*C213</f>
        <v/>
      </c>
      <c r="G221">
        <f>E221/F221</f>
        <v/>
      </c>
    </row>
    <row r="222">
      <c r="A222" t="n">
        <v>32</v>
      </c>
      <c r="B222" t="n">
        <v>250.14</v>
      </c>
      <c r="C222">
        <f>C214+A222*1024*C212</f>
        <v/>
      </c>
      <c r="D222">
        <f>B222/C222</f>
        <v/>
      </c>
      <c r="E222" t="n">
        <v>0.26</v>
      </c>
      <c r="F222">
        <f>A222*1024/(C222*0.000001)/1000000000*C213</f>
        <v/>
      </c>
      <c r="G222">
        <f>E222/F222</f>
        <v/>
      </c>
    </row>
    <row r="223">
      <c r="A223" t="n">
        <v>64</v>
      </c>
      <c r="B223" t="n">
        <v>267.62</v>
      </c>
      <c r="C223">
        <f>C214+A223*1024*C212</f>
        <v/>
      </c>
      <c r="D223">
        <f>B223/C223</f>
        <v/>
      </c>
      <c r="E223" t="n">
        <v>0.49</v>
      </c>
      <c r="F223">
        <f>A223*1024/(C223*0.000001)/1000000000*C213</f>
        <v/>
      </c>
      <c r="G223">
        <f>E223/F223</f>
        <v/>
      </c>
    </row>
    <row r="224">
      <c r="A224" t="n">
        <v>128</v>
      </c>
      <c r="B224" t="n">
        <v>292.56</v>
      </c>
      <c r="C224">
        <f>C214+A224*1024*C212</f>
        <v/>
      </c>
      <c r="D224">
        <f>B224/C224</f>
        <v/>
      </c>
      <c r="E224" t="n">
        <v>0.89</v>
      </c>
      <c r="F224">
        <f>A224*1024/(C224*0.000001)/1000000000*C213</f>
        <v/>
      </c>
      <c r="G224">
        <f>E224/F224</f>
        <v/>
      </c>
    </row>
    <row r="225">
      <c r="A225" t="n">
        <v>256</v>
      </c>
      <c r="B225" t="n">
        <v>350.36</v>
      </c>
      <c r="C225">
        <f>C214+A225*1024*C212</f>
        <v/>
      </c>
      <c r="D225">
        <f>B225/C225</f>
        <v/>
      </c>
      <c r="E225" t="n">
        <v>1.48</v>
      </c>
      <c r="F225">
        <f>A225*1024/(C225*0.000001)/1000000000*C213</f>
        <v/>
      </c>
      <c r="G225">
        <f>E225/F225</f>
        <v/>
      </c>
    </row>
    <row r="226">
      <c r="A226" t="n">
        <v>512</v>
      </c>
      <c r="B226" t="n">
        <v>507.25</v>
      </c>
      <c r="C226">
        <f>C214+A226*1024*C212</f>
        <v/>
      </c>
      <c r="D226">
        <f>B226/C226</f>
        <v/>
      </c>
      <c r="E226" t="n">
        <v>2.05</v>
      </c>
      <c r="F226">
        <f>A226*1024/(C226*0.000001)/1000000000*C213</f>
        <v/>
      </c>
      <c r="G226">
        <f>E226/F226</f>
        <v/>
      </c>
    </row>
    <row r="227">
      <c r="A227" t="n">
        <v>1024</v>
      </c>
      <c r="B227" t="n">
        <v>816.85</v>
      </c>
      <c r="C227">
        <f>C214+A227*1024*C212</f>
        <v/>
      </c>
      <c r="D227">
        <f>B227/C227</f>
        <v/>
      </c>
      <c r="E227" t="n">
        <v>2.55</v>
      </c>
      <c r="F227">
        <f>A227*1024/(C227*0.000001)/1000000000*C213</f>
        <v/>
      </c>
      <c r="G227">
        <f>E227/F227</f>
        <v/>
      </c>
    </row>
    <row r="228">
      <c r="A228" t="n">
        <v>2048</v>
      </c>
      <c r="B228" t="n">
        <v>1433.99</v>
      </c>
      <c r="C228">
        <f>C214+A228*1024*C212</f>
        <v/>
      </c>
      <c r="D228">
        <f>B228/C228</f>
        <v/>
      </c>
      <c r="E228" t="n">
        <v>2.9</v>
      </c>
      <c r="F228">
        <f>A228*1024/(C228*0.000001)/1000000000*C213</f>
        <v/>
      </c>
      <c r="G228">
        <f>E228/F228</f>
        <v/>
      </c>
    </row>
    <row r="229">
      <c r="A229" t="n">
        <v>4096</v>
      </c>
      <c r="B229" t="n">
        <v>2708.94</v>
      </c>
      <c r="C229">
        <f>C214+A229*1024*C212</f>
        <v/>
      </c>
      <c r="D229">
        <f>B229/C229</f>
        <v/>
      </c>
      <c r="E229" t="n">
        <v>3.07</v>
      </c>
      <c r="F229">
        <f>A229*1024/(C229*0.000001)/1000000000*C213</f>
        <v/>
      </c>
      <c r="G229">
        <f>E229/F229</f>
        <v/>
      </c>
    </row>
    <row r="230">
      <c r="A230" t="n">
        <v>8192</v>
      </c>
      <c r="B230" t="n">
        <v>5215.71</v>
      </c>
      <c r="C230">
        <f>C214+A230*1024*C212</f>
        <v/>
      </c>
      <c r="D230">
        <f>B230/C230</f>
        <v/>
      </c>
      <c r="E230" t="n">
        <v>3.19</v>
      </c>
      <c r="F230">
        <f>A230*1024/(C230*0.000001)/1000000000*C213</f>
        <v/>
      </c>
      <c r="G230">
        <f>E230/F230</f>
        <v/>
      </c>
    </row>
    <row r="231">
      <c r="A231" t="n">
        <v>16384</v>
      </c>
      <c r="B231" t="n">
        <v>10180.7</v>
      </c>
      <c r="C231">
        <f>C214+A231*1024*C212</f>
        <v/>
      </c>
      <c r="D231">
        <f>B231/C231</f>
        <v/>
      </c>
      <c r="E231" t="n">
        <v>3.27</v>
      </c>
      <c r="F231">
        <f>A231*1024/(C231*0.000001)/1000000000*C213</f>
        <v/>
      </c>
      <c r="G231">
        <f>E231/F231</f>
        <v/>
      </c>
    </row>
    <row r="232">
      <c r="A232" t="n">
        <v>32768</v>
      </c>
      <c r="B232" t="n">
        <v>20165</v>
      </c>
      <c r="C232">
        <f>C214+A232*1024*C212</f>
        <v/>
      </c>
      <c r="D232">
        <f>B232/C232</f>
        <v/>
      </c>
      <c r="E232" t="n">
        <v>3.3</v>
      </c>
      <c r="F232">
        <f>A232*1024/(C232*0.000001)/1000000000*C213</f>
        <v/>
      </c>
      <c r="G232">
        <f>E232/F232</f>
        <v/>
      </c>
    </row>
    <row r="233">
      <c r="A233" t="n">
        <v>65536</v>
      </c>
      <c r="B233" t="n">
        <v>40141.2</v>
      </c>
      <c r="C233">
        <f>C214+A233*1024*C212</f>
        <v/>
      </c>
      <c r="D233">
        <f>B233/C233</f>
        <v/>
      </c>
      <c r="E233" t="n">
        <v>3.32</v>
      </c>
      <c r="F233">
        <f>A233*1024/(C233*0.000001)/1000000000*C213</f>
        <v/>
      </c>
      <c r="G233">
        <f>E233/F233</f>
        <v/>
      </c>
    </row>
    <row r="234">
      <c r="A234" t="n">
        <v>131072</v>
      </c>
      <c r="B234" t="n">
        <v>80218.3</v>
      </c>
      <c r="C234">
        <f>C214+A234*1024*C212</f>
        <v/>
      </c>
      <c r="D234">
        <f>B234/C234</f>
        <v/>
      </c>
      <c r="E234" t="n">
        <v>3.32</v>
      </c>
      <c r="F234">
        <f>A234*1024/(C234*0.000001)/1000000000*C213</f>
        <v/>
      </c>
      <c r="G234">
        <f>E234/F234</f>
        <v/>
      </c>
    </row>
    <row r="235">
      <c r="A235" t="n">
        <v>262144</v>
      </c>
      <c r="B235" t="n">
        <v>159622</v>
      </c>
      <c r="C235">
        <f>C214+A235*1024*C212</f>
        <v/>
      </c>
      <c r="D235">
        <f>B235/C235</f>
        <v/>
      </c>
      <c r="E235" t="n">
        <v>3.34</v>
      </c>
      <c r="F235">
        <f>A235*1024/(C235*0.000001)/1000000000*C213</f>
        <v/>
      </c>
      <c r="G235">
        <f>E235/F235</f>
        <v/>
      </c>
    </row>
    <row r="236">
      <c r="A236" t="n">
        <v>524288</v>
      </c>
      <c r="B236" t="n">
        <v>318686</v>
      </c>
      <c r="C236">
        <f>C214+A236*1024*C212</f>
        <v/>
      </c>
      <c r="D236">
        <f>B236/C236</f>
        <v/>
      </c>
      <c r="E236" t="n">
        <v>3.34</v>
      </c>
      <c r="F236">
        <f>A236*1024/(C236*0.000001)/1000000000*C213</f>
        <v/>
      </c>
      <c r="G236">
        <f>E236/F236</f>
        <v/>
      </c>
    </row>
    <row r="237">
      <c r="A237" t="n">
        <v>1048576</v>
      </c>
      <c r="B237" t="n">
        <v>639169</v>
      </c>
      <c r="C237">
        <f>C214+A237*1024*C212</f>
        <v/>
      </c>
      <c r="D237">
        <f>B237/C237</f>
        <v/>
      </c>
      <c r="E237" t="n">
        <v>3.33</v>
      </c>
      <c r="F237">
        <f>A237*1024/(C237*0.000001)/1000000000*C213</f>
        <v/>
      </c>
      <c r="G237">
        <f>E237/F237</f>
        <v/>
      </c>
    </row>
    <row r="238"/>
    <row r="239">
      <c r="A239" t="inlineStr">
        <is>
          <t>Nodes: 16, Protocol: LL, Channels: 2</t>
        </is>
      </c>
    </row>
    <row r="240">
      <c r="A240" t="inlineStr">
        <is>
          <t>Parameter</t>
        </is>
      </c>
      <c r="B240" t="inlineStr">
        <is>
          <t>Formula</t>
        </is>
      </c>
      <c r="C240" t="inlineStr">
        <is>
          <t>Value</t>
        </is>
      </c>
    </row>
    <row r="241">
      <c r="A241" t="inlineStr">
        <is>
          <t>N</t>
        </is>
      </c>
      <c r="B241" t="inlineStr">
        <is>
          <t>nodes</t>
        </is>
      </c>
      <c r="C241" t="n">
        <v>16</v>
      </c>
    </row>
    <row r="242">
      <c r="A242" t="inlineStr">
        <is>
          <t>n</t>
        </is>
      </c>
      <c r="B242" t="inlineStr">
        <is>
          <t>GPUs/node</t>
        </is>
      </c>
      <c r="C242" t="n">
        <v>8</v>
      </c>
    </row>
    <row r="243">
      <c r="A243" t="inlineStr">
        <is>
          <t>n_total</t>
        </is>
      </c>
      <c r="B243" t="inlineStr">
        <is>
          <t>N*n</t>
        </is>
      </c>
      <c r="C243" t="n">
        <v>128</v>
      </c>
    </row>
    <row r="244">
      <c r="A244" t="inlineStr">
        <is>
          <t>nch_raw</t>
        </is>
      </c>
      <c r="B244" t="inlineStr">
        <is>
          <t>raw channels</t>
        </is>
      </c>
      <c r="C244" t="n">
        <v>2</v>
      </c>
    </row>
    <row r="245">
      <c r="A245" t="inlineStr">
        <is>
          <t>nch_eff</t>
        </is>
      </c>
      <c r="B245" t="inlineStr">
        <is>
          <t>min(nch_raw,8)</t>
        </is>
      </c>
      <c r="C245" t="n">
        <v>2</v>
      </c>
    </row>
    <row r="246">
      <c r="A246" t="inlineStr">
        <is>
          <t>a</t>
        </is>
      </c>
      <c r="B246" t="inlineStr">
        <is>
          <t>RTT (us)</t>
        </is>
      </c>
      <c r="C246" t="n">
        <v>24.92</v>
      </c>
    </row>
    <row r="247">
      <c r="A247" t="inlineStr">
        <is>
          <t>NIC_BW</t>
        </is>
      </c>
      <c r="B247" t="inlineStr">
        <is>
          <t>bytes/us</t>
        </is>
      </c>
      <c r="C247" t="n">
        <v>48750</v>
      </c>
    </row>
    <row r="248">
      <c r="A248" t="inlineStr">
        <is>
          <t>intra_node_latency</t>
        </is>
      </c>
      <c r="B248" t="inlineStr">
        <is>
          <t>us</t>
        </is>
      </c>
      <c r="C248" t="n">
        <v>8.4</v>
      </c>
    </row>
    <row r="249">
      <c r="A249" t="inlineStr">
        <is>
          <t>NIC_BW_REAL</t>
        </is>
      </c>
      <c r="B249" t="inlineStr">
        <is>
          <t>nch_eff*(NIC_BW/2)/3</t>
        </is>
      </c>
      <c r="C249">
        <f>C245*(C247/2)/3</f>
        <v/>
      </c>
    </row>
    <row r="250">
      <c r="A250" t="inlineStr">
        <is>
          <t>G</t>
        </is>
      </c>
      <c r="B250" t="inlineStr">
        <is>
          <t>1/NIC_BW_REAL</t>
        </is>
      </c>
      <c r="C250">
        <f>1/C249</f>
        <v/>
      </c>
    </row>
    <row r="251">
      <c r="A251" t="inlineStr">
        <is>
          <t>busbw_factor</t>
        </is>
      </c>
      <c r="B251" t="inlineStr">
        <is>
          <t>2*(n_total-1)/n_total</t>
        </is>
      </c>
      <c r="C251">
        <f>2*(C243-1)/C243</f>
        <v/>
      </c>
    </row>
    <row r="252">
      <c r="A252" t="inlineStr">
        <is>
          <t>fixed_overhead</t>
        </is>
      </c>
      <c r="B252" t="inlineStr">
        <is>
          <t>(2*LOG2(N)+1)*a/2+2*intra</t>
        </is>
      </c>
      <c r="C252">
        <f>(2*LOG(C241,2)+1)*C246/2+2*C248</f>
        <v/>
      </c>
    </row>
    <row r="253"/>
    <row r="254">
      <c r="A254" t="inlineStr">
        <is>
          <t>size_KB</t>
        </is>
      </c>
      <c r="B254" t="inlineStr">
        <is>
          <t>Actual Time (us)</t>
        </is>
      </c>
      <c r="C254" t="inlineStr">
        <is>
          <t>Roofline Time (us)</t>
        </is>
      </c>
      <c r="D254" t="inlineStr">
        <is>
          <t>Actual/Roofline</t>
        </is>
      </c>
      <c r="E254" t="inlineStr">
        <is>
          <t>Actual busBW (GB/s)</t>
        </is>
      </c>
      <c r="F254" t="inlineStr">
        <is>
          <t>Roofline busBW (GB/s)</t>
        </is>
      </c>
      <c r="G254" t="inlineStr">
        <is>
          <t>Meas/Roof busBW</t>
        </is>
      </c>
    </row>
    <row r="255">
      <c r="A255" t="n">
        <v>1</v>
      </c>
      <c r="B255" t="n">
        <v>153.34</v>
      </c>
      <c r="C255">
        <f>C252+A255*1024*C250</f>
        <v/>
      </c>
      <c r="D255">
        <f>B255/C255</f>
        <v/>
      </c>
      <c r="E255" t="n">
        <v>0.01</v>
      </c>
      <c r="F255">
        <f>A255*1024/(C255*0.000001)/1000000000*C251</f>
        <v/>
      </c>
      <c r="G255">
        <f>E255/F255</f>
        <v/>
      </c>
    </row>
    <row r="256">
      <c r="A256" t="n">
        <v>2</v>
      </c>
      <c r="B256" t="n">
        <v>146.07</v>
      </c>
      <c r="C256">
        <f>C252+A256*1024*C250</f>
        <v/>
      </c>
      <c r="D256">
        <f>B256/C256</f>
        <v/>
      </c>
      <c r="E256" t="n">
        <v>0.03</v>
      </c>
      <c r="F256">
        <f>A256*1024/(C256*0.000001)/1000000000*C251</f>
        <v/>
      </c>
      <c r="G256">
        <f>E256/F256</f>
        <v/>
      </c>
    </row>
    <row r="257">
      <c r="A257" t="n">
        <v>4</v>
      </c>
      <c r="B257" t="n">
        <v>161.16</v>
      </c>
      <c r="C257">
        <f>C252+A257*1024*C250</f>
        <v/>
      </c>
      <c r="D257">
        <f>B257/C257</f>
        <v/>
      </c>
      <c r="E257" t="n">
        <v>0.05</v>
      </c>
      <c r="F257">
        <f>A257*1024/(C257*0.000001)/1000000000*C251</f>
        <v/>
      </c>
      <c r="G257">
        <f>E257/F257</f>
        <v/>
      </c>
    </row>
    <row r="258">
      <c r="A258" t="n">
        <v>8</v>
      </c>
      <c r="B258" t="n">
        <v>163.36</v>
      </c>
      <c r="C258">
        <f>C252+A258*1024*C250</f>
        <v/>
      </c>
      <c r="D258">
        <f>B258/C258</f>
        <v/>
      </c>
      <c r="E258" t="n">
        <v>0.1</v>
      </c>
      <c r="F258">
        <f>A258*1024/(C258*0.000001)/1000000000*C251</f>
        <v/>
      </c>
      <c r="G258">
        <f>E258/F258</f>
        <v/>
      </c>
    </row>
    <row r="259">
      <c r="A259" t="n">
        <v>16</v>
      </c>
      <c r="B259" t="n">
        <v>179.24</v>
      </c>
      <c r="C259">
        <f>C252+A259*1024*C250</f>
        <v/>
      </c>
      <c r="D259">
        <f>B259/C259</f>
        <v/>
      </c>
      <c r="E259" t="n">
        <v>0.18</v>
      </c>
      <c r="F259">
        <f>A259*1024/(C259*0.000001)/1000000000*C251</f>
        <v/>
      </c>
      <c r="G259">
        <f>E259/F259</f>
        <v/>
      </c>
    </row>
    <row r="260">
      <c r="A260" t="n">
        <v>32</v>
      </c>
      <c r="B260" t="n">
        <v>204.88</v>
      </c>
      <c r="C260">
        <f>C252+A260*1024*C250</f>
        <v/>
      </c>
      <c r="D260">
        <f>B260/C260</f>
        <v/>
      </c>
      <c r="E260" t="n">
        <v>0.32</v>
      </c>
      <c r="F260">
        <f>A260*1024/(C260*0.000001)/1000000000*C251</f>
        <v/>
      </c>
      <c r="G260">
        <f>E260/F260</f>
        <v/>
      </c>
    </row>
    <row r="261">
      <c r="A261" t="n">
        <v>64</v>
      </c>
      <c r="B261" t="n">
        <v>262.44</v>
      </c>
      <c r="C261">
        <f>C252+A261*1024*C250</f>
        <v/>
      </c>
      <c r="D261">
        <f>B261/C261</f>
        <v/>
      </c>
      <c r="E261" t="n">
        <v>0.5</v>
      </c>
      <c r="F261">
        <f>A261*1024/(C261*0.000001)/1000000000*C251</f>
        <v/>
      </c>
      <c r="G261">
        <f>E261/F261</f>
        <v/>
      </c>
    </row>
    <row r="262">
      <c r="A262" t="n">
        <v>128</v>
      </c>
      <c r="B262" t="n">
        <v>271.71</v>
      </c>
      <c r="C262">
        <f>C252+A262*1024*C250</f>
        <v/>
      </c>
      <c r="D262">
        <f>B262/C262</f>
        <v/>
      </c>
      <c r="E262" t="n">
        <v>0.96</v>
      </c>
      <c r="F262">
        <f>A262*1024/(C262*0.000001)/1000000000*C251</f>
        <v/>
      </c>
      <c r="G262">
        <f>E262/F262</f>
        <v/>
      </c>
    </row>
    <row r="263">
      <c r="A263" t="n">
        <v>256</v>
      </c>
      <c r="B263" t="n">
        <v>303.38</v>
      </c>
      <c r="C263">
        <f>C252+A263*1024*C250</f>
        <v/>
      </c>
      <c r="D263">
        <f>B263/C263</f>
        <v/>
      </c>
      <c r="E263" t="n">
        <v>1.71</v>
      </c>
      <c r="F263">
        <f>A263*1024/(C263*0.000001)/1000000000*C251</f>
        <v/>
      </c>
      <c r="G263">
        <f>E263/F263</f>
        <v/>
      </c>
    </row>
    <row r="264">
      <c r="A264" t="n">
        <v>512</v>
      </c>
      <c r="B264" t="n">
        <v>365.51</v>
      </c>
      <c r="C264">
        <f>C252+A264*1024*C250</f>
        <v/>
      </c>
      <c r="D264">
        <f>B264/C264</f>
        <v/>
      </c>
      <c r="E264" t="n">
        <v>2.85</v>
      </c>
      <c r="F264">
        <f>A264*1024/(C264*0.000001)/1000000000*C251</f>
        <v/>
      </c>
      <c r="G264">
        <f>E264/F264</f>
        <v/>
      </c>
    </row>
    <row r="265">
      <c r="A265" t="n">
        <v>1024</v>
      </c>
      <c r="B265" t="n">
        <v>533.05</v>
      </c>
      <c r="C265">
        <f>C252+A265*1024*C250</f>
        <v/>
      </c>
      <c r="D265">
        <f>B265/C265</f>
        <v/>
      </c>
      <c r="E265" t="n">
        <v>3.9</v>
      </c>
      <c r="F265">
        <f>A265*1024/(C265*0.000001)/1000000000*C251</f>
        <v/>
      </c>
      <c r="G265">
        <f>E265/F265</f>
        <v/>
      </c>
    </row>
    <row r="266">
      <c r="A266" t="n">
        <v>2048</v>
      </c>
      <c r="B266" t="n">
        <v>861.02</v>
      </c>
      <c r="C266">
        <f>C252+A266*1024*C250</f>
        <v/>
      </c>
      <c r="D266">
        <f>B266/C266</f>
        <v/>
      </c>
      <c r="E266" t="n">
        <v>4.83</v>
      </c>
      <c r="F266">
        <f>A266*1024/(C266*0.000001)/1000000000*C251</f>
        <v/>
      </c>
      <c r="G266">
        <f>E266/F266</f>
        <v/>
      </c>
    </row>
    <row r="267">
      <c r="A267" t="n">
        <v>4096</v>
      </c>
      <c r="B267" t="n">
        <v>1545.27</v>
      </c>
      <c r="C267">
        <f>C252+A267*1024*C250</f>
        <v/>
      </c>
      <c r="D267">
        <f>B267/C267</f>
        <v/>
      </c>
      <c r="E267" t="n">
        <v>5.39</v>
      </c>
      <c r="F267">
        <f>A267*1024/(C267*0.000001)/1000000000*C251</f>
        <v/>
      </c>
      <c r="G267">
        <f>E267/F267</f>
        <v/>
      </c>
    </row>
    <row r="268">
      <c r="A268" t="n">
        <v>8192</v>
      </c>
      <c r="B268" t="n">
        <v>2844.11</v>
      </c>
      <c r="C268">
        <f>C252+A268*1024*C250</f>
        <v/>
      </c>
      <c r="D268">
        <f>B268/C268</f>
        <v/>
      </c>
      <c r="E268" t="n">
        <v>5.85</v>
      </c>
      <c r="F268">
        <f>A268*1024/(C268*0.000001)/1000000000*C251</f>
        <v/>
      </c>
      <c r="G268">
        <f>E268/F268</f>
        <v/>
      </c>
    </row>
    <row r="269">
      <c r="A269" t="n">
        <v>16384</v>
      </c>
      <c r="B269" t="n">
        <v>5473.84</v>
      </c>
      <c r="C269">
        <f>C252+A269*1024*C250</f>
        <v/>
      </c>
      <c r="D269">
        <f>B269/C269</f>
        <v/>
      </c>
      <c r="E269" t="n">
        <v>6.08</v>
      </c>
      <c r="F269">
        <f>A269*1024/(C269*0.000001)/1000000000*C251</f>
        <v/>
      </c>
      <c r="G269">
        <f>E269/F269</f>
        <v/>
      </c>
    </row>
    <row r="270">
      <c r="A270" t="n">
        <v>32768</v>
      </c>
      <c r="B270" t="n">
        <v>10726.4</v>
      </c>
      <c r="C270">
        <f>C252+A270*1024*C250</f>
        <v/>
      </c>
      <c r="D270">
        <f>B270/C270</f>
        <v/>
      </c>
      <c r="E270" t="n">
        <v>6.21</v>
      </c>
      <c r="F270">
        <f>A270*1024/(C270*0.000001)/1000000000*C251</f>
        <v/>
      </c>
      <c r="G270">
        <f>E270/F270</f>
        <v/>
      </c>
    </row>
    <row r="271">
      <c r="A271" t="n">
        <v>65536</v>
      </c>
      <c r="B271" t="n">
        <v>21230.7</v>
      </c>
      <c r="C271">
        <f>C252+A271*1024*C250</f>
        <v/>
      </c>
      <c r="D271">
        <f>B271/C271</f>
        <v/>
      </c>
      <c r="E271" t="n">
        <v>6.27</v>
      </c>
      <c r="F271">
        <f>A271*1024/(C271*0.000001)/1000000000*C251</f>
        <v/>
      </c>
      <c r="G271">
        <f>E271/F271</f>
        <v/>
      </c>
    </row>
    <row r="272">
      <c r="A272" t="n">
        <v>131072</v>
      </c>
      <c r="B272" t="n">
        <v>42181.1</v>
      </c>
      <c r="C272">
        <f>C252+A272*1024*C250</f>
        <v/>
      </c>
      <c r="D272">
        <f>B272/C272</f>
        <v/>
      </c>
      <c r="E272" t="n">
        <v>6.31</v>
      </c>
      <c r="F272">
        <f>A272*1024/(C272*0.000001)/1000000000*C251</f>
        <v/>
      </c>
      <c r="G272">
        <f>E272/F272</f>
        <v/>
      </c>
    </row>
    <row r="273">
      <c r="A273" t="n">
        <v>262144</v>
      </c>
      <c r="B273" t="n">
        <v>83985.8</v>
      </c>
      <c r="C273">
        <f>C252+A273*1024*C250</f>
        <v/>
      </c>
      <c r="D273">
        <f>B273/C273</f>
        <v/>
      </c>
      <c r="E273" t="n">
        <v>6.34</v>
      </c>
      <c r="F273">
        <f>A273*1024/(C273*0.000001)/1000000000*C251</f>
        <v/>
      </c>
      <c r="G273">
        <f>E273/F273</f>
        <v/>
      </c>
    </row>
    <row r="274">
      <c r="A274" t="n">
        <v>524288</v>
      </c>
      <c r="B274" t="n">
        <v>168169</v>
      </c>
      <c r="C274">
        <f>C252+A274*1024*C250</f>
        <v/>
      </c>
      <c r="D274">
        <f>B274/C274</f>
        <v/>
      </c>
      <c r="E274" t="n">
        <v>6.33</v>
      </c>
      <c r="F274">
        <f>A274*1024/(C274*0.000001)/1000000000*C251</f>
        <v/>
      </c>
      <c r="G274">
        <f>E274/F274</f>
        <v/>
      </c>
    </row>
    <row r="275">
      <c r="A275" t="n">
        <v>1048576</v>
      </c>
      <c r="B275" t="n">
        <v>335445</v>
      </c>
      <c r="C275">
        <f>C252+A275*1024*C250</f>
        <v/>
      </c>
      <c r="D275">
        <f>B275/C275</f>
        <v/>
      </c>
      <c r="E275" t="n">
        <v>6.35</v>
      </c>
      <c r="F275">
        <f>A275*1024/(C275*0.000001)/1000000000*C251</f>
        <v/>
      </c>
      <c r="G275">
        <f>E275/F275</f>
        <v/>
      </c>
    </row>
    <row r="276"/>
    <row r="277">
      <c r="A277" t="inlineStr">
        <is>
          <t>Nodes: 16, Protocol: LL, Channels: 4</t>
        </is>
      </c>
    </row>
    <row r="278">
      <c r="A278" t="inlineStr">
        <is>
          <t>Parameter</t>
        </is>
      </c>
      <c r="B278" t="inlineStr">
        <is>
          <t>Formula</t>
        </is>
      </c>
      <c r="C278" t="inlineStr">
        <is>
          <t>Value</t>
        </is>
      </c>
    </row>
    <row r="279">
      <c r="A279" t="inlineStr">
        <is>
          <t>N</t>
        </is>
      </c>
      <c r="B279" t="inlineStr">
        <is>
          <t>nodes</t>
        </is>
      </c>
      <c r="C279" t="n">
        <v>16</v>
      </c>
    </row>
    <row r="280">
      <c r="A280" t="inlineStr">
        <is>
          <t>n</t>
        </is>
      </c>
      <c r="B280" t="inlineStr">
        <is>
          <t>GPUs/node</t>
        </is>
      </c>
      <c r="C280" t="n">
        <v>8</v>
      </c>
    </row>
    <row r="281">
      <c r="A281" t="inlineStr">
        <is>
          <t>n_total</t>
        </is>
      </c>
      <c r="B281" t="inlineStr">
        <is>
          <t>N*n</t>
        </is>
      </c>
      <c r="C281" t="n">
        <v>128</v>
      </c>
    </row>
    <row r="282">
      <c r="A282" t="inlineStr">
        <is>
          <t>nch_raw</t>
        </is>
      </c>
      <c r="B282" t="inlineStr">
        <is>
          <t>raw channels</t>
        </is>
      </c>
      <c r="C282" t="n">
        <v>4</v>
      </c>
    </row>
    <row r="283">
      <c r="A283" t="inlineStr">
        <is>
          <t>nch_eff</t>
        </is>
      </c>
      <c r="B283" t="inlineStr">
        <is>
          <t>min(nch_raw,8)</t>
        </is>
      </c>
      <c r="C283" t="n">
        <v>4</v>
      </c>
    </row>
    <row r="284">
      <c r="A284" t="inlineStr">
        <is>
          <t>a</t>
        </is>
      </c>
      <c r="B284" t="inlineStr">
        <is>
          <t>RTT (us)</t>
        </is>
      </c>
      <c r="C284" t="n">
        <v>24.92</v>
      </c>
    </row>
    <row r="285">
      <c r="A285" t="inlineStr">
        <is>
          <t>NIC_BW</t>
        </is>
      </c>
      <c r="B285" t="inlineStr">
        <is>
          <t>bytes/us</t>
        </is>
      </c>
      <c r="C285" t="n">
        <v>48750</v>
      </c>
    </row>
    <row r="286">
      <c r="A286" t="inlineStr">
        <is>
          <t>intra_node_latency</t>
        </is>
      </c>
      <c r="B286" t="inlineStr">
        <is>
          <t>us</t>
        </is>
      </c>
      <c r="C286" t="n">
        <v>8.4</v>
      </c>
    </row>
    <row r="287">
      <c r="A287" t="inlineStr">
        <is>
          <t>NIC_BW_REAL</t>
        </is>
      </c>
      <c r="B287" t="inlineStr">
        <is>
          <t>nch_eff*(NIC_BW/2)/3</t>
        </is>
      </c>
      <c r="C287">
        <f>C283*(C285/2)/3</f>
        <v/>
      </c>
    </row>
    <row r="288">
      <c r="A288" t="inlineStr">
        <is>
          <t>G</t>
        </is>
      </c>
      <c r="B288" t="inlineStr">
        <is>
          <t>1/NIC_BW_REAL</t>
        </is>
      </c>
      <c r="C288">
        <f>1/C287</f>
        <v/>
      </c>
    </row>
    <row r="289">
      <c r="A289" t="inlineStr">
        <is>
          <t>busbw_factor</t>
        </is>
      </c>
      <c r="B289" t="inlineStr">
        <is>
          <t>2*(n_total-1)/n_total</t>
        </is>
      </c>
      <c r="C289">
        <f>2*(C281-1)/C281</f>
        <v/>
      </c>
    </row>
    <row r="290">
      <c r="A290" t="inlineStr">
        <is>
          <t>fixed_overhead</t>
        </is>
      </c>
      <c r="B290" t="inlineStr">
        <is>
          <t>(2*LOG2(N)+1)*a/2+2*intra</t>
        </is>
      </c>
      <c r="C290">
        <f>(2*LOG(C279,2)+1)*C284/2+2*C286</f>
        <v/>
      </c>
    </row>
    <row r="291"/>
    <row r="292">
      <c r="A292" t="inlineStr">
        <is>
          <t>size_KB</t>
        </is>
      </c>
      <c r="B292" t="inlineStr">
        <is>
          <t>Actual Time (us)</t>
        </is>
      </c>
      <c r="C292" t="inlineStr">
        <is>
          <t>Roofline Time (us)</t>
        </is>
      </c>
      <c r="D292" t="inlineStr">
        <is>
          <t>Actual/Roofline</t>
        </is>
      </c>
      <c r="E292" t="inlineStr">
        <is>
          <t>Actual busBW (GB/s)</t>
        </is>
      </c>
      <c r="F292" t="inlineStr">
        <is>
          <t>Roofline busBW (GB/s)</t>
        </is>
      </c>
      <c r="G292" t="inlineStr">
        <is>
          <t>Meas/Roof busBW</t>
        </is>
      </c>
    </row>
    <row r="293">
      <c r="A293" t="n">
        <v>1</v>
      </c>
      <c r="B293" t="n">
        <v>155.26</v>
      </c>
      <c r="C293">
        <f>C290+A293*1024*C288</f>
        <v/>
      </c>
      <c r="D293">
        <f>B293/C293</f>
        <v/>
      </c>
      <c r="E293" t="n">
        <v>0.01</v>
      </c>
      <c r="F293">
        <f>A293*1024/(C293*0.000001)/1000000000*C289</f>
        <v/>
      </c>
      <c r="G293">
        <f>E293/F293</f>
        <v/>
      </c>
    </row>
    <row r="294">
      <c r="A294" t="n">
        <v>2</v>
      </c>
      <c r="B294" t="n">
        <v>142.15</v>
      </c>
      <c r="C294">
        <f>C290+A294*1024*C288</f>
        <v/>
      </c>
      <c r="D294">
        <f>B294/C294</f>
        <v/>
      </c>
      <c r="E294" t="n">
        <v>0.03</v>
      </c>
      <c r="F294">
        <f>A294*1024/(C294*0.000001)/1000000000*C289</f>
        <v/>
      </c>
      <c r="G294">
        <f>E294/F294</f>
        <v/>
      </c>
    </row>
    <row r="295">
      <c r="A295" t="n">
        <v>4</v>
      </c>
      <c r="B295" t="n">
        <v>160.01</v>
      </c>
      <c r="C295">
        <f>C290+A295*1024*C288</f>
        <v/>
      </c>
      <c r="D295">
        <f>B295/C295</f>
        <v/>
      </c>
      <c r="E295" t="n">
        <v>0.05</v>
      </c>
      <c r="F295">
        <f>A295*1024/(C295*0.000001)/1000000000*C289</f>
        <v/>
      </c>
      <c r="G295">
        <f>E295/F295</f>
        <v/>
      </c>
    </row>
    <row r="296">
      <c r="A296" t="n">
        <v>8</v>
      </c>
      <c r="B296" t="n">
        <v>162.54</v>
      </c>
      <c r="C296">
        <f>C290+A296*1024*C288</f>
        <v/>
      </c>
      <c r="D296">
        <f>B296/C296</f>
        <v/>
      </c>
      <c r="E296" t="n">
        <v>0.1</v>
      </c>
      <c r="F296">
        <f>A296*1024/(C296*0.000001)/1000000000*C289</f>
        <v/>
      </c>
      <c r="G296">
        <f>E296/F296</f>
        <v/>
      </c>
    </row>
    <row r="297">
      <c r="A297" t="n">
        <v>16</v>
      </c>
      <c r="B297" t="n">
        <v>164.31</v>
      </c>
      <c r="C297">
        <f>C290+A297*1024*C288</f>
        <v/>
      </c>
      <c r="D297">
        <f>B297/C297</f>
        <v/>
      </c>
      <c r="E297" t="n">
        <v>0.2</v>
      </c>
      <c r="F297">
        <f>A297*1024/(C297*0.000001)/1000000000*C289</f>
        <v/>
      </c>
      <c r="G297">
        <f>E297/F297</f>
        <v/>
      </c>
    </row>
    <row r="298">
      <c r="A298" t="n">
        <v>32</v>
      </c>
      <c r="B298" t="n">
        <v>180.02</v>
      </c>
      <c r="C298">
        <f>C290+A298*1024*C288</f>
        <v/>
      </c>
      <c r="D298">
        <f>B298/C298</f>
        <v/>
      </c>
      <c r="E298" t="n">
        <v>0.36</v>
      </c>
      <c r="F298">
        <f>A298*1024/(C298*0.000001)/1000000000*C289</f>
        <v/>
      </c>
      <c r="G298">
        <f>E298/F298</f>
        <v/>
      </c>
    </row>
    <row r="299">
      <c r="A299" t="n">
        <v>64</v>
      </c>
      <c r="B299" t="n">
        <v>205.76</v>
      </c>
      <c r="C299">
        <f>C290+A299*1024*C288</f>
        <v/>
      </c>
      <c r="D299">
        <f>B299/C299</f>
        <v/>
      </c>
      <c r="E299" t="n">
        <v>0.63</v>
      </c>
      <c r="F299">
        <f>A299*1024/(C299*0.000001)/1000000000*C289</f>
        <v/>
      </c>
      <c r="G299">
        <f>E299/F299</f>
        <v/>
      </c>
    </row>
    <row r="300">
      <c r="A300" t="n">
        <v>128</v>
      </c>
      <c r="B300" t="n">
        <v>257.5</v>
      </c>
      <c r="C300">
        <f>C290+A300*1024*C288</f>
        <v/>
      </c>
      <c r="D300">
        <f>B300/C300</f>
        <v/>
      </c>
      <c r="E300" t="n">
        <v>1.01</v>
      </c>
      <c r="F300">
        <f>A300*1024/(C300*0.000001)/1000000000*C289</f>
        <v/>
      </c>
      <c r="G300">
        <f>E300/F300</f>
        <v/>
      </c>
    </row>
    <row r="301">
      <c r="A301" t="n">
        <v>256</v>
      </c>
      <c r="B301" t="n">
        <v>282.64</v>
      </c>
      <c r="C301">
        <f>C290+A301*1024*C288</f>
        <v/>
      </c>
      <c r="D301">
        <f>B301/C301</f>
        <v/>
      </c>
      <c r="E301" t="n">
        <v>1.84</v>
      </c>
      <c r="F301">
        <f>A301*1024/(C301*0.000001)/1000000000*C289</f>
        <v/>
      </c>
      <c r="G301">
        <f>E301/F301</f>
        <v/>
      </c>
    </row>
    <row r="302">
      <c r="A302" t="n">
        <v>512</v>
      </c>
      <c r="B302" t="n">
        <v>315.99</v>
      </c>
      <c r="C302">
        <f>C290+A302*1024*C288</f>
        <v/>
      </c>
      <c r="D302">
        <f>B302/C302</f>
        <v/>
      </c>
      <c r="E302" t="n">
        <v>3.29</v>
      </c>
      <c r="F302">
        <f>A302*1024/(C302*0.000001)/1000000000*C289</f>
        <v/>
      </c>
      <c r="G302">
        <f>E302/F302</f>
        <v/>
      </c>
    </row>
    <row r="303">
      <c r="A303" t="n">
        <v>1024</v>
      </c>
      <c r="B303" t="n">
        <v>391.67</v>
      </c>
      <c r="C303">
        <f>C290+A303*1024*C288</f>
        <v/>
      </c>
      <c r="D303">
        <f>B303/C303</f>
        <v/>
      </c>
      <c r="E303" t="n">
        <v>5.31</v>
      </c>
      <c r="F303">
        <f>A303*1024/(C303*0.000001)/1000000000*C289</f>
        <v/>
      </c>
      <c r="G303">
        <f>E303/F303</f>
        <v/>
      </c>
    </row>
    <row r="304">
      <c r="A304" t="n">
        <v>2048</v>
      </c>
      <c r="B304" t="n">
        <v>570.9400000000001</v>
      </c>
      <c r="C304">
        <f>C290+A304*1024*C288</f>
        <v/>
      </c>
      <c r="D304">
        <f>B304/C304</f>
        <v/>
      </c>
      <c r="E304" t="n">
        <v>7.29</v>
      </c>
      <c r="F304">
        <f>A304*1024/(C304*0.000001)/1000000000*C289</f>
        <v/>
      </c>
      <c r="G304">
        <f>E304/F304</f>
        <v/>
      </c>
    </row>
    <row r="305">
      <c r="A305" t="n">
        <v>4096</v>
      </c>
      <c r="B305" t="n">
        <v>934.97</v>
      </c>
      <c r="C305">
        <f>C290+A305*1024*C288</f>
        <v/>
      </c>
      <c r="D305">
        <f>B305/C305</f>
        <v/>
      </c>
      <c r="E305" t="n">
        <v>8.9</v>
      </c>
      <c r="F305">
        <f>A305*1024/(C305*0.000001)/1000000000*C289</f>
        <v/>
      </c>
      <c r="G305">
        <f>E305/F305</f>
        <v/>
      </c>
    </row>
    <row r="306">
      <c r="A306" t="n">
        <v>8192</v>
      </c>
      <c r="B306" t="n">
        <v>1655.67</v>
      </c>
      <c r="C306">
        <f>C290+A306*1024*C288</f>
        <v/>
      </c>
      <c r="D306">
        <f>B306/C306</f>
        <v/>
      </c>
      <c r="E306" t="n">
        <v>10.05</v>
      </c>
      <c r="F306">
        <f>A306*1024/(C306*0.000001)/1000000000*C289</f>
        <v/>
      </c>
      <c r="G306">
        <f>E306/F306</f>
        <v/>
      </c>
    </row>
    <row r="307">
      <c r="A307" t="n">
        <v>16384</v>
      </c>
      <c r="B307" t="n">
        <v>3095.18</v>
      </c>
      <c r="C307">
        <f>C290+A307*1024*C288</f>
        <v/>
      </c>
      <c r="D307">
        <f>B307/C307</f>
        <v/>
      </c>
      <c r="E307" t="n">
        <v>10.76</v>
      </c>
      <c r="F307">
        <f>A307*1024/(C307*0.000001)/1000000000*C289</f>
        <v/>
      </c>
      <c r="G307">
        <f>E307/F307</f>
        <v/>
      </c>
    </row>
    <row r="308">
      <c r="A308" t="n">
        <v>32768</v>
      </c>
      <c r="B308" t="n">
        <v>5994.38</v>
      </c>
      <c r="C308">
        <f>C290+A308*1024*C288</f>
        <v/>
      </c>
      <c r="D308">
        <f>B308/C308</f>
        <v/>
      </c>
      <c r="E308" t="n">
        <v>11.11</v>
      </c>
      <c r="F308">
        <f>A308*1024/(C308*0.000001)/1000000000*C289</f>
        <v/>
      </c>
      <c r="G308">
        <f>E308/F308</f>
        <v/>
      </c>
    </row>
    <row r="309">
      <c r="A309" t="n">
        <v>65536</v>
      </c>
      <c r="B309" t="n">
        <v>11738.3</v>
      </c>
      <c r="C309">
        <f>C290+A309*1024*C288</f>
        <v/>
      </c>
      <c r="D309">
        <f>B309/C309</f>
        <v/>
      </c>
      <c r="E309" t="n">
        <v>11.34</v>
      </c>
      <c r="F309">
        <f>A309*1024/(C309*0.000001)/1000000000*C289</f>
        <v/>
      </c>
      <c r="G309">
        <f>E309/F309</f>
        <v/>
      </c>
    </row>
    <row r="310">
      <c r="A310" t="n">
        <v>131072</v>
      </c>
      <c r="B310" t="n">
        <v>23094.1</v>
      </c>
      <c r="C310">
        <f>C290+A310*1024*C288</f>
        <v/>
      </c>
      <c r="D310">
        <f>B310/C310</f>
        <v/>
      </c>
      <c r="E310" t="n">
        <v>11.53</v>
      </c>
      <c r="F310">
        <f>A310*1024/(C310*0.000001)/1000000000*C289</f>
        <v/>
      </c>
      <c r="G310">
        <f>E310/F310</f>
        <v/>
      </c>
    </row>
    <row r="311">
      <c r="A311" t="n">
        <v>262144</v>
      </c>
      <c r="B311" t="n">
        <v>46387.2</v>
      </c>
      <c r="C311">
        <f>C290+A311*1024*C288</f>
        <v/>
      </c>
      <c r="D311">
        <f>B311/C311</f>
        <v/>
      </c>
      <c r="E311" t="n">
        <v>11.48</v>
      </c>
      <c r="F311">
        <f>A311*1024/(C311*0.000001)/1000000000*C289</f>
        <v/>
      </c>
      <c r="G311">
        <f>E311/F311</f>
        <v/>
      </c>
    </row>
    <row r="312">
      <c r="A312" t="n">
        <v>524288</v>
      </c>
      <c r="B312" t="n">
        <v>91878.3</v>
      </c>
      <c r="C312">
        <f>C290+A312*1024*C288</f>
        <v/>
      </c>
      <c r="D312">
        <f>B312/C312</f>
        <v/>
      </c>
      <c r="E312" t="n">
        <v>11.6</v>
      </c>
      <c r="F312">
        <f>A312*1024/(C312*0.000001)/1000000000*C289</f>
        <v/>
      </c>
      <c r="G312">
        <f>E312/F312</f>
        <v/>
      </c>
    </row>
    <row r="313">
      <c r="A313" t="n">
        <v>1048576</v>
      </c>
      <c r="B313" t="n">
        <v>182212</v>
      </c>
      <c r="C313">
        <f>C290+A313*1024*C288</f>
        <v/>
      </c>
      <c r="D313">
        <f>B313/C313</f>
        <v/>
      </c>
      <c r="E313" t="n">
        <v>11.69</v>
      </c>
      <c r="F313">
        <f>A313*1024/(C313*0.000001)/1000000000*C289</f>
        <v/>
      </c>
      <c r="G313">
        <f>E313/F313</f>
        <v/>
      </c>
    </row>
    <row r="314"/>
    <row r="315">
      <c r="A315" t="inlineStr">
        <is>
          <t>Nodes: 16, Protocol: LL, Channels: 8</t>
        </is>
      </c>
    </row>
    <row r="316">
      <c r="A316" t="inlineStr">
        <is>
          <t>Parameter</t>
        </is>
      </c>
      <c r="B316" t="inlineStr">
        <is>
          <t>Formula</t>
        </is>
      </c>
      <c r="C316" t="inlineStr">
        <is>
          <t>Value</t>
        </is>
      </c>
    </row>
    <row r="317">
      <c r="A317" t="inlineStr">
        <is>
          <t>N</t>
        </is>
      </c>
      <c r="B317" t="inlineStr">
        <is>
          <t>nodes</t>
        </is>
      </c>
      <c r="C317" t="n">
        <v>16</v>
      </c>
    </row>
    <row r="318">
      <c r="A318" t="inlineStr">
        <is>
          <t>n</t>
        </is>
      </c>
      <c r="B318" t="inlineStr">
        <is>
          <t>GPUs/node</t>
        </is>
      </c>
      <c r="C318" t="n">
        <v>8</v>
      </c>
    </row>
    <row r="319">
      <c r="A319" t="inlineStr">
        <is>
          <t>n_total</t>
        </is>
      </c>
      <c r="B319" t="inlineStr">
        <is>
          <t>N*n</t>
        </is>
      </c>
      <c r="C319" t="n">
        <v>128</v>
      </c>
    </row>
    <row r="320">
      <c r="A320" t="inlineStr">
        <is>
          <t>nch_raw</t>
        </is>
      </c>
      <c r="B320" t="inlineStr">
        <is>
          <t>raw channels</t>
        </is>
      </c>
      <c r="C320" t="n">
        <v>8</v>
      </c>
    </row>
    <row r="321">
      <c r="A321" t="inlineStr">
        <is>
          <t>nch_eff</t>
        </is>
      </c>
      <c r="B321" t="inlineStr">
        <is>
          <t>min(nch_raw,8)</t>
        </is>
      </c>
      <c r="C321" t="n">
        <v>8</v>
      </c>
    </row>
    <row r="322">
      <c r="A322" t="inlineStr">
        <is>
          <t>a</t>
        </is>
      </c>
      <c r="B322" t="inlineStr">
        <is>
          <t>RTT (us)</t>
        </is>
      </c>
      <c r="C322" t="n">
        <v>24.92</v>
      </c>
    </row>
    <row r="323">
      <c r="A323" t="inlineStr">
        <is>
          <t>NIC_BW</t>
        </is>
      </c>
      <c r="B323" t="inlineStr">
        <is>
          <t>bytes/us</t>
        </is>
      </c>
      <c r="C323" t="n">
        <v>48750</v>
      </c>
    </row>
    <row r="324">
      <c r="A324" t="inlineStr">
        <is>
          <t>intra_node_latency</t>
        </is>
      </c>
      <c r="B324" t="inlineStr">
        <is>
          <t>us</t>
        </is>
      </c>
      <c r="C324" t="n">
        <v>8.4</v>
      </c>
    </row>
    <row r="325">
      <c r="A325" t="inlineStr">
        <is>
          <t>NIC_BW_REAL</t>
        </is>
      </c>
      <c r="B325" t="inlineStr">
        <is>
          <t>nch_eff*(NIC_BW/2)/3</t>
        </is>
      </c>
      <c r="C325">
        <f>C321*(C323/2)/3</f>
        <v/>
      </c>
    </row>
    <row r="326">
      <c r="A326" t="inlineStr">
        <is>
          <t>G</t>
        </is>
      </c>
      <c r="B326" t="inlineStr">
        <is>
          <t>1/NIC_BW_REAL</t>
        </is>
      </c>
      <c r="C326">
        <f>1/C325</f>
        <v/>
      </c>
    </row>
    <row r="327">
      <c r="A327" t="inlineStr">
        <is>
          <t>busbw_factor</t>
        </is>
      </c>
      <c r="B327" t="inlineStr">
        <is>
          <t>2*(n_total-1)/n_total</t>
        </is>
      </c>
      <c r="C327">
        <f>2*(C319-1)/C319</f>
        <v/>
      </c>
    </row>
    <row r="328">
      <c r="A328" t="inlineStr">
        <is>
          <t>fixed_overhead</t>
        </is>
      </c>
      <c r="B328" t="inlineStr">
        <is>
          <t>(2*LOG2(N)+1)*a/2+2*intra</t>
        </is>
      </c>
      <c r="C328">
        <f>(2*LOG(C317,2)+1)*C322/2+2*C324</f>
        <v/>
      </c>
    </row>
    <row r="329"/>
    <row r="330">
      <c r="A330" t="inlineStr">
        <is>
          <t>size_KB</t>
        </is>
      </c>
      <c r="B330" t="inlineStr">
        <is>
          <t>Actual Time (us)</t>
        </is>
      </c>
      <c r="C330" t="inlineStr">
        <is>
          <t>Roofline Time (us)</t>
        </is>
      </c>
      <c r="D330" t="inlineStr">
        <is>
          <t>Actual/Roofline</t>
        </is>
      </c>
      <c r="E330" t="inlineStr">
        <is>
          <t>Actual busBW (GB/s)</t>
        </is>
      </c>
      <c r="F330" t="inlineStr">
        <is>
          <t>Roofline busBW (GB/s)</t>
        </is>
      </c>
      <c r="G330" t="inlineStr">
        <is>
          <t>Meas/Roof busBW</t>
        </is>
      </c>
    </row>
    <row r="331">
      <c r="A331" t="n">
        <v>1</v>
      </c>
      <c r="B331" t="n">
        <v>159.37</v>
      </c>
      <c r="C331">
        <f>C328+A331*1024*C326</f>
        <v/>
      </c>
      <c r="D331">
        <f>B331/C331</f>
        <v/>
      </c>
      <c r="E331" t="n">
        <v>0.01</v>
      </c>
      <c r="F331">
        <f>A331*1024/(C331*0.000001)/1000000000*C327</f>
        <v/>
      </c>
      <c r="G331">
        <f>E331/F331</f>
        <v/>
      </c>
    </row>
    <row r="332">
      <c r="A332" t="n">
        <v>2</v>
      </c>
      <c r="B332" t="n">
        <v>141.18</v>
      </c>
      <c r="C332">
        <f>C328+A332*1024*C326</f>
        <v/>
      </c>
      <c r="D332">
        <f>B332/C332</f>
        <v/>
      </c>
      <c r="E332" t="n">
        <v>0.03</v>
      </c>
      <c r="F332">
        <f>A332*1024/(C332*0.000001)/1000000000*C327</f>
        <v/>
      </c>
      <c r="G332">
        <f>E332/F332</f>
        <v/>
      </c>
    </row>
    <row r="333">
      <c r="A333" t="n">
        <v>4</v>
      </c>
      <c r="B333" t="n">
        <v>172.93</v>
      </c>
      <c r="C333">
        <f>C328+A333*1024*C326</f>
        <v/>
      </c>
      <c r="D333">
        <f>B333/C333</f>
        <v/>
      </c>
      <c r="E333" t="n">
        <v>0.05</v>
      </c>
      <c r="F333">
        <f>A333*1024/(C333*0.000001)/1000000000*C327</f>
        <v/>
      </c>
      <c r="G333">
        <f>E333/F333</f>
        <v/>
      </c>
    </row>
    <row r="334">
      <c r="A334" t="n">
        <v>8</v>
      </c>
      <c r="B334" t="n">
        <v>162.01</v>
      </c>
      <c r="C334">
        <f>C328+A334*1024*C326</f>
        <v/>
      </c>
      <c r="D334">
        <f>B334/C334</f>
        <v/>
      </c>
      <c r="E334" t="n">
        <v>0.1</v>
      </c>
      <c r="F334">
        <f>A334*1024/(C334*0.000001)/1000000000*C327</f>
        <v/>
      </c>
      <c r="G334">
        <f>E334/F334</f>
        <v/>
      </c>
    </row>
    <row r="335">
      <c r="A335" t="n">
        <v>16</v>
      </c>
      <c r="B335" t="n">
        <v>163.73</v>
      </c>
      <c r="C335">
        <f>C328+A335*1024*C326</f>
        <v/>
      </c>
      <c r="D335">
        <f>B335/C335</f>
        <v/>
      </c>
      <c r="E335" t="n">
        <v>0.2</v>
      </c>
      <c r="F335">
        <f>A335*1024/(C335*0.000001)/1000000000*C327</f>
        <v/>
      </c>
      <c r="G335">
        <f>E335/F335</f>
        <v/>
      </c>
    </row>
    <row r="336">
      <c r="A336" t="n">
        <v>32</v>
      </c>
      <c r="B336" t="n">
        <v>166.3</v>
      </c>
      <c r="C336">
        <f>C328+A336*1024*C326</f>
        <v/>
      </c>
      <c r="D336">
        <f>B336/C336</f>
        <v/>
      </c>
      <c r="E336" t="n">
        <v>0.39</v>
      </c>
      <c r="F336">
        <f>A336*1024/(C336*0.000001)/1000000000*C327</f>
        <v/>
      </c>
      <c r="G336">
        <f>E336/F336</f>
        <v/>
      </c>
    </row>
    <row r="337">
      <c r="A337" t="n">
        <v>64</v>
      </c>
      <c r="B337" t="n">
        <v>291.79</v>
      </c>
      <c r="C337">
        <f>C328+A337*1024*C326</f>
        <v/>
      </c>
      <c r="D337">
        <f>B337/C337</f>
        <v/>
      </c>
      <c r="E337" t="n">
        <v>0.45</v>
      </c>
      <c r="F337">
        <f>A337*1024/(C337*0.000001)/1000000000*C327</f>
        <v/>
      </c>
      <c r="G337">
        <f>E337/F337</f>
        <v/>
      </c>
    </row>
    <row r="338">
      <c r="A338" t="n">
        <v>128</v>
      </c>
      <c r="B338" t="n">
        <v>247.61</v>
      </c>
      <c r="C338">
        <f>C328+A338*1024*C326</f>
        <v/>
      </c>
      <c r="D338">
        <f>B338/C338</f>
        <v/>
      </c>
      <c r="E338" t="n">
        <v>1.05</v>
      </c>
      <c r="F338">
        <f>A338*1024/(C338*0.000001)/1000000000*C327</f>
        <v/>
      </c>
      <c r="G338">
        <f>E338/F338</f>
        <v/>
      </c>
    </row>
    <row r="339">
      <c r="A339" t="n">
        <v>256</v>
      </c>
      <c r="B339" t="n">
        <v>273.35</v>
      </c>
      <c r="C339">
        <f>C328+A339*1024*C326</f>
        <v/>
      </c>
      <c r="D339">
        <f>B339/C339</f>
        <v/>
      </c>
      <c r="E339" t="n">
        <v>1.9</v>
      </c>
      <c r="F339">
        <f>A339*1024/(C339*0.000001)/1000000000*C327</f>
        <v/>
      </c>
      <c r="G339">
        <f>E339/F339</f>
        <v/>
      </c>
    </row>
    <row r="340">
      <c r="A340" t="n">
        <v>512</v>
      </c>
      <c r="B340" t="n">
        <v>289.87</v>
      </c>
      <c r="C340">
        <f>C328+A340*1024*C326</f>
        <v/>
      </c>
      <c r="D340">
        <f>B340/C340</f>
        <v/>
      </c>
      <c r="E340" t="n">
        <v>3.59</v>
      </c>
      <c r="F340">
        <f>A340*1024/(C340*0.000001)/1000000000*C327</f>
        <v/>
      </c>
      <c r="G340">
        <f>E340/F340</f>
        <v/>
      </c>
    </row>
    <row r="341">
      <c r="A341" t="n">
        <v>1024</v>
      </c>
      <c r="B341" t="n">
        <v>319.62</v>
      </c>
      <c r="C341">
        <f>C328+A341*1024*C326</f>
        <v/>
      </c>
      <c r="D341">
        <f>B341/C341</f>
        <v/>
      </c>
      <c r="E341" t="n">
        <v>6.51</v>
      </c>
      <c r="F341">
        <f>A341*1024/(C341*0.000001)/1000000000*C327</f>
        <v/>
      </c>
      <c r="G341">
        <f>E341/F341</f>
        <v/>
      </c>
    </row>
    <row r="342">
      <c r="A342" t="n">
        <v>2048</v>
      </c>
      <c r="B342" t="n">
        <v>399.89</v>
      </c>
      <c r="C342">
        <f>C328+A342*1024*C326</f>
        <v/>
      </c>
      <c r="D342">
        <f>B342/C342</f>
        <v/>
      </c>
      <c r="E342" t="n">
        <v>10.41</v>
      </c>
      <c r="F342">
        <f>A342*1024/(C342*0.000001)/1000000000*C327</f>
        <v/>
      </c>
      <c r="G342">
        <f>E342/F342</f>
        <v/>
      </c>
    </row>
    <row r="343">
      <c r="A343" t="n">
        <v>4096</v>
      </c>
      <c r="B343" t="n">
        <v>581.34</v>
      </c>
      <c r="C343">
        <f>C328+A343*1024*C326</f>
        <v/>
      </c>
      <c r="D343">
        <f>B343/C343</f>
        <v/>
      </c>
      <c r="E343" t="n">
        <v>14.32</v>
      </c>
      <c r="F343">
        <f>A343*1024/(C343*0.000001)/1000000000*C327</f>
        <v/>
      </c>
      <c r="G343">
        <f>E343/F343</f>
        <v/>
      </c>
    </row>
    <row r="344">
      <c r="A344" t="n">
        <v>8192</v>
      </c>
      <c r="B344" t="n">
        <v>944.13</v>
      </c>
      <c r="C344">
        <f>C328+A344*1024*C326</f>
        <v/>
      </c>
      <c r="D344">
        <f>B344/C344</f>
        <v/>
      </c>
      <c r="E344" t="n">
        <v>17.63</v>
      </c>
      <c r="F344">
        <f>A344*1024/(C344*0.000001)/1000000000*C327</f>
        <v/>
      </c>
      <c r="G344">
        <f>E344/F344</f>
        <v/>
      </c>
    </row>
    <row r="345">
      <c r="A345" t="n">
        <v>16384</v>
      </c>
      <c r="B345" t="n">
        <v>1673.82</v>
      </c>
      <c r="C345">
        <f>C328+A345*1024*C326</f>
        <v/>
      </c>
      <c r="D345">
        <f>B345/C345</f>
        <v/>
      </c>
      <c r="E345" t="n">
        <v>19.89</v>
      </c>
      <c r="F345">
        <f>A345*1024/(C345*0.000001)/1000000000*C327</f>
        <v/>
      </c>
      <c r="G345">
        <f>E345/F345</f>
        <v/>
      </c>
    </row>
    <row r="346">
      <c r="A346" t="n">
        <v>32768</v>
      </c>
      <c r="B346" t="n">
        <v>3110.01</v>
      </c>
      <c r="C346">
        <f>C328+A346*1024*C326</f>
        <v/>
      </c>
      <c r="D346">
        <f>B346/C346</f>
        <v/>
      </c>
      <c r="E346" t="n">
        <v>21.41</v>
      </c>
      <c r="F346">
        <f>A346*1024/(C346*0.000001)/1000000000*C327</f>
        <v/>
      </c>
      <c r="G346">
        <f>E346/F346</f>
        <v/>
      </c>
    </row>
    <row r="347">
      <c r="A347" t="n">
        <v>65536</v>
      </c>
      <c r="B347" t="n">
        <v>6023.67</v>
      </c>
      <c r="C347">
        <f>C328+A347*1024*C326</f>
        <v/>
      </c>
      <c r="D347">
        <f>B347/C347</f>
        <v/>
      </c>
      <c r="E347" t="n">
        <v>22.11</v>
      </c>
      <c r="F347">
        <f>A347*1024/(C347*0.000001)/1000000000*C327</f>
        <v/>
      </c>
      <c r="G347">
        <f>E347/F347</f>
        <v/>
      </c>
    </row>
    <row r="348">
      <c r="A348" t="n">
        <v>131072</v>
      </c>
      <c r="B348" t="n">
        <v>11867.4</v>
      </c>
      <c r="C348">
        <f>C328+A348*1024*C326</f>
        <v/>
      </c>
      <c r="D348">
        <f>B348/C348</f>
        <v/>
      </c>
      <c r="E348" t="n">
        <v>22.44</v>
      </c>
      <c r="F348">
        <f>A348*1024/(C348*0.000001)/1000000000*C327</f>
        <v/>
      </c>
      <c r="G348">
        <f>E348/F348</f>
        <v/>
      </c>
    </row>
    <row r="349">
      <c r="A349" t="n">
        <v>262144</v>
      </c>
      <c r="B349" t="n">
        <v>23337.7</v>
      </c>
      <c r="C349">
        <f>C328+A349*1024*C326</f>
        <v/>
      </c>
      <c r="D349">
        <f>B349/C349</f>
        <v/>
      </c>
      <c r="E349" t="n">
        <v>22.82</v>
      </c>
      <c r="F349">
        <f>A349*1024/(C349*0.000001)/1000000000*C327</f>
        <v/>
      </c>
      <c r="G349">
        <f>E349/F349</f>
        <v/>
      </c>
    </row>
    <row r="350">
      <c r="A350" t="n">
        <v>524288</v>
      </c>
      <c r="B350" t="n">
        <v>46196</v>
      </c>
      <c r="C350">
        <f>C328+A350*1024*C326</f>
        <v/>
      </c>
      <c r="D350">
        <f>B350/C350</f>
        <v/>
      </c>
      <c r="E350" t="n">
        <v>23.06</v>
      </c>
      <c r="F350">
        <f>A350*1024/(C350*0.000001)/1000000000*C327</f>
        <v/>
      </c>
      <c r="G350">
        <f>E350/F350</f>
        <v/>
      </c>
    </row>
    <row r="351">
      <c r="A351" t="n">
        <v>1048576</v>
      </c>
      <c r="B351" t="n">
        <v>92601.89999999999</v>
      </c>
      <c r="C351">
        <f>C328+A351*1024*C326</f>
        <v/>
      </c>
      <c r="D351">
        <f>B351/C351</f>
        <v/>
      </c>
      <c r="E351" t="n">
        <v>23.01</v>
      </c>
      <c r="F351">
        <f>A351*1024/(C351*0.000001)/1000000000*C327</f>
        <v/>
      </c>
      <c r="G351">
        <f>E351/F351</f>
        <v/>
      </c>
    </row>
    <row r="352"/>
    <row r="353">
      <c r="A353" t="inlineStr">
        <is>
          <t>Nodes: 16, Protocol: LL, Channels: 16</t>
        </is>
      </c>
    </row>
    <row r="354">
      <c r="A354" t="inlineStr">
        <is>
          <t>Parameter</t>
        </is>
      </c>
      <c r="B354" t="inlineStr">
        <is>
          <t>Formula</t>
        </is>
      </c>
      <c r="C354" t="inlineStr">
        <is>
          <t>Value</t>
        </is>
      </c>
    </row>
    <row r="355">
      <c r="A355" t="inlineStr">
        <is>
          <t>N</t>
        </is>
      </c>
      <c r="B355" t="inlineStr">
        <is>
          <t>nodes</t>
        </is>
      </c>
      <c r="C355" t="n">
        <v>16</v>
      </c>
    </row>
    <row r="356">
      <c r="A356" t="inlineStr">
        <is>
          <t>n</t>
        </is>
      </c>
      <c r="B356" t="inlineStr">
        <is>
          <t>GPUs/node</t>
        </is>
      </c>
      <c r="C356" t="n">
        <v>8</v>
      </c>
    </row>
    <row r="357">
      <c r="A357" t="inlineStr">
        <is>
          <t>n_total</t>
        </is>
      </c>
      <c r="B357" t="inlineStr">
        <is>
          <t>N*n</t>
        </is>
      </c>
      <c r="C357" t="n">
        <v>128</v>
      </c>
    </row>
    <row r="358">
      <c r="A358" t="inlineStr">
        <is>
          <t>nch_raw</t>
        </is>
      </c>
      <c r="B358" t="inlineStr">
        <is>
          <t>raw channels</t>
        </is>
      </c>
      <c r="C358" t="n">
        <v>16</v>
      </c>
    </row>
    <row r="359">
      <c r="A359" t="inlineStr">
        <is>
          <t>nch_eff</t>
        </is>
      </c>
      <c r="B359" t="inlineStr">
        <is>
          <t>min(nch_raw,8)</t>
        </is>
      </c>
      <c r="C359" t="n">
        <v>8</v>
      </c>
    </row>
    <row r="360">
      <c r="A360" t="inlineStr">
        <is>
          <t>a</t>
        </is>
      </c>
      <c r="B360" t="inlineStr">
        <is>
          <t>RTT (us)</t>
        </is>
      </c>
      <c r="C360" t="n">
        <v>24.92</v>
      </c>
    </row>
    <row r="361">
      <c r="A361" t="inlineStr">
        <is>
          <t>NIC_BW</t>
        </is>
      </c>
      <c r="B361" t="inlineStr">
        <is>
          <t>bytes/us</t>
        </is>
      </c>
      <c r="C361" t="n">
        <v>48750</v>
      </c>
    </row>
    <row r="362">
      <c r="A362" t="inlineStr">
        <is>
          <t>intra_node_latency</t>
        </is>
      </c>
      <c r="B362" t="inlineStr">
        <is>
          <t>us</t>
        </is>
      </c>
      <c r="C362" t="n">
        <v>8.4</v>
      </c>
    </row>
    <row r="363">
      <c r="A363" t="inlineStr">
        <is>
          <t>NIC_BW_REAL</t>
        </is>
      </c>
      <c r="B363" t="inlineStr">
        <is>
          <t>nch_eff*(NIC_BW/2)/3</t>
        </is>
      </c>
      <c r="C363">
        <f>C359*(C361/2)/3</f>
        <v/>
      </c>
    </row>
    <row r="364">
      <c r="A364" t="inlineStr">
        <is>
          <t>G</t>
        </is>
      </c>
      <c r="B364" t="inlineStr">
        <is>
          <t>1/NIC_BW_REAL</t>
        </is>
      </c>
      <c r="C364">
        <f>1/C363</f>
        <v/>
      </c>
    </row>
    <row r="365">
      <c r="A365" t="inlineStr">
        <is>
          <t>busbw_factor</t>
        </is>
      </c>
      <c r="B365" t="inlineStr">
        <is>
          <t>2*(n_total-1)/n_total</t>
        </is>
      </c>
      <c r="C365">
        <f>2*(C357-1)/C357</f>
        <v/>
      </c>
    </row>
    <row r="366">
      <c r="A366" t="inlineStr">
        <is>
          <t>fixed_overhead</t>
        </is>
      </c>
      <c r="B366" t="inlineStr">
        <is>
          <t>(2*LOG2(N)+1)*a/2+2*intra</t>
        </is>
      </c>
      <c r="C366">
        <f>(2*LOG(C355,2)+1)*C360/2+2*C362</f>
        <v/>
      </c>
    </row>
    <row r="367"/>
    <row r="368">
      <c r="A368" t="inlineStr">
        <is>
          <t>size_KB</t>
        </is>
      </c>
      <c r="B368" t="inlineStr">
        <is>
          <t>Actual Time (us)</t>
        </is>
      </c>
      <c r="C368" t="inlineStr">
        <is>
          <t>Roofline Time (us)</t>
        </is>
      </c>
      <c r="D368" t="inlineStr">
        <is>
          <t>Actual/Roofline</t>
        </is>
      </c>
      <c r="E368" t="inlineStr">
        <is>
          <t>Actual busBW (GB/s)</t>
        </is>
      </c>
      <c r="F368" t="inlineStr">
        <is>
          <t>Roofline busBW (GB/s)</t>
        </is>
      </c>
      <c r="G368" t="inlineStr">
        <is>
          <t>Meas/Roof busBW</t>
        </is>
      </c>
    </row>
    <row r="369">
      <c r="A369" t="n">
        <v>1</v>
      </c>
      <c r="B369" t="n">
        <v>228.05</v>
      </c>
      <c r="C369">
        <f>C366+A369*1024*C364</f>
        <v/>
      </c>
      <c r="D369">
        <f>B369/C369</f>
        <v/>
      </c>
      <c r="E369" t="n">
        <v>0.01</v>
      </c>
      <c r="F369">
        <f>A369*1024/(C369*0.000001)/1000000000*C365</f>
        <v/>
      </c>
      <c r="G369">
        <f>E369/F369</f>
        <v/>
      </c>
    </row>
    <row r="370">
      <c r="A370" t="n">
        <v>2</v>
      </c>
      <c r="B370" t="n">
        <v>165.79</v>
      </c>
      <c r="C370">
        <f>C366+A370*1024*C364</f>
        <v/>
      </c>
      <c r="D370">
        <f>B370/C370</f>
        <v/>
      </c>
      <c r="E370" t="n">
        <v>0.02</v>
      </c>
      <c r="F370">
        <f>A370*1024/(C370*0.000001)/1000000000*C365</f>
        <v/>
      </c>
      <c r="G370">
        <f>E370/F370</f>
        <v/>
      </c>
    </row>
    <row r="371">
      <c r="A371" t="n">
        <v>4</v>
      </c>
      <c r="B371" t="n">
        <v>160.3</v>
      </c>
      <c r="C371">
        <f>C366+A371*1024*C364</f>
        <v/>
      </c>
      <c r="D371">
        <f>B371/C371</f>
        <v/>
      </c>
      <c r="E371" t="n">
        <v>0.05</v>
      </c>
      <c r="F371">
        <f>A371*1024/(C371*0.000001)/1000000000*C365</f>
        <v/>
      </c>
      <c r="G371">
        <f>E371/F371</f>
        <v/>
      </c>
    </row>
    <row r="372">
      <c r="A372" t="n">
        <v>8</v>
      </c>
      <c r="B372" t="n">
        <v>180.93</v>
      </c>
      <c r="C372">
        <f>C366+A372*1024*C364</f>
        <v/>
      </c>
      <c r="D372">
        <f>B372/C372</f>
        <v/>
      </c>
      <c r="E372" t="n">
        <v>0.09</v>
      </c>
      <c r="F372">
        <f>A372*1024/(C372*0.000001)/1000000000*C365</f>
        <v/>
      </c>
      <c r="G372">
        <f>E372/F372</f>
        <v/>
      </c>
    </row>
    <row r="373">
      <c r="A373" t="n">
        <v>16</v>
      </c>
      <c r="B373" t="n">
        <v>163.69</v>
      </c>
      <c r="C373">
        <f>C366+A373*1024*C364</f>
        <v/>
      </c>
      <c r="D373">
        <f>B373/C373</f>
        <v/>
      </c>
      <c r="E373" t="n">
        <v>0.2</v>
      </c>
      <c r="F373">
        <f>A373*1024/(C373*0.000001)/1000000000*C365</f>
        <v/>
      </c>
      <c r="G373">
        <f>E373/F373</f>
        <v/>
      </c>
    </row>
    <row r="374">
      <c r="A374" t="n">
        <v>32</v>
      </c>
      <c r="B374" t="n">
        <v>167.85</v>
      </c>
      <c r="C374">
        <f>C366+A374*1024*C364</f>
        <v/>
      </c>
      <c r="D374">
        <f>B374/C374</f>
        <v/>
      </c>
      <c r="E374" t="n">
        <v>0.39</v>
      </c>
      <c r="F374">
        <f>A374*1024/(C374*0.000001)/1000000000*C365</f>
        <v/>
      </c>
      <c r="G374">
        <f>E374/F374</f>
        <v/>
      </c>
    </row>
    <row r="375">
      <c r="A375" t="n">
        <v>64</v>
      </c>
      <c r="B375" t="n">
        <v>166.79</v>
      </c>
      <c r="C375">
        <f>C366+A375*1024*C364</f>
        <v/>
      </c>
      <c r="D375">
        <f>B375/C375</f>
        <v/>
      </c>
      <c r="E375" t="n">
        <v>0.78</v>
      </c>
      <c r="F375">
        <f>A375*1024/(C375*0.000001)/1000000000*C365</f>
        <v/>
      </c>
      <c r="G375">
        <f>E375/F375</f>
        <v/>
      </c>
    </row>
    <row r="376">
      <c r="A376" t="n">
        <v>128</v>
      </c>
      <c r="B376" t="n">
        <v>182.73</v>
      </c>
      <c r="C376">
        <f>C366+A376*1024*C364</f>
        <v/>
      </c>
      <c r="D376">
        <f>B376/C376</f>
        <v/>
      </c>
      <c r="E376" t="n">
        <v>1.42</v>
      </c>
      <c r="F376">
        <f>A376*1024/(C376*0.000001)/1000000000*C365</f>
        <v/>
      </c>
      <c r="G376">
        <f>E376/F376</f>
        <v/>
      </c>
    </row>
    <row r="377">
      <c r="A377" t="n">
        <v>256</v>
      </c>
      <c r="B377" t="n">
        <v>214.62</v>
      </c>
      <c r="C377">
        <f>C366+A377*1024*C364</f>
        <v/>
      </c>
      <c r="D377">
        <f>B377/C377</f>
        <v/>
      </c>
      <c r="E377" t="n">
        <v>2.42</v>
      </c>
      <c r="F377">
        <f>A377*1024/(C377*0.000001)/1000000000*C365</f>
        <v/>
      </c>
      <c r="G377">
        <f>E377/F377</f>
        <v/>
      </c>
    </row>
    <row r="378">
      <c r="A378" t="n">
        <v>512</v>
      </c>
      <c r="B378" t="n">
        <v>280.67</v>
      </c>
      <c r="C378">
        <f>C366+A378*1024*C364</f>
        <v/>
      </c>
      <c r="D378">
        <f>B378/C378</f>
        <v/>
      </c>
      <c r="E378" t="n">
        <v>3.71</v>
      </c>
      <c r="F378">
        <f>A378*1024/(C378*0.000001)/1000000000*C365</f>
        <v/>
      </c>
      <c r="G378">
        <f>E378/F378</f>
        <v/>
      </c>
    </row>
    <row r="379">
      <c r="A379" t="n">
        <v>1024</v>
      </c>
      <c r="B379" t="n">
        <v>294.95</v>
      </c>
      <c r="C379">
        <f>C366+A379*1024*C364</f>
        <v/>
      </c>
      <c r="D379">
        <f>B379/C379</f>
        <v/>
      </c>
      <c r="E379" t="n">
        <v>7.05</v>
      </c>
      <c r="F379">
        <f>A379*1024/(C379*0.000001)/1000000000*C365</f>
        <v/>
      </c>
      <c r="G379">
        <f>E379/F379</f>
        <v/>
      </c>
    </row>
    <row r="380">
      <c r="A380" t="n">
        <v>2048</v>
      </c>
      <c r="B380" t="n">
        <v>349.24</v>
      </c>
      <c r="C380">
        <f>C366+A380*1024*C364</f>
        <v/>
      </c>
      <c r="D380">
        <f>B380/C380</f>
        <v/>
      </c>
      <c r="E380" t="n">
        <v>11.92</v>
      </c>
      <c r="F380">
        <f>A380*1024/(C380*0.000001)/1000000000*C365</f>
        <v/>
      </c>
      <c r="G380">
        <f>E380/F380</f>
        <v/>
      </c>
    </row>
    <row r="381">
      <c r="A381" t="n">
        <v>4096</v>
      </c>
      <c r="B381" t="n">
        <v>452.88</v>
      </c>
      <c r="C381">
        <f>C366+A381*1024*C364</f>
        <v/>
      </c>
      <c r="D381">
        <f>B381/C381</f>
        <v/>
      </c>
      <c r="E381" t="n">
        <v>18.38</v>
      </c>
      <c r="F381">
        <f>A381*1024/(C381*0.000001)/1000000000*C365</f>
        <v/>
      </c>
      <c r="G381">
        <f>E381/F381</f>
        <v/>
      </c>
    </row>
    <row r="382">
      <c r="A382" t="n">
        <v>8192</v>
      </c>
      <c r="B382" t="n">
        <v>642.78</v>
      </c>
      <c r="C382">
        <f>C366+A382*1024*C364</f>
        <v/>
      </c>
      <c r="D382">
        <f>B382/C382</f>
        <v/>
      </c>
      <c r="E382" t="n">
        <v>25.9</v>
      </c>
      <c r="F382">
        <f>A382*1024/(C382*0.000001)/1000000000*C365</f>
        <v/>
      </c>
      <c r="G382">
        <f>E382/F382</f>
        <v/>
      </c>
    </row>
    <row r="383">
      <c r="A383" t="n">
        <v>16384</v>
      </c>
      <c r="B383" t="n">
        <v>1111.86</v>
      </c>
      <c r="C383">
        <f>C366+A383*1024*C364</f>
        <v/>
      </c>
      <c r="D383">
        <f>B383/C383</f>
        <v/>
      </c>
      <c r="E383" t="n">
        <v>29.94</v>
      </c>
      <c r="F383">
        <f>A383*1024/(C383*0.000001)/1000000000*C365</f>
        <v/>
      </c>
      <c r="G383">
        <f>E383/F383</f>
        <v/>
      </c>
    </row>
    <row r="384">
      <c r="A384" t="n">
        <v>32768</v>
      </c>
      <c r="B384" t="n">
        <v>2050.18</v>
      </c>
      <c r="C384">
        <f>C366+A384*1024*C364</f>
        <v/>
      </c>
      <c r="D384">
        <f>B384/C384</f>
        <v/>
      </c>
      <c r="E384" t="n">
        <v>32.48</v>
      </c>
      <c r="F384">
        <f>A384*1024/(C384*0.000001)/1000000000*C365</f>
        <v/>
      </c>
      <c r="G384">
        <f>E384/F384</f>
        <v/>
      </c>
    </row>
    <row r="385">
      <c r="A385" t="n">
        <v>65536</v>
      </c>
      <c r="B385" t="n">
        <v>3878.67</v>
      </c>
      <c r="C385">
        <f>C366+A385*1024*C364</f>
        <v/>
      </c>
      <c r="D385">
        <f>B385/C385</f>
        <v/>
      </c>
      <c r="E385" t="n">
        <v>34.33</v>
      </c>
      <c r="F385">
        <f>A385*1024/(C385*0.000001)/1000000000*C365</f>
        <v/>
      </c>
      <c r="G385">
        <f>E385/F385</f>
        <v/>
      </c>
    </row>
    <row r="386">
      <c r="A386" t="n">
        <v>131072</v>
      </c>
      <c r="B386" t="n">
        <v>7610.33</v>
      </c>
      <c r="C386">
        <f>C366+A386*1024*C364</f>
        <v/>
      </c>
      <c r="D386">
        <f>B386/C386</f>
        <v/>
      </c>
      <c r="E386" t="n">
        <v>35</v>
      </c>
      <c r="F386">
        <f>A386*1024/(C386*0.000001)/1000000000*C365</f>
        <v/>
      </c>
      <c r="G386">
        <f>E386/F386</f>
        <v/>
      </c>
    </row>
    <row r="387">
      <c r="A387" t="n">
        <v>262144</v>
      </c>
      <c r="B387" t="n">
        <v>15015.7</v>
      </c>
      <c r="C387">
        <f>C366+A387*1024*C364</f>
        <v/>
      </c>
      <c r="D387">
        <f>B387/C387</f>
        <v/>
      </c>
      <c r="E387" t="n">
        <v>35.47</v>
      </c>
      <c r="F387">
        <f>A387*1024/(C387*0.000001)/1000000000*C365</f>
        <v/>
      </c>
      <c r="G387">
        <f>E387/F387</f>
        <v/>
      </c>
    </row>
    <row r="388">
      <c r="A388" t="n">
        <v>524288</v>
      </c>
      <c r="B388" t="n">
        <v>29665.3</v>
      </c>
      <c r="C388">
        <f>C366+A388*1024*C364</f>
        <v/>
      </c>
      <c r="D388">
        <f>B388/C388</f>
        <v/>
      </c>
      <c r="E388" t="n">
        <v>35.91</v>
      </c>
      <c r="F388">
        <f>A388*1024/(C388*0.000001)/1000000000*C365</f>
        <v/>
      </c>
      <c r="G388">
        <f>E388/F388</f>
        <v/>
      </c>
    </row>
    <row r="389">
      <c r="A389" t="n">
        <v>1048576</v>
      </c>
      <c r="B389" t="n">
        <v>59270</v>
      </c>
      <c r="C389">
        <f>C366+A389*1024*C364</f>
        <v/>
      </c>
      <c r="D389">
        <f>B389/C389</f>
        <v/>
      </c>
      <c r="E389" t="n">
        <v>35.95</v>
      </c>
      <c r="F389">
        <f>A389*1024/(C389*0.000001)/1000000000*C365</f>
        <v/>
      </c>
      <c r="G389">
        <f>E389/F389</f>
        <v/>
      </c>
    </row>
    <row r="390"/>
    <row r="391">
      <c r="A391" t="inlineStr">
        <is>
          <t>Nodes: 16, Protocol: LL128, Channels: 1</t>
        </is>
      </c>
    </row>
    <row r="392">
      <c r="A392" t="inlineStr">
        <is>
          <t>Parameter</t>
        </is>
      </c>
      <c r="B392" t="inlineStr">
        <is>
          <t>Formula</t>
        </is>
      </c>
      <c r="C392" t="inlineStr">
        <is>
          <t>Value</t>
        </is>
      </c>
    </row>
    <row r="393">
      <c r="A393" t="inlineStr">
        <is>
          <t>N</t>
        </is>
      </c>
      <c r="B393" t="inlineStr">
        <is>
          <t>nodes</t>
        </is>
      </c>
      <c r="C393" t="n">
        <v>16</v>
      </c>
    </row>
    <row r="394">
      <c r="A394" t="inlineStr">
        <is>
          <t>n</t>
        </is>
      </c>
      <c r="B394" t="inlineStr">
        <is>
          <t>GPUs/node</t>
        </is>
      </c>
      <c r="C394" t="n">
        <v>8</v>
      </c>
    </row>
    <row r="395">
      <c r="A395" t="inlineStr">
        <is>
          <t>n_total</t>
        </is>
      </c>
      <c r="B395" t="inlineStr">
        <is>
          <t>N*n</t>
        </is>
      </c>
      <c r="C395" t="n">
        <v>128</v>
      </c>
    </row>
    <row r="396">
      <c r="A396" t="inlineStr">
        <is>
          <t>nch_raw</t>
        </is>
      </c>
      <c r="B396" t="inlineStr">
        <is>
          <t>raw channels</t>
        </is>
      </c>
      <c r="C396" t="n">
        <v>1</v>
      </c>
    </row>
    <row r="397">
      <c r="A397" t="inlineStr">
        <is>
          <t>nch_eff</t>
        </is>
      </c>
      <c r="B397" t="inlineStr">
        <is>
          <t>min(nch_raw,8)</t>
        </is>
      </c>
      <c r="C397" t="n">
        <v>1</v>
      </c>
    </row>
    <row r="398">
      <c r="A398" t="inlineStr">
        <is>
          <t>a</t>
        </is>
      </c>
      <c r="B398" t="inlineStr">
        <is>
          <t>RTT (us)</t>
        </is>
      </c>
      <c r="C398" t="n">
        <v>24.92</v>
      </c>
    </row>
    <row r="399">
      <c r="A399" t="inlineStr">
        <is>
          <t>NIC_BW</t>
        </is>
      </c>
      <c r="B399" t="inlineStr">
        <is>
          <t>bytes/us</t>
        </is>
      </c>
      <c r="C399" t="n">
        <v>48750</v>
      </c>
    </row>
    <row r="400">
      <c r="A400" t="inlineStr">
        <is>
          <t>intra_node_latency</t>
        </is>
      </c>
      <c r="B400" t="inlineStr">
        <is>
          <t>us</t>
        </is>
      </c>
      <c r="C400" t="n">
        <v>8.4</v>
      </c>
    </row>
    <row r="401">
      <c r="A401" t="inlineStr">
        <is>
          <t>NIC_BW_REAL</t>
        </is>
      </c>
      <c r="B401" t="inlineStr">
        <is>
          <t>nch_eff*(NIC_BW*15/16)/3</t>
        </is>
      </c>
      <c r="C401">
        <f>C397*(C399*15/16)/3</f>
        <v/>
      </c>
    </row>
    <row r="402">
      <c r="A402" t="inlineStr">
        <is>
          <t>G</t>
        </is>
      </c>
      <c r="B402" t="inlineStr">
        <is>
          <t>1/NIC_BW_REAL</t>
        </is>
      </c>
      <c r="C402">
        <f>1/C401</f>
        <v/>
      </c>
    </row>
    <row r="403">
      <c r="A403" t="inlineStr">
        <is>
          <t>busbw_factor</t>
        </is>
      </c>
      <c r="B403" t="inlineStr">
        <is>
          <t>2*(n_total-1)/n_total</t>
        </is>
      </c>
      <c r="C403">
        <f>2*(C395-1)/C395</f>
        <v/>
      </c>
    </row>
    <row r="404">
      <c r="A404" t="inlineStr">
        <is>
          <t>fixed_overhead</t>
        </is>
      </c>
      <c r="B404" t="inlineStr">
        <is>
          <t>(2*LOG2(N)+1)*a/2+2*intra</t>
        </is>
      </c>
      <c r="C404">
        <f>(2*LOG(C393,2)+1)*C398/2+2*C400</f>
        <v/>
      </c>
    </row>
    <row r="405"/>
    <row r="406">
      <c r="A406" t="inlineStr">
        <is>
          <t>size_KB</t>
        </is>
      </c>
      <c r="B406" t="inlineStr">
        <is>
          <t>Actual Time (us)</t>
        </is>
      </c>
      <c r="C406" t="inlineStr">
        <is>
          <t>Roofline Time (us)</t>
        </is>
      </c>
      <c r="D406" t="inlineStr">
        <is>
          <t>Actual/Roofline</t>
        </is>
      </c>
      <c r="E406" t="inlineStr">
        <is>
          <t>Actual busBW (GB/s)</t>
        </is>
      </c>
      <c r="F406" t="inlineStr">
        <is>
          <t>Roofline busBW (GB/s)</t>
        </is>
      </c>
      <c r="G406" t="inlineStr">
        <is>
          <t>Meas/Roof busBW</t>
        </is>
      </c>
    </row>
    <row r="407">
      <c r="A407" t="n">
        <v>1</v>
      </c>
      <c r="B407" t="n">
        <v>163.07</v>
      </c>
      <c r="C407">
        <f>C404+A407*1024*C402</f>
        <v/>
      </c>
      <c r="D407">
        <f>B407/C407</f>
        <v/>
      </c>
      <c r="E407" t="n">
        <v>0.01</v>
      </c>
      <c r="F407">
        <f>A407*1024/(C407*0.000001)/1000000000*C403</f>
        <v/>
      </c>
      <c r="G407">
        <f>E407/F407</f>
        <v/>
      </c>
    </row>
    <row r="408">
      <c r="A408" t="n">
        <v>2</v>
      </c>
      <c r="B408" t="n">
        <v>174.02</v>
      </c>
      <c r="C408">
        <f>C404+A408*1024*C402</f>
        <v/>
      </c>
      <c r="D408">
        <f>B408/C408</f>
        <v/>
      </c>
      <c r="E408" t="n">
        <v>0.02</v>
      </c>
      <c r="F408">
        <f>A408*1024/(C408*0.000001)/1000000000*C403</f>
        <v/>
      </c>
      <c r="G408">
        <f>E408/F408</f>
        <v/>
      </c>
    </row>
    <row r="409">
      <c r="A409" t="n">
        <v>4</v>
      </c>
      <c r="B409" t="n">
        <v>173.56</v>
      </c>
      <c r="C409">
        <f>C404+A409*1024*C402</f>
        <v/>
      </c>
      <c r="D409">
        <f>B409/C409</f>
        <v/>
      </c>
      <c r="E409" t="n">
        <v>0.05</v>
      </c>
      <c r="F409">
        <f>A409*1024/(C409*0.000001)/1000000000*C403</f>
        <v/>
      </c>
      <c r="G409">
        <f>E409/F409</f>
        <v/>
      </c>
    </row>
    <row r="410">
      <c r="A410" t="n">
        <v>8</v>
      </c>
      <c r="B410" t="n">
        <v>185.78</v>
      </c>
      <c r="C410">
        <f>C404+A410*1024*C402</f>
        <v/>
      </c>
      <c r="D410">
        <f>B410/C410</f>
        <v/>
      </c>
      <c r="E410" t="n">
        <v>0.09</v>
      </c>
      <c r="F410">
        <f>A410*1024/(C410*0.000001)/1000000000*C403</f>
        <v/>
      </c>
      <c r="G410">
        <f>E410/F410</f>
        <v/>
      </c>
    </row>
    <row r="411">
      <c r="A411" t="n">
        <v>16</v>
      </c>
      <c r="B411" t="n">
        <v>195.41</v>
      </c>
      <c r="C411">
        <f>C404+A411*1024*C402</f>
        <v/>
      </c>
      <c r="D411">
        <f>B411/C411</f>
        <v/>
      </c>
      <c r="E411" t="n">
        <v>0.17</v>
      </c>
      <c r="F411">
        <f>A411*1024/(C411*0.000001)/1000000000*C403</f>
        <v/>
      </c>
      <c r="G411">
        <f>E411/F411</f>
        <v/>
      </c>
    </row>
    <row r="412">
      <c r="A412" t="n">
        <v>32</v>
      </c>
      <c r="B412" t="n">
        <v>200.37</v>
      </c>
      <c r="C412">
        <f>C404+A412*1024*C402</f>
        <v/>
      </c>
      <c r="D412">
        <f>B412/C412</f>
        <v/>
      </c>
      <c r="E412" t="n">
        <v>0.32</v>
      </c>
      <c r="F412">
        <f>A412*1024/(C412*0.000001)/1000000000*C403</f>
        <v/>
      </c>
      <c r="G412">
        <f>E412/F412</f>
        <v/>
      </c>
    </row>
    <row r="413">
      <c r="A413" t="n">
        <v>64</v>
      </c>
      <c r="B413" t="n">
        <v>211.21</v>
      </c>
      <c r="C413">
        <f>C404+A413*1024*C402</f>
        <v/>
      </c>
      <c r="D413">
        <f>B413/C413</f>
        <v/>
      </c>
      <c r="E413" t="n">
        <v>0.62</v>
      </c>
      <c r="F413">
        <f>A413*1024/(C413*0.000001)/1000000000*C403</f>
        <v/>
      </c>
      <c r="G413">
        <f>E413/F413</f>
        <v/>
      </c>
    </row>
    <row r="414">
      <c r="A414" t="n">
        <v>128</v>
      </c>
      <c r="B414" t="n">
        <v>230.64</v>
      </c>
      <c r="C414">
        <f>C404+A414*1024*C402</f>
        <v/>
      </c>
      <c r="D414">
        <f>B414/C414</f>
        <v/>
      </c>
      <c r="E414" t="n">
        <v>1.13</v>
      </c>
      <c r="F414">
        <f>A414*1024/(C414*0.000001)/1000000000*C403</f>
        <v/>
      </c>
      <c r="G414">
        <f>E414/F414</f>
        <v/>
      </c>
    </row>
    <row r="415">
      <c r="A415" t="n">
        <v>256</v>
      </c>
      <c r="B415" t="n">
        <v>278.74</v>
      </c>
      <c r="C415">
        <f>C404+A415*1024*C402</f>
        <v/>
      </c>
      <c r="D415">
        <f>B415/C415</f>
        <v/>
      </c>
      <c r="E415" t="n">
        <v>1.87</v>
      </c>
      <c r="F415">
        <f>A415*1024/(C415*0.000001)/1000000000*C403</f>
        <v/>
      </c>
      <c r="G415">
        <f>E415/F415</f>
        <v/>
      </c>
    </row>
    <row r="416">
      <c r="A416" t="n">
        <v>512</v>
      </c>
      <c r="B416" t="n">
        <v>331.88</v>
      </c>
      <c r="C416">
        <f>C404+A416*1024*C402</f>
        <v/>
      </c>
      <c r="D416">
        <f>B416/C416</f>
        <v/>
      </c>
      <c r="E416" t="n">
        <v>3.13</v>
      </c>
      <c r="F416">
        <f>A416*1024/(C416*0.000001)/1000000000*C403</f>
        <v/>
      </c>
      <c r="G416">
        <f>E416/F416</f>
        <v/>
      </c>
    </row>
    <row r="417">
      <c r="A417" t="n">
        <v>1024</v>
      </c>
      <c r="B417" t="n">
        <v>437.54</v>
      </c>
      <c r="C417">
        <f>C404+A417*1024*C402</f>
        <v/>
      </c>
      <c r="D417">
        <f>B417/C417</f>
        <v/>
      </c>
      <c r="E417" t="n">
        <v>4.76</v>
      </c>
      <c r="F417">
        <f>A417*1024/(C417*0.000001)/1000000000*C403</f>
        <v/>
      </c>
      <c r="G417">
        <f>E417/F417</f>
        <v/>
      </c>
    </row>
    <row r="418">
      <c r="A418" t="n">
        <v>2048</v>
      </c>
      <c r="B418" t="n">
        <v>638.03</v>
      </c>
      <c r="C418">
        <f>C404+A418*1024*C402</f>
        <v/>
      </c>
      <c r="D418">
        <f>B418/C418</f>
        <v/>
      </c>
      <c r="E418" t="n">
        <v>6.52</v>
      </c>
      <c r="F418">
        <f>A418*1024/(C418*0.000001)/1000000000*C403</f>
        <v/>
      </c>
      <c r="G418">
        <f>E418/F418</f>
        <v/>
      </c>
    </row>
    <row r="419">
      <c r="A419" t="n">
        <v>4096</v>
      </c>
      <c r="B419" t="n">
        <v>1059.68</v>
      </c>
      <c r="C419">
        <f>C404+A419*1024*C402</f>
        <v/>
      </c>
      <c r="D419">
        <f>B419/C419</f>
        <v/>
      </c>
      <c r="E419" t="n">
        <v>7.85</v>
      </c>
      <c r="F419">
        <f>A419*1024/(C419*0.000001)/1000000000*C403</f>
        <v/>
      </c>
      <c r="G419">
        <f>E419/F419</f>
        <v/>
      </c>
    </row>
    <row r="420">
      <c r="A420" t="n">
        <v>8192</v>
      </c>
      <c r="B420" t="n">
        <v>1697.59</v>
      </c>
      <c r="C420">
        <f>C404+A420*1024*C402</f>
        <v/>
      </c>
      <c r="D420">
        <f>B420/C420</f>
        <v/>
      </c>
      <c r="E420" t="n">
        <v>9.81</v>
      </c>
      <c r="F420">
        <f>A420*1024/(C420*0.000001)/1000000000*C403</f>
        <v/>
      </c>
      <c r="G420">
        <f>E420/F420</f>
        <v/>
      </c>
    </row>
    <row r="421">
      <c r="A421" t="n">
        <v>16384</v>
      </c>
      <c r="B421" t="n">
        <v>3052.76</v>
      </c>
      <c r="C421">
        <f>C404+A421*1024*C402</f>
        <v/>
      </c>
      <c r="D421">
        <f>B421/C421</f>
        <v/>
      </c>
      <c r="E421" t="n">
        <v>10.91</v>
      </c>
      <c r="F421">
        <f>A421*1024/(C421*0.000001)/1000000000*C403</f>
        <v/>
      </c>
      <c r="G421">
        <f>E421/F421</f>
        <v/>
      </c>
    </row>
    <row r="422">
      <c r="A422" t="n">
        <v>32768</v>
      </c>
      <c r="B422" t="n">
        <v>5873.32</v>
      </c>
      <c r="C422">
        <f>C404+A422*1024*C402</f>
        <v/>
      </c>
      <c r="D422">
        <f>B422/C422</f>
        <v/>
      </c>
      <c r="E422" t="n">
        <v>11.34</v>
      </c>
      <c r="F422">
        <f>A422*1024/(C422*0.000001)/1000000000*C403</f>
        <v/>
      </c>
      <c r="G422">
        <f>E422/F422</f>
        <v/>
      </c>
    </row>
    <row r="423">
      <c r="A423" t="n">
        <v>65536</v>
      </c>
      <c r="B423" t="n">
        <v>11174.7</v>
      </c>
      <c r="C423">
        <f>C404+A423*1024*C402</f>
        <v/>
      </c>
      <c r="D423">
        <f>B423/C423</f>
        <v/>
      </c>
      <c r="E423" t="n">
        <v>11.92</v>
      </c>
      <c r="F423">
        <f>A423*1024/(C423*0.000001)/1000000000*C403</f>
        <v/>
      </c>
      <c r="G423">
        <f>E423/F423</f>
        <v/>
      </c>
    </row>
    <row r="424">
      <c r="A424" t="n">
        <v>131072</v>
      </c>
      <c r="B424" t="n">
        <v>21643.9</v>
      </c>
      <c r="C424">
        <f>C404+A424*1024*C402</f>
        <v/>
      </c>
      <c r="D424">
        <f>B424/C424</f>
        <v/>
      </c>
      <c r="E424" t="n">
        <v>12.31</v>
      </c>
      <c r="F424">
        <f>A424*1024/(C424*0.000001)/1000000000*C403</f>
        <v/>
      </c>
      <c r="G424">
        <f>E424/F424</f>
        <v/>
      </c>
    </row>
    <row r="425">
      <c r="A425" t="n">
        <v>262144</v>
      </c>
      <c r="B425" t="n">
        <v>42679.9</v>
      </c>
      <c r="C425">
        <f>C404+A425*1024*C402</f>
        <v/>
      </c>
      <c r="D425">
        <f>B425/C425</f>
        <v/>
      </c>
      <c r="E425" t="n">
        <v>12.48</v>
      </c>
      <c r="F425">
        <f>A425*1024/(C425*0.000001)/1000000000*C403</f>
        <v/>
      </c>
      <c r="G425">
        <f>E425/F425</f>
        <v/>
      </c>
    </row>
    <row r="426">
      <c r="A426" t="n">
        <v>524288</v>
      </c>
      <c r="B426" t="n">
        <v>84295.39999999999</v>
      </c>
      <c r="C426">
        <f>C404+A426*1024*C402</f>
        <v/>
      </c>
      <c r="D426">
        <f>B426/C426</f>
        <v/>
      </c>
      <c r="E426" t="n">
        <v>12.64</v>
      </c>
      <c r="F426">
        <f>A426*1024/(C426*0.000001)/1000000000*C403</f>
        <v/>
      </c>
      <c r="G426">
        <f>E426/F426</f>
        <v/>
      </c>
    </row>
    <row r="427">
      <c r="A427" t="n">
        <v>1048576</v>
      </c>
      <c r="B427" t="n">
        <v>167791</v>
      </c>
      <c r="C427">
        <f>C404+A427*1024*C402</f>
        <v/>
      </c>
      <c r="D427">
        <f>B427/C427</f>
        <v/>
      </c>
      <c r="E427" t="n">
        <v>12.7</v>
      </c>
      <c r="F427">
        <f>A427*1024/(C427*0.000001)/1000000000*C403</f>
        <v/>
      </c>
      <c r="G427">
        <f>E427/F427</f>
        <v/>
      </c>
    </row>
    <row r="428"/>
    <row r="429">
      <c r="A429" t="inlineStr">
        <is>
          <t>Nodes: 16, Protocol: LL128, Channels: 2</t>
        </is>
      </c>
    </row>
    <row r="430">
      <c r="A430" t="inlineStr">
        <is>
          <t>Parameter</t>
        </is>
      </c>
      <c r="B430" t="inlineStr">
        <is>
          <t>Formula</t>
        </is>
      </c>
      <c r="C430" t="inlineStr">
        <is>
          <t>Value</t>
        </is>
      </c>
    </row>
    <row r="431">
      <c r="A431" t="inlineStr">
        <is>
          <t>N</t>
        </is>
      </c>
      <c r="B431" t="inlineStr">
        <is>
          <t>nodes</t>
        </is>
      </c>
      <c r="C431" t="n">
        <v>16</v>
      </c>
    </row>
    <row r="432">
      <c r="A432" t="inlineStr">
        <is>
          <t>n</t>
        </is>
      </c>
      <c r="B432" t="inlineStr">
        <is>
          <t>GPUs/node</t>
        </is>
      </c>
      <c r="C432" t="n">
        <v>8</v>
      </c>
    </row>
    <row r="433">
      <c r="A433" t="inlineStr">
        <is>
          <t>n_total</t>
        </is>
      </c>
      <c r="B433" t="inlineStr">
        <is>
          <t>N*n</t>
        </is>
      </c>
      <c r="C433" t="n">
        <v>128</v>
      </c>
    </row>
    <row r="434">
      <c r="A434" t="inlineStr">
        <is>
          <t>nch_raw</t>
        </is>
      </c>
      <c r="B434" t="inlineStr">
        <is>
          <t>raw channels</t>
        </is>
      </c>
      <c r="C434" t="n">
        <v>2</v>
      </c>
    </row>
    <row r="435">
      <c r="A435" t="inlineStr">
        <is>
          <t>nch_eff</t>
        </is>
      </c>
      <c r="B435" t="inlineStr">
        <is>
          <t>min(nch_raw,8)</t>
        </is>
      </c>
      <c r="C435" t="n">
        <v>2</v>
      </c>
    </row>
    <row r="436">
      <c r="A436" t="inlineStr">
        <is>
          <t>a</t>
        </is>
      </c>
      <c r="B436" t="inlineStr">
        <is>
          <t>RTT (us)</t>
        </is>
      </c>
      <c r="C436" t="n">
        <v>24.92</v>
      </c>
    </row>
    <row r="437">
      <c r="A437" t="inlineStr">
        <is>
          <t>NIC_BW</t>
        </is>
      </c>
      <c r="B437" t="inlineStr">
        <is>
          <t>bytes/us</t>
        </is>
      </c>
      <c r="C437" t="n">
        <v>48750</v>
      </c>
    </row>
    <row r="438">
      <c r="A438" t="inlineStr">
        <is>
          <t>intra_node_latency</t>
        </is>
      </c>
      <c r="B438" t="inlineStr">
        <is>
          <t>us</t>
        </is>
      </c>
      <c r="C438" t="n">
        <v>8.4</v>
      </c>
    </row>
    <row r="439">
      <c r="A439" t="inlineStr">
        <is>
          <t>NIC_BW_REAL</t>
        </is>
      </c>
      <c r="B439" t="inlineStr">
        <is>
          <t>nch_eff*(NIC_BW*15/16)/3</t>
        </is>
      </c>
      <c r="C439">
        <f>C435*(C437*15/16)/3</f>
        <v/>
      </c>
    </row>
    <row r="440">
      <c r="A440" t="inlineStr">
        <is>
          <t>G</t>
        </is>
      </c>
      <c r="B440" t="inlineStr">
        <is>
          <t>1/NIC_BW_REAL</t>
        </is>
      </c>
      <c r="C440">
        <f>1/C439</f>
        <v/>
      </c>
    </row>
    <row r="441">
      <c r="A441" t="inlineStr">
        <is>
          <t>busbw_factor</t>
        </is>
      </c>
      <c r="B441" t="inlineStr">
        <is>
          <t>2*(n_total-1)/n_total</t>
        </is>
      </c>
      <c r="C441">
        <f>2*(C433-1)/C433</f>
        <v/>
      </c>
    </row>
    <row r="442">
      <c r="A442" t="inlineStr">
        <is>
          <t>fixed_overhead</t>
        </is>
      </c>
      <c r="B442" t="inlineStr">
        <is>
          <t>(2*LOG2(N)+1)*a/2+2*intra</t>
        </is>
      </c>
      <c r="C442">
        <f>(2*LOG(C431,2)+1)*C436/2+2*C438</f>
        <v/>
      </c>
    </row>
    <row r="443"/>
    <row r="444">
      <c r="A444" t="inlineStr">
        <is>
          <t>size_KB</t>
        </is>
      </c>
      <c r="B444" t="inlineStr">
        <is>
          <t>Actual Time (us)</t>
        </is>
      </c>
      <c r="C444" t="inlineStr">
        <is>
          <t>Roofline Time (us)</t>
        </is>
      </c>
      <c r="D444" t="inlineStr">
        <is>
          <t>Actual/Roofline</t>
        </is>
      </c>
      <c r="E444" t="inlineStr">
        <is>
          <t>Actual busBW (GB/s)</t>
        </is>
      </c>
      <c r="F444" t="inlineStr">
        <is>
          <t>Roofline busBW (GB/s)</t>
        </is>
      </c>
      <c r="G444" t="inlineStr">
        <is>
          <t>Meas/Roof busBW</t>
        </is>
      </c>
    </row>
    <row r="445">
      <c r="A445" t="n">
        <v>1</v>
      </c>
      <c r="B445" t="n">
        <v>178.82</v>
      </c>
      <c r="C445">
        <f>C442+A445*1024*C440</f>
        <v/>
      </c>
      <c r="D445">
        <f>B445/C445</f>
        <v/>
      </c>
      <c r="E445" t="n">
        <v>0.01</v>
      </c>
      <c r="F445">
        <f>A445*1024/(C445*0.000001)/1000000000*C441</f>
        <v/>
      </c>
      <c r="G445">
        <f>E445/F445</f>
        <v/>
      </c>
    </row>
    <row r="446">
      <c r="A446" t="n">
        <v>2</v>
      </c>
      <c r="B446" t="n">
        <v>185.21</v>
      </c>
      <c r="C446">
        <f>C442+A446*1024*C440</f>
        <v/>
      </c>
      <c r="D446">
        <f>B446/C446</f>
        <v/>
      </c>
      <c r="E446" t="n">
        <v>0.02</v>
      </c>
      <c r="F446">
        <f>A446*1024/(C446*0.000001)/1000000000*C441</f>
        <v/>
      </c>
      <c r="G446">
        <f>E446/F446</f>
        <v/>
      </c>
    </row>
    <row r="447">
      <c r="A447" t="n">
        <v>4</v>
      </c>
      <c r="B447" t="n">
        <v>173.6</v>
      </c>
      <c r="C447">
        <f>C442+A447*1024*C440</f>
        <v/>
      </c>
      <c r="D447">
        <f>B447/C447</f>
        <v/>
      </c>
      <c r="E447" t="n">
        <v>0.05</v>
      </c>
      <c r="F447">
        <f>A447*1024/(C447*0.000001)/1000000000*C441</f>
        <v/>
      </c>
      <c r="G447">
        <f>E447/F447</f>
        <v/>
      </c>
    </row>
    <row r="448">
      <c r="A448" t="n">
        <v>8</v>
      </c>
      <c r="B448" t="n">
        <v>185.93</v>
      </c>
      <c r="C448">
        <f>C442+A448*1024*C440</f>
        <v/>
      </c>
      <c r="D448">
        <f>B448/C448</f>
        <v/>
      </c>
      <c r="E448" t="n">
        <v>0.09</v>
      </c>
      <c r="F448">
        <f>A448*1024/(C448*0.000001)/1000000000*C441</f>
        <v/>
      </c>
      <c r="G448">
        <f>E448/F448</f>
        <v/>
      </c>
    </row>
    <row r="449">
      <c r="A449" t="n">
        <v>16</v>
      </c>
      <c r="B449" t="n">
        <v>194.94</v>
      </c>
      <c r="C449">
        <f>C442+A449*1024*C440</f>
        <v/>
      </c>
      <c r="D449">
        <f>B449/C449</f>
        <v/>
      </c>
      <c r="E449" t="n">
        <v>0.17</v>
      </c>
      <c r="F449">
        <f>A449*1024/(C449*0.000001)/1000000000*C441</f>
        <v/>
      </c>
      <c r="G449">
        <f>E449/F449</f>
        <v/>
      </c>
    </row>
    <row r="450">
      <c r="A450" t="n">
        <v>32</v>
      </c>
      <c r="B450" t="n">
        <v>199.25</v>
      </c>
      <c r="C450">
        <f>C442+A450*1024*C440</f>
        <v/>
      </c>
      <c r="D450">
        <f>B450/C450</f>
        <v/>
      </c>
      <c r="E450" t="n">
        <v>0.33</v>
      </c>
      <c r="F450">
        <f>A450*1024/(C450*0.000001)/1000000000*C441</f>
        <v/>
      </c>
      <c r="G450">
        <f>E450/F450</f>
        <v/>
      </c>
    </row>
    <row r="451">
      <c r="A451" t="n">
        <v>64</v>
      </c>
      <c r="B451" t="n">
        <v>203.27</v>
      </c>
      <c r="C451">
        <f>C442+A451*1024*C440</f>
        <v/>
      </c>
      <c r="D451">
        <f>B451/C451</f>
        <v/>
      </c>
      <c r="E451" t="n">
        <v>0.64</v>
      </c>
      <c r="F451">
        <f>A451*1024/(C451*0.000001)/1000000000*C441</f>
        <v/>
      </c>
      <c r="G451">
        <f>E451/F451</f>
        <v/>
      </c>
    </row>
    <row r="452">
      <c r="A452" t="n">
        <v>128</v>
      </c>
      <c r="B452" t="n">
        <v>212.87</v>
      </c>
      <c r="C452">
        <f>C442+A452*1024*C440</f>
        <v/>
      </c>
      <c r="D452">
        <f>B452/C452</f>
        <v/>
      </c>
      <c r="E452" t="n">
        <v>1.22</v>
      </c>
      <c r="F452">
        <f>A452*1024/(C452*0.000001)/1000000000*C441</f>
        <v/>
      </c>
      <c r="G452">
        <f>E452/F452</f>
        <v/>
      </c>
    </row>
    <row r="453">
      <c r="A453" t="n">
        <v>256</v>
      </c>
      <c r="B453" t="n">
        <v>232.36</v>
      </c>
      <c r="C453">
        <f>C442+A453*1024*C440</f>
        <v/>
      </c>
      <c r="D453">
        <f>B453/C453</f>
        <v/>
      </c>
      <c r="E453" t="n">
        <v>2.24</v>
      </c>
      <c r="F453">
        <f>A453*1024/(C453*0.000001)/1000000000*C441</f>
        <v/>
      </c>
      <c r="G453">
        <f>E453/F453</f>
        <v/>
      </c>
    </row>
    <row r="454">
      <c r="A454" t="n">
        <v>512</v>
      </c>
      <c r="B454" t="n">
        <v>282.5</v>
      </c>
      <c r="C454">
        <f>C442+A454*1024*C440</f>
        <v/>
      </c>
      <c r="D454">
        <f>B454/C454</f>
        <v/>
      </c>
      <c r="E454" t="n">
        <v>3.68</v>
      </c>
      <c r="F454">
        <f>A454*1024/(C454*0.000001)/1000000000*C441</f>
        <v/>
      </c>
      <c r="G454">
        <f>E454/F454</f>
        <v/>
      </c>
    </row>
    <row r="455">
      <c r="A455" t="n">
        <v>1024</v>
      </c>
      <c r="B455" t="n">
        <v>333.13</v>
      </c>
      <c r="C455">
        <f>C442+A455*1024*C440</f>
        <v/>
      </c>
      <c r="D455">
        <f>B455/C455</f>
        <v/>
      </c>
      <c r="E455" t="n">
        <v>6.25</v>
      </c>
      <c r="F455">
        <f>A455*1024/(C455*0.000001)/1000000000*C441</f>
        <v/>
      </c>
      <c r="G455">
        <f>E455/F455</f>
        <v/>
      </c>
    </row>
    <row r="456">
      <c r="A456" t="n">
        <v>2048</v>
      </c>
      <c r="B456" t="n">
        <v>439.11</v>
      </c>
      <c r="C456">
        <f>C442+A456*1024*C440</f>
        <v/>
      </c>
      <c r="D456">
        <f>B456/C456</f>
        <v/>
      </c>
      <c r="E456" t="n">
        <v>9.48</v>
      </c>
      <c r="F456">
        <f>A456*1024/(C456*0.000001)/1000000000*C441</f>
        <v/>
      </c>
      <c r="G456">
        <f>E456/F456</f>
        <v/>
      </c>
    </row>
    <row r="457">
      <c r="A457" t="n">
        <v>4096</v>
      </c>
      <c r="B457" t="n">
        <v>642.85</v>
      </c>
      <c r="C457">
        <f>C442+A457*1024*C440</f>
        <v/>
      </c>
      <c r="D457">
        <f>B457/C457</f>
        <v/>
      </c>
      <c r="E457" t="n">
        <v>12.95</v>
      </c>
      <c r="F457">
        <f>A457*1024/(C457*0.000001)/1000000000*C441</f>
        <v/>
      </c>
      <c r="G457">
        <f>E457/F457</f>
        <v/>
      </c>
    </row>
    <row r="458">
      <c r="A458" t="n">
        <v>8192</v>
      </c>
      <c r="B458" t="n">
        <v>1068.18</v>
      </c>
      <c r="C458">
        <f>C442+A458*1024*C440</f>
        <v/>
      </c>
      <c r="D458">
        <f>B458/C458</f>
        <v/>
      </c>
      <c r="E458" t="n">
        <v>15.58</v>
      </c>
      <c r="F458">
        <f>A458*1024/(C458*0.000001)/1000000000*C441</f>
        <v/>
      </c>
      <c r="G458">
        <f>E458/F458</f>
        <v/>
      </c>
    </row>
    <row r="459">
      <c r="A459" t="n">
        <v>16384</v>
      </c>
      <c r="B459" t="n">
        <v>1719.21</v>
      </c>
      <c r="C459">
        <f>C442+A459*1024*C440</f>
        <v/>
      </c>
      <c r="D459">
        <f>B459/C459</f>
        <v/>
      </c>
      <c r="E459" t="n">
        <v>19.36</v>
      </c>
      <c r="F459">
        <f>A459*1024/(C459*0.000001)/1000000000*C441</f>
        <v/>
      </c>
      <c r="G459">
        <f>E459/F459</f>
        <v/>
      </c>
    </row>
    <row r="460">
      <c r="A460" t="n">
        <v>32768</v>
      </c>
      <c r="B460" t="n">
        <v>3112.58</v>
      </c>
      <c r="C460">
        <f>C442+A460*1024*C440</f>
        <v/>
      </c>
      <c r="D460">
        <f>B460/C460</f>
        <v/>
      </c>
      <c r="E460" t="n">
        <v>21.39</v>
      </c>
      <c r="F460">
        <f>A460*1024/(C460*0.000001)/1000000000*C441</f>
        <v/>
      </c>
      <c r="G460">
        <f>E460/F460</f>
        <v/>
      </c>
    </row>
    <row r="461">
      <c r="A461" t="n">
        <v>65536</v>
      </c>
      <c r="B461" t="n">
        <v>5952.95</v>
      </c>
      <c r="C461">
        <f>C442+A461*1024*C440</f>
        <v/>
      </c>
      <c r="D461">
        <f>B461/C461</f>
        <v/>
      </c>
      <c r="E461" t="n">
        <v>22.37</v>
      </c>
      <c r="F461">
        <f>A461*1024/(C461*0.000001)/1000000000*C441</f>
        <v/>
      </c>
      <c r="G461">
        <f>E461/F461</f>
        <v/>
      </c>
    </row>
    <row r="462">
      <c r="A462" t="n">
        <v>131072</v>
      </c>
      <c r="B462" t="n">
        <v>11346</v>
      </c>
      <c r="C462">
        <f>C442+A462*1024*C440</f>
        <v/>
      </c>
      <c r="D462">
        <f>B462/C462</f>
        <v/>
      </c>
      <c r="E462" t="n">
        <v>23.47</v>
      </c>
      <c r="F462">
        <f>A462*1024/(C462*0.000001)/1000000000*C441</f>
        <v/>
      </c>
      <c r="G462">
        <f>E462/F462</f>
        <v/>
      </c>
    </row>
    <row r="463">
      <c r="A463" t="n">
        <v>262144</v>
      </c>
      <c r="B463" t="n">
        <v>22069.5</v>
      </c>
      <c r="C463">
        <f>C442+A463*1024*C440</f>
        <v/>
      </c>
      <c r="D463">
        <f>B463/C463</f>
        <v/>
      </c>
      <c r="E463" t="n">
        <v>24.14</v>
      </c>
      <c r="F463">
        <f>A463*1024/(C463*0.000001)/1000000000*C441</f>
        <v/>
      </c>
      <c r="G463">
        <f>E463/F463</f>
        <v/>
      </c>
    </row>
    <row r="464">
      <c r="A464" t="n">
        <v>524288</v>
      </c>
      <c r="B464" t="n">
        <v>43134.9</v>
      </c>
      <c r="C464">
        <f>C442+A464*1024*C440</f>
        <v/>
      </c>
      <c r="D464">
        <f>B464/C464</f>
        <v/>
      </c>
      <c r="E464" t="n">
        <v>24.7</v>
      </c>
      <c r="F464">
        <f>A464*1024/(C464*0.000001)/1000000000*C441</f>
        <v/>
      </c>
      <c r="G464">
        <f>E464/F464</f>
        <v/>
      </c>
    </row>
    <row r="465">
      <c r="A465" t="n">
        <v>1048576</v>
      </c>
      <c r="B465" t="n">
        <v>85914.39999999999</v>
      </c>
      <c r="C465">
        <f>C442+A465*1024*C440</f>
        <v/>
      </c>
      <c r="D465">
        <f>B465/C465</f>
        <v/>
      </c>
      <c r="E465" t="n">
        <v>24.8</v>
      </c>
      <c r="F465">
        <f>A465*1024/(C465*0.000001)/1000000000*C441</f>
        <v/>
      </c>
      <c r="G465">
        <f>E465/F465</f>
        <v/>
      </c>
    </row>
    <row r="466"/>
    <row r="467">
      <c r="A467" t="inlineStr">
        <is>
          <t>Nodes: 16, Protocol: LL128, Channels: 4</t>
        </is>
      </c>
    </row>
    <row r="468">
      <c r="A468" t="inlineStr">
        <is>
          <t>Parameter</t>
        </is>
      </c>
      <c r="B468" t="inlineStr">
        <is>
          <t>Formula</t>
        </is>
      </c>
      <c r="C468" t="inlineStr">
        <is>
          <t>Value</t>
        </is>
      </c>
    </row>
    <row r="469">
      <c r="A469" t="inlineStr">
        <is>
          <t>N</t>
        </is>
      </c>
      <c r="B469" t="inlineStr">
        <is>
          <t>nodes</t>
        </is>
      </c>
      <c r="C469" t="n">
        <v>16</v>
      </c>
    </row>
    <row r="470">
      <c r="A470" t="inlineStr">
        <is>
          <t>n</t>
        </is>
      </c>
      <c r="B470" t="inlineStr">
        <is>
          <t>GPUs/node</t>
        </is>
      </c>
      <c r="C470" t="n">
        <v>8</v>
      </c>
    </row>
    <row r="471">
      <c r="A471" t="inlineStr">
        <is>
          <t>n_total</t>
        </is>
      </c>
      <c r="B471" t="inlineStr">
        <is>
          <t>N*n</t>
        </is>
      </c>
      <c r="C471" t="n">
        <v>128</v>
      </c>
    </row>
    <row r="472">
      <c r="A472" t="inlineStr">
        <is>
          <t>nch_raw</t>
        </is>
      </c>
      <c r="B472" t="inlineStr">
        <is>
          <t>raw channels</t>
        </is>
      </c>
      <c r="C472" t="n">
        <v>4</v>
      </c>
    </row>
    <row r="473">
      <c r="A473" t="inlineStr">
        <is>
          <t>nch_eff</t>
        </is>
      </c>
      <c r="B473" t="inlineStr">
        <is>
          <t>min(nch_raw,8)</t>
        </is>
      </c>
      <c r="C473" t="n">
        <v>4</v>
      </c>
    </row>
    <row r="474">
      <c r="A474" t="inlineStr">
        <is>
          <t>a</t>
        </is>
      </c>
      <c r="B474" t="inlineStr">
        <is>
          <t>RTT (us)</t>
        </is>
      </c>
      <c r="C474" t="n">
        <v>24.92</v>
      </c>
    </row>
    <row r="475">
      <c r="A475" t="inlineStr">
        <is>
          <t>NIC_BW</t>
        </is>
      </c>
      <c r="B475" t="inlineStr">
        <is>
          <t>bytes/us</t>
        </is>
      </c>
      <c r="C475" t="n">
        <v>48750</v>
      </c>
    </row>
    <row r="476">
      <c r="A476" t="inlineStr">
        <is>
          <t>intra_node_latency</t>
        </is>
      </c>
      <c r="B476" t="inlineStr">
        <is>
          <t>us</t>
        </is>
      </c>
      <c r="C476" t="n">
        <v>8.4</v>
      </c>
    </row>
    <row r="477">
      <c r="A477" t="inlineStr">
        <is>
          <t>NIC_BW_REAL</t>
        </is>
      </c>
      <c r="B477" t="inlineStr">
        <is>
          <t>nch_eff*(NIC_BW*15/16)/3</t>
        </is>
      </c>
      <c r="C477">
        <f>C473*(C475*15/16)/3</f>
        <v/>
      </c>
    </row>
    <row r="478">
      <c r="A478" t="inlineStr">
        <is>
          <t>G</t>
        </is>
      </c>
      <c r="B478" t="inlineStr">
        <is>
          <t>1/NIC_BW_REAL</t>
        </is>
      </c>
      <c r="C478">
        <f>1/C477</f>
        <v/>
      </c>
    </row>
    <row r="479">
      <c r="A479" t="inlineStr">
        <is>
          <t>busbw_factor</t>
        </is>
      </c>
      <c r="B479" t="inlineStr">
        <is>
          <t>2*(n_total-1)/n_total</t>
        </is>
      </c>
      <c r="C479">
        <f>2*(C471-1)/C471</f>
        <v/>
      </c>
    </row>
    <row r="480">
      <c r="A480" t="inlineStr">
        <is>
          <t>fixed_overhead</t>
        </is>
      </c>
      <c r="B480" t="inlineStr">
        <is>
          <t>(2*LOG2(N)+1)*a/2+2*intra</t>
        </is>
      </c>
      <c r="C480">
        <f>(2*LOG(C469,2)+1)*C474/2+2*C476</f>
        <v/>
      </c>
    </row>
    <row r="481"/>
    <row r="482">
      <c r="A482" t="inlineStr">
        <is>
          <t>size_KB</t>
        </is>
      </c>
      <c r="B482" t="inlineStr">
        <is>
          <t>Actual Time (us)</t>
        </is>
      </c>
      <c r="C482" t="inlineStr">
        <is>
          <t>Roofline Time (us)</t>
        </is>
      </c>
      <c r="D482" t="inlineStr">
        <is>
          <t>Actual/Roofline</t>
        </is>
      </c>
      <c r="E482" t="inlineStr">
        <is>
          <t>Actual busBW (GB/s)</t>
        </is>
      </c>
      <c r="F482" t="inlineStr">
        <is>
          <t>Roofline busBW (GB/s)</t>
        </is>
      </c>
      <c r="G482" t="inlineStr">
        <is>
          <t>Meas/Roof busBW</t>
        </is>
      </c>
    </row>
    <row r="483">
      <c r="A483" t="n">
        <v>1</v>
      </c>
      <c r="B483" t="n">
        <v>177.34</v>
      </c>
      <c r="C483">
        <f>C480+A483*1024*C478</f>
        <v/>
      </c>
      <c r="D483">
        <f>B483/C483</f>
        <v/>
      </c>
      <c r="E483" t="n">
        <v>0.01</v>
      </c>
      <c r="F483">
        <f>A483*1024/(C483*0.000001)/1000000000*C479</f>
        <v/>
      </c>
      <c r="G483">
        <f>E483/F483</f>
        <v/>
      </c>
    </row>
    <row r="484">
      <c r="A484" t="n">
        <v>2</v>
      </c>
      <c r="B484" t="n">
        <v>166.27</v>
      </c>
      <c r="C484">
        <f>C480+A484*1024*C478</f>
        <v/>
      </c>
      <c r="D484">
        <f>B484/C484</f>
        <v/>
      </c>
      <c r="E484" t="n">
        <v>0.02</v>
      </c>
      <c r="F484">
        <f>A484*1024/(C484*0.000001)/1000000000*C479</f>
        <v/>
      </c>
      <c r="G484">
        <f>E484/F484</f>
        <v/>
      </c>
    </row>
    <row r="485">
      <c r="A485" t="n">
        <v>4</v>
      </c>
      <c r="B485" t="n">
        <v>173.63</v>
      </c>
      <c r="C485">
        <f>C480+A485*1024*C478</f>
        <v/>
      </c>
      <c r="D485">
        <f>B485/C485</f>
        <v/>
      </c>
      <c r="E485" t="n">
        <v>0.05</v>
      </c>
      <c r="F485">
        <f>A485*1024/(C485*0.000001)/1000000000*C479</f>
        <v/>
      </c>
      <c r="G485">
        <f>E485/F485</f>
        <v/>
      </c>
    </row>
    <row r="486">
      <c r="A486" t="n">
        <v>8</v>
      </c>
      <c r="B486" t="n">
        <v>185.86</v>
      </c>
      <c r="C486">
        <f>C480+A486*1024*C478</f>
        <v/>
      </c>
      <c r="D486">
        <f>B486/C486</f>
        <v/>
      </c>
      <c r="E486" t="n">
        <v>0.09</v>
      </c>
      <c r="F486">
        <f>A486*1024/(C486*0.000001)/1000000000*C479</f>
        <v/>
      </c>
      <c r="G486">
        <f>E486/F486</f>
        <v/>
      </c>
    </row>
    <row r="487">
      <c r="A487" t="n">
        <v>16</v>
      </c>
      <c r="B487" t="n">
        <v>194.6</v>
      </c>
      <c r="C487">
        <f>C480+A487*1024*C478</f>
        <v/>
      </c>
      <c r="D487">
        <f>B487/C487</f>
        <v/>
      </c>
      <c r="E487" t="n">
        <v>0.17</v>
      </c>
      <c r="F487">
        <f>A487*1024/(C487*0.000001)/1000000000*C479</f>
        <v/>
      </c>
      <c r="G487">
        <f>E487/F487</f>
        <v/>
      </c>
    </row>
    <row r="488">
      <c r="A488" t="n">
        <v>32</v>
      </c>
      <c r="B488" t="n">
        <v>196.52</v>
      </c>
      <c r="C488">
        <f>C480+A488*1024*C478</f>
        <v/>
      </c>
      <c r="D488">
        <f>B488/C488</f>
        <v/>
      </c>
      <c r="E488" t="n">
        <v>0.33</v>
      </c>
      <c r="F488">
        <f>A488*1024/(C488*0.000001)/1000000000*C479</f>
        <v/>
      </c>
      <c r="G488">
        <f>E488/F488</f>
        <v/>
      </c>
    </row>
    <row r="489">
      <c r="A489" t="n">
        <v>64</v>
      </c>
      <c r="B489" t="n">
        <v>206.93</v>
      </c>
      <c r="C489">
        <f>C480+A489*1024*C478</f>
        <v/>
      </c>
      <c r="D489">
        <f>B489/C489</f>
        <v/>
      </c>
      <c r="E489" t="n">
        <v>0.63</v>
      </c>
      <c r="F489">
        <f>A489*1024/(C489*0.000001)/1000000000*C479</f>
        <v/>
      </c>
      <c r="G489">
        <f>E489/F489</f>
        <v/>
      </c>
    </row>
    <row r="490">
      <c r="A490" t="n">
        <v>128</v>
      </c>
      <c r="B490" t="n">
        <v>203.94</v>
      </c>
      <c r="C490">
        <f>C480+A490*1024*C478</f>
        <v/>
      </c>
      <c r="D490">
        <f>B490/C490</f>
        <v/>
      </c>
      <c r="E490" t="n">
        <v>1.28</v>
      </c>
      <c r="F490">
        <f>A490*1024/(C490*0.000001)/1000000000*C479</f>
        <v/>
      </c>
      <c r="G490">
        <f>E490/F490</f>
        <v/>
      </c>
    </row>
    <row r="491">
      <c r="A491" t="n">
        <v>256</v>
      </c>
      <c r="B491" t="n">
        <v>214.89</v>
      </c>
      <c r="C491">
        <f>C480+A491*1024*C478</f>
        <v/>
      </c>
      <c r="D491">
        <f>B491/C491</f>
        <v/>
      </c>
      <c r="E491" t="n">
        <v>2.42</v>
      </c>
      <c r="F491">
        <f>A491*1024/(C491*0.000001)/1000000000*C479</f>
        <v/>
      </c>
      <c r="G491">
        <f>E491/F491</f>
        <v/>
      </c>
    </row>
    <row r="492">
      <c r="A492" t="n">
        <v>512</v>
      </c>
      <c r="B492" t="n">
        <v>237.51</v>
      </c>
      <c r="C492">
        <f>C480+A492*1024*C478</f>
        <v/>
      </c>
      <c r="D492">
        <f>B492/C492</f>
        <v/>
      </c>
      <c r="E492" t="n">
        <v>4.38</v>
      </c>
      <c r="F492">
        <f>A492*1024/(C492*0.000001)/1000000000*C479</f>
        <v/>
      </c>
      <c r="G492">
        <f>E492/F492</f>
        <v/>
      </c>
    </row>
    <row r="493">
      <c r="A493" t="n">
        <v>1024</v>
      </c>
      <c r="B493" t="n">
        <v>291.47</v>
      </c>
      <c r="C493">
        <f>C480+A493*1024*C478</f>
        <v/>
      </c>
      <c r="D493">
        <f>B493/C493</f>
        <v/>
      </c>
      <c r="E493" t="n">
        <v>7.14</v>
      </c>
      <c r="F493">
        <f>A493*1024/(C493*0.000001)/1000000000*C479</f>
        <v/>
      </c>
      <c r="G493">
        <f>E493/F493</f>
        <v/>
      </c>
    </row>
    <row r="494">
      <c r="A494" t="n">
        <v>2048</v>
      </c>
      <c r="B494" t="n">
        <v>336.75</v>
      </c>
      <c r="C494">
        <f>C480+A494*1024*C478</f>
        <v/>
      </c>
      <c r="D494">
        <f>B494/C494</f>
        <v/>
      </c>
      <c r="E494" t="n">
        <v>12.36</v>
      </c>
      <c r="F494">
        <f>A494*1024/(C494*0.000001)/1000000000*C479</f>
        <v/>
      </c>
      <c r="G494">
        <f>E494/F494</f>
        <v/>
      </c>
    </row>
    <row r="495">
      <c r="A495" t="n">
        <v>4096</v>
      </c>
      <c r="B495" t="n">
        <v>442.89</v>
      </c>
      <c r="C495">
        <f>C480+A495*1024*C478</f>
        <v/>
      </c>
      <c r="D495">
        <f>B495/C495</f>
        <v/>
      </c>
      <c r="E495" t="n">
        <v>18.79</v>
      </c>
      <c r="F495">
        <f>A495*1024/(C495*0.000001)/1000000000*C479</f>
        <v/>
      </c>
      <c r="G495">
        <f>E495/F495</f>
        <v/>
      </c>
    </row>
    <row r="496">
      <c r="A496" t="n">
        <v>8192</v>
      </c>
      <c r="B496" t="n">
        <v>679.63</v>
      </c>
      <c r="C496">
        <f>C480+A496*1024*C478</f>
        <v/>
      </c>
      <c r="D496">
        <f>B496/C496</f>
        <v/>
      </c>
      <c r="E496" t="n">
        <v>24.49</v>
      </c>
      <c r="F496">
        <f>A496*1024/(C496*0.000001)/1000000000*C479</f>
        <v/>
      </c>
      <c r="G496">
        <f>E496/F496</f>
        <v/>
      </c>
    </row>
    <row r="497">
      <c r="A497" t="n">
        <v>16384</v>
      </c>
      <c r="B497" t="n">
        <v>1062.01</v>
      </c>
      <c r="C497">
        <f>C480+A497*1024*C478</f>
        <v/>
      </c>
      <c r="D497">
        <f>B497/C497</f>
        <v/>
      </c>
      <c r="E497" t="n">
        <v>31.35</v>
      </c>
      <c r="F497">
        <f>A497*1024/(C497*0.000001)/1000000000*C479</f>
        <v/>
      </c>
      <c r="G497">
        <f>E497/F497</f>
        <v/>
      </c>
    </row>
    <row r="498">
      <c r="A498" t="n">
        <v>32768</v>
      </c>
      <c r="B498" t="n">
        <v>1732.91</v>
      </c>
      <c r="C498">
        <f>C480+A498*1024*C478</f>
        <v/>
      </c>
      <c r="D498">
        <f>B498/C498</f>
        <v/>
      </c>
      <c r="E498" t="n">
        <v>38.42</v>
      </c>
      <c r="F498">
        <f>A498*1024/(C498*0.000001)/1000000000*C479</f>
        <v/>
      </c>
      <c r="G498">
        <f>E498/F498</f>
        <v/>
      </c>
    </row>
    <row r="499">
      <c r="A499" t="n">
        <v>65536</v>
      </c>
      <c r="B499" t="n">
        <v>3174.46</v>
      </c>
      <c r="C499">
        <f>C480+A499*1024*C478</f>
        <v/>
      </c>
      <c r="D499">
        <f>B499/C499</f>
        <v/>
      </c>
      <c r="E499" t="n">
        <v>41.95</v>
      </c>
      <c r="F499">
        <f>A499*1024/(C499*0.000001)/1000000000*C479</f>
        <v/>
      </c>
      <c r="G499">
        <f>E499/F499</f>
        <v/>
      </c>
    </row>
    <row r="500">
      <c r="A500" t="n">
        <v>131072</v>
      </c>
      <c r="B500" t="n">
        <v>5974</v>
      </c>
      <c r="C500">
        <f>C480+A500*1024*C478</f>
        <v/>
      </c>
      <c r="D500">
        <f>B500/C500</f>
        <v/>
      </c>
      <c r="E500" t="n">
        <v>44.58</v>
      </c>
      <c r="F500">
        <f>A500*1024/(C500*0.000001)/1000000000*C479</f>
        <v/>
      </c>
      <c r="G500">
        <f>E500/F500</f>
        <v/>
      </c>
    </row>
    <row r="501">
      <c r="A501" t="n">
        <v>262144</v>
      </c>
      <c r="B501" t="n">
        <v>11358.7</v>
      </c>
      <c r="C501">
        <f>C480+A501*1024*C478</f>
        <v/>
      </c>
      <c r="D501">
        <f>B501/C501</f>
        <v/>
      </c>
      <c r="E501" t="n">
        <v>46.9</v>
      </c>
      <c r="F501">
        <f>A501*1024/(C501*0.000001)/1000000000*C479</f>
        <v/>
      </c>
      <c r="G501">
        <f>E501/F501</f>
        <v/>
      </c>
    </row>
    <row r="502">
      <c r="A502" t="n">
        <v>524288</v>
      </c>
      <c r="B502" t="n">
        <v>22098.2</v>
      </c>
      <c r="C502">
        <f>C480+A502*1024*C478</f>
        <v/>
      </c>
      <c r="D502">
        <f>B502/C502</f>
        <v/>
      </c>
      <c r="E502" t="n">
        <v>48.21</v>
      </c>
      <c r="F502">
        <f>A502*1024/(C502*0.000001)/1000000000*C479</f>
        <v/>
      </c>
      <c r="G502">
        <f>E502/F502</f>
        <v/>
      </c>
    </row>
    <row r="503">
      <c r="A503" t="n">
        <v>1048576</v>
      </c>
      <c r="B503" t="n">
        <v>43482.2</v>
      </c>
      <c r="C503">
        <f>C480+A503*1024*C478</f>
        <v/>
      </c>
      <c r="D503">
        <f>B503/C503</f>
        <v/>
      </c>
      <c r="E503" t="n">
        <v>49</v>
      </c>
      <c r="F503">
        <f>A503*1024/(C503*0.000001)/1000000000*C479</f>
        <v/>
      </c>
      <c r="G503">
        <f>E503/F503</f>
        <v/>
      </c>
    </row>
    <row r="504"/>
    <row r="505">
      <c r="A505" t="inlineStr">
        <is>
          <t>Nodes: 16, Protocol: LL128, Channels: 8</t>
        </is>
      </c>
    </row>
    <row r="506">
      <c r="A506" t="inlineStr">
        <is>
          <t>Parameter</t>
        </is>
      </c>
      <c r="B506" t="inlineStr">
        <is>
          <t>Formula</t>
        </is>
      </c>
      <c r="C506" t="inlineStr">
        <is>
          <t>Value</t>
        </is>
      </c>
    </row>
    <row r="507">
      <c r="A507" t="inlineStr">
        <is>
          <t>N</t>
        </is>
      </c>
      <c r="B507" t="inlineStr">
        <is>
          <t>nodes</t>
        </is>
      </c>
      <c r="C507" t="n">
        <v>16</v>
      </c>
    </row>
    <row r="508">
      <c r="A508" t="inlineStr">
        <is>
          <t>n</t>
        </is>
      </c>
      <c r="B508" t="inlineStr">
        <is>
          <t>GPUs/node</t>
        </is>
      </c>
      <c r="C508" t="n">
        <v>8</v>
      </c>
    </row>
    <row r="509">
      <c r="A509" t="inlineStr">
        <is>
          <t>n_total</t>
        </is>
      </c>
      <c r="B509" t="inlineStr">
        <is>
          <t>N*n</t>
        </is>
      </c>
      <c r="C509" t="n">
        <v>128</v>
      </c>
    </row>
    <row r="510">
      <c r="A510" t="inlineStr">
        <is>
          <t>nch_raw</t>
        </is>
      </c>
      <c r="B510" t="inlineStr">
        <is>
          <t>raw channels</t>
        </is>
      </c>
      <c r="C510" t="n">
        <v>8</v>
      </c>
    </row>
    <row r="511">
      <c r="A511" t="inlineStr">
        <is>
          <t>nch_eff</t>
        </is>
      </c>
      <c r="B511" t="inlineStr">
        <is>
          <t>min(nch_raw,8)</t>
        </is>
      </c>
      <c r="C511" t="n">
        <v>8</v>
      </c>
    </row>
    <row r="512">
      <c r="A512" t="inlineStr">
        <is>
          <t>a</t>
        </is>
      </c>
      <c r="B512" t="inlineStr">
        <is>
          <t>RTT (us)</t>
        </is>
      </c>
      <c r="C512" t="n">
        <v>24.92</v>
      </c>
    </row>
    <row r="513">
      <c r="A513" t="inlineStr">
        <is>
          <t>NIC_BW</t>
        </is>
      </c>
      <c r="B513" t="inlineStr">
        <is>
          <t>bytes/us</t>
        </is>
      </c>
      <c r="C513" t="n">
        <v>48750</v>
      </c>
    </row>
    <row r="514">
      <c r="A514" t="inlineStr">
        <is>
          <t>intra_node_latency</t>
        </is>
      </c>
      <c r="B514" t="inlineStr">
        <is>
          <t>us</t>
        </is>
      </c>
      <c r="C514" t="n">
        <v>8.4</v>
      </c>
    </row>
    <row r="515">
      <c r="A515" t="inlineStr">
        <is>
          <t>NIC_BW_REAL</t>
        </is>
      </c>
      <c r="B515" t="inlineStr">
        <is>
          <t>nch_eff*(NIC_BW*15/16)/3</t>
        </is>
      </c>
      <c r="C515">
        <f>C511*(C513*15/16)/3</f>
        <v/>
      </c>
    </row>
    <row r="516">
      <c r="A516" t="inlineStr">
        <is>
          <t>G</t>
        </is>
      </c>
      <c r="B516" t="inlineStr">
        <is>
          <t>1/NIC_BW_REAL</t>
        </is>
      </c>
      <c r="C516">
        <f>1/C515</f>
        <v/>
      </c>
    </row>
    <row r="517">
      <c r="A517" t="inlineStr">
        <is>
          <t>busbw_factor</t>
        </is>
      </c>
      <c r="B517" t="inlineStr">
        <is>
          <t>2*(n_total-1)/n_total</t>
        </is>
      </c>
      <c r="C517">
        <f>2*(C509-1)/C509</f>
        <v/>
      </c>
    </row>
    <row r="518">
      <c r="A518" t="inlineStr">
        <is>
          <t>fixed_overhead</t>
        </is>
      </c>
      <c r="B518" t="inlineStr">
        <is>
          <t>(2*LOG2(N)+1)*a/2+2*intra</t>
        </is>
      </c>
      <c r="C518">
        <f>(2*LOG(C507,2)+1)*C512/2+2*C514</f>
        <v/>
      </c>
    </row>
    <row r="519"/>
    <row r="520">
      <c r="A520" t="inlineStr">
        <is>
          <t>size_KB</t>
        </is>
      </c>
      <c r="B520" t="inlineStr">
        <is>
          <t>Actual Time (us)</t>
        </is>
      </c>
      <c r="C520" t="inlineStr">
        <is>
          <t>Roofline Time (us)</t>
        </is>
      </c>
      <c r="D520" t="inlineStr">
        <is>
          <t>Actual/Roofline</t>
        </is>
      </c>
      <c r="E520" t="inlineStr">
        <is>
          <t>Actual busBW (GB/s)</t>
        </is>
      </c>
      <c r="F520" t="inlineStr">
        <is>
          <t>Roofline busBW (GB/s)</t>
        </is>
      </c>
      <c r="G520" t="inlineStr">
        <is>
          <t>Meas/Roof busBW</t>
        </is>
      </c>
    </row>
    <row r="521">
      <c r="A521" t="n">
        <v>1</v>
      </c>
      <c r="B521" t="n">
        <v>160.72</v>
      </c>
      <c r="C521">
        <f>C518+A521*1024*C516</f>
        <v/>
      </c>
      <c r="D521">
        <f>B521/C521</f>
        <v/>
      </c>
      <c r="E521" t="n">
        <v>0.01</v>
      </c>
      <c r="F521">
        <f>A521*1024/(C521*0.000001)/1000000000*C517</f>
        <v/>
      </c>
      <c r="G521">
        <f>E521/F521</f>
        <v/>
      </c>
    </row>
    <row r="522">
      <c r="A522" t="n">
        <v>2</v>
      </c>
      <c r="B522" t="n">
        <v>165.83</v>
      </c>
      <c r="C522">
        <f>C518+A522*1024*C516</f>
        <v/>
      </c>
      <c r="D522">
        <f>B522/C522</f>
        <v/>
      </c>
      <c r="E522" t="n">
        <v>0.02</v>
      </c>
      <c r="F522">
        <f>A522*1024/(C522*0.000001)/1000000000*C517</f>
        <v/>
      </c>
      <c r="G522">
        <f>E522/F522</f>
        <v/>
      </c>
    </row>
    <row r="523">
      <c r="A523" t="n">
        <v>4</v>
      </c>
      <c r="B523" t="n">
        <v>173.37</v>
      </c>
      <c r="C523">
        <f>C518+A523*1024*C516</f>
        <v/>
      </c>
      <c r="D523">
        <f>B523/C523</f>
        <v/>
      </c>
      <c r="E523" t="n">
        <v>0.05</v>
      </c>
      <c r="F523">
        <f>A523*1024/(C523*0.000001)/1000000000*C517</f>
        <v/>
      </c>
      <c r="G523">
        <f>E523/F523</f>
        <v/>
      </c>
    </row>
    <row r="524">
      <c r="A524" t="n">
        <v>8</v>
      </c>
      <c r="B524" t="n">
        <v>186.28</v>
      </c>
      <c r="C524">
        <f>C518+A524*1024*C516</f>
        <v/>
      </c>
      <c r="D524">
        <f>B524/C524</f>
        <v/>
      </c>
      <c r="E524" t="n">
        <v>0.09</v>
      </c>
      <c r="F524">
        <f>A524*1024/(C524*0.000001)/1000000000*C517</f>
        <v/>
      </c>
      <c r="G524">
        <f>E524/F524</f>
        <v/>
      </c>
    </row>
    <row r="525">
      <c r="A525" t="n">
        <v>16</v>
      </c>
      <c r="B525" t="n">
        <v>194.55</v>
      </c>
      <c r="C525">
        <f>C518+A525*1024*C516</f>
        <v/>
      </c>
      <c r="D525">
        <f>B525/C525</f>
        <v/>
      </c>
      <c r="E525" t="n">
        <v>0.17</v>
      </c>
      <c r="F525">
        <f>A525*1024/(C525*0.000001)/1000000000*C517</f>
        <v/>
      </c>
      <c r="G525">
        <f>E525/F525</f>
        <v/>
      </c>
    </row>
    <row r="526">
      <c r="A526" t="n">
        <v>32</v>
      </c>
      <c r="B526" t="n">
        <v>197.43</v>
      </c>
      <c r="C526">
        <f>C518+A526*1024*C516</f>
        <v/>
      </c>
      <c r="D526">
        <f>B526/C526</f>
        <v/>
      </c>
      <c r="E526" t="n">
        <v>0.33</v>
      </c>
      <c r="F526">
        <f>A526*1024/(C526*0.000001)/1000000000*C517</f>
        <v/>
      </c>
      <c r="G526">
        <f>E526/F526</f>
        <v/>
      </c>
    </row>
    <row r="527">
      <c r="A527" t="n">
        <v>64</v>
      </c>
      <c r="B527" t="n">
        <v>198.87</v>
      </c>
      <c r="C527">
        <f>C518+A527*1024*C516</f>
        <v/>
      </c>
      <c r="D527">
        <f>B527/C527</f>
        <v/>
      </c>
      <c r="E527" t="n">
        <v>0.65</v>
      </c>
      <c r="F527">
        <f>A527*1024/(C527*0.000001)/1000000000*C517</f>
        <v/>
      </c>
      <c r="G527">
        <f>E527/F527</f>
        <v/>
      </c>
    </row>
    <row r="528">
      <c r="A528" t="n">
        <v>128</v>
      </c>
      <c r="B528" t="n">
        <v>201.31</v>
      </c>
      <c r="C528">
        <f>C518+A528*1024*C516</f>
        <v/>
      </c>
      <c r="D528">
        <f>B528/C528</f>
        <v/>
      </c>
      <c r="E528" t="n">
        <v>1.29</v>
      </c>
      <c r="F528">
        <f>A528*1024/(C528*0.000001)/1000000000*C517</f>
        <v/>
      </c>
      <c r="G528">
        <f>E528/F528</f>
        <v/>
      </c>
    </row>
    <row r="529">
      <c r="A529" t="n">
        <v>256</v>
      </c>
      <c r="B529" t="n">
        <v>205.95</v>
      </c>
      <c r="C529">
        <f>C518+A529*1024*C516</f>
        <v/>
      </c>
      <c r="D529">
        <f>B529/C529</f>
        <v/>
      </c>
      <c r="E529" t="n">
        <v>2.53</v>
      </c>
      <c r="F529">
        <f>A529*1024/(C529*0.000001)/1000000000*C517</f>
        <v/>
      </c>
      <c r="G529">
        <f>E529/F529</f>
        <v/>
      </c>
    </row>
    <row r="530">
      <c r="A530" t="n">
        <v>512</v>
      </c>
      <c r="B530" t="n">
        <v>221.75</v>
      </c>
      <c r="C530">
        <f>C518+A530*1024*C516</f>
        <v/>
      </c>
      <c r="D530">
        <f>B530/C530</f>
        <v/>
      </c>
      <c r="E530" t="n">
        <v>4.69</v>
      </c>
      <c r="F530">
        <f>A530*1024/(C530*0.000001)/1000000000*C517</f>
        <v/>
      </c>
      <c r="G530">
        <f>E530/F530</f>
        <v/>
      </c>
    </row>
    <row r="531">
      <c r="A531" t="n">
        <v>1024</v>
      </c>
      <c r="B531" t="n">
        <v>237.18</v>
      </c>
      <c r="C531">
        <f>C518+A531*1024*C516</f>
        <v/>
      </c>
      <c r="D531">
        <f>B531/C531</f>
        <v/>
      </c>
      <c r="E531" t="n">
        <v>8.77</v>
      </c>
      <c r="F531">
        <f>A531*1024/(C531*0.000001)/1000000000*C517</f>
        <v/>
      </c>
      <c r="G531">
        <f>E531/F531</f>
        <v/>
      </c>
    </row>
    <row r="532">
      <c r="A532" t="n">
        <v>2048</v>
      </c>
      <c r="B532" t="n">
        <v>287.03</v>
      </c>
      <c r="C532">
        <f>C518+A532*1024*C516</f>
        <v/>
      </c>
      <c r="D532">
        <f>B532/C532</f>
        <v/>
      </c>
      <c r="E532" t="n">
        <v>14.5</v>
      </c>
      <c r="F532">
        <f>A532*1024/(C532*0.000001)/1000000000*C517</f>
        <v/>
      </c>
      <c r="G532">
        <f>E532/F532</f>
        <v/>
      </c>
    </row>
    <row r="533">
      <c r="A533" t="n">
        <v>4096</v>
      </c>
      <c r="B533" t="n">
        <v>340.18</v>
      </c>
      <c r="C533">
        <f>C518+A533*1024*C516</f>
        <v/>
      </c>
      <c r="D533">
        <f>B533/C533</f>
        <v/>
      </c>
      <c r="E533" t="n">
        <v>24.47</v>
      </c>
      <c r="F533">
        <f>A533*1024/(C533*0.000001)/1000000000*C517</f>
        <v/>
      </c>
      <c r="G533">
        <f>E533/F533</f>
        <v/>
      </c>
    </row>
    <row r="534">
      <c r="A534" t="n">
        <v>8192</v>
      </c>
      <c r="B534" t="n">
        <v>448.85</v>
      </c>
      <c r="C534">
        <f>C518+A534*1024*C516</f>
        <v/>
      </c>
      <c r="D534">
        <f>B534/C534</f>
        <v/>
      </c>
      <c r="E534" t="n">
        <v>37.09</v>
      </c>
      <c r="F534">
        <f>A534*1024/(C534*0.000001)/1000000000*C517</f>
        <v/>
      </c>
      <c r="G534">
        <f>E534/F534</f>
        <v/>
      </c>
    </row>
    <row r="535">
      <c r="A535" t="n">
        <v>16384</v>
      </c>
      <c r="B535" t="n">
        <v>679.49</v>
      </c>
      <c r="C535">
        <f>C518+A535*1024*C516</f>
        <v/>
      </c>
      <c r="D535">
        <f>B535/C535</f>
        <v/>
      </c>
      <c r="E535" t="n">
        <v>49</v>
      </c>
      <c r="F535">
        <f>A535*1024/(C535*0.000001)/1000000000*C517</f>
        <v/>
      </c>
      <c r="G535">
        <f>E535/F535</f>
        <v/>
      </c>
    </row>
    <row r="536">
      <c r="A536" t="n">
        <v>32768</v>
      </c>
      <c r="B536" t="n">
        <v>1086.77</v>
      </c>
      <c r="C536">
        <f>C518+A536*1024*C516</f>
        <v/>
      </c>
      <c r="D536">
        <f>B536/C536</f>
        <v/>
      </c>
      <c r="E536" t="n">
        <v>61.27</v>
      </c>
      <c r="F536">
        <f>A536*1024/(C536*0.000001)/1000000000*C517</f>
        <v/>
      </c>
      <c r="G536">
        <f>E536/F536</f>
        <v/>
      </c>
    </row>
    <row r="537">
      <c r="A537" t="n">
        <v>65536</v>
      </c>
      <c r="B537" t="n">
        <v>1784.97</v>
      </c>
      <c r="C537">
        <f>C518+A537*1024*C516</f>
        <v/>
      </c>
      <c r="D537">
        <f>B537/C537</f>
        <v/>
      </c>
      <c r="E537" t="n">
        <v>74.61</v>
      </c>
      <c r="F537">
        <f>A537*1024/(C537*0.000001)/1000000000*C517</f>
        <v/>
      </c>
      <c r="G537">
        <f>E537/F537</f>
        <v/>
      </c>
    </row>
    <row r="538">
      <c r="A538" t="n">
        <v>131072</v>
      </c>
      <c r="B538" t="n">
        <v>3251.86</v>
      </c>
      <c r="C538">
        <f>C518+A538*1024*C516</f>
        <v/>
      </c>
      <c r="D538">
        <f>B538/C538</f>
        <v/>
      </c>
      <c r="E538" t="n">
        <v>81.90000000000001</v>
      </c>
      <c r="F538">
        <f>A538*1024/(C538*0.000001)/1000000000*C517</f>
        <v/>
      </c>
      <c r="G538">
        <f>E538/F538</f>
        <v/>
      </c>
    </row>
    <row r="539">
      <c r="A539" t="n">
        <v>262144</v>
      </c>
      <c r="B539" t="n">
        <v>6069.92</v>
      </c>
      <c r="C539">
        <f>C518+A539*1024*C516</f>
        <v/>
      </c>
      <c r="D539">
        <f>B539/C539</f>
        <v/>
      </c>
      <c r="E539" t="n">
        <v>87.76000000000001</v>
      </c>
      <c r="F539">
        <f>A539*1024/(C539*0.000001)/1000000000*C517</f>
        <v/>
      </c>
      <c r="G539">
        <f>E539/F539</f>
        <v/>
      </c>
    </row>
    <row r="540">
      <c r="A540" t="n">
        <v>524288</v>
      </c>
      <c r="B540" t="n">
        <v>11473.7</v>
      </c>
      <c r="C540">
        <f>C518+A540*1024*C516</f>
        <v/>
      </c>
      <c r="D540">
        <f>B540/C540</f>
        <v/>
      </c>
      <c r="E540" t="n">
        <v>92.84999999999999</v>
      </c>
      <c r="F540">
        <f>A540*1024/(C540*0.000001)/1000000000*C517</f>
        <v/>
      </c>
      <c r="G540">
        <f>E540/F540</f>
        <v/>
      </c>
    </row>
    <row r="541">
      <c r="A541" t="n">
        <v>1048576</v>
      </c>
      <c r="B541" t="n">
        <v>22295.9</v>
      </c>
      <c r="C541">
        <f>C518+A541*1024*C516</f>
        <v/>
      </c>
      <c r="D541">
        <f>B541/C541</f>
        <v/>
      </c>
      <c r="E541" t="n">
        <v>95.56999999999999</v>
      </c>
      <c r="F541">
        <f>A541*1024/(C541*0.000001)/1000000000*C517</f>
        <v/>
      </c>
      <c r="G541">
        <f>E541/F541</f>
        <v/>
      </c>
    </row>
    <row r="542"/>
    <row r="543">
      <c r="A543" t="inlineStr">
        <is>
          <t>Nodes: 16, Protocol: LL128, Channels: 16</t>
        </is>
      </c>
    </row>
    <row r="544">
      <c r="A544" t="inlineStr">
        <is>
          <t>Parameter</t>
        </is>
      </c>
      <c r="B544" t="inlineStr">
        <is>
          <t>Formula</t>
        </is>
      </c>
      <c r="C544" t="inlineStr">
        <is>
          <t>Value</t>
        </is>
      </c>
    </row>
    <row r="545">
      <c r="A545" t="inlineStr">
        <is>
          <t>N</t>
        </is>
      </c>
      <c r="B545" t="inlineStr">
        <is>
          <t>nodes</t>
        </is>
      </c>
      <c r="C545" t="n">
        <v>16</v>
      </c>
    </row>
    <row r="546">
      <c r="A546" t="inlineStr">
        <is>
          <t>n</t>
        </is>
      </c>
      <c r="B546" t="inlineStr">
        <is>
          <t>GPUs/node</t>
        </is>
      </c>
      <c r="C546" t="n">
        <v>8</v>
      </c>
    </row>
    <row r="547">
      <c r="A547" t="inlineStr">
        <is>
          <t>n_total</t>
        </is>
      </c>
      <c r="B547" t="inlineStr">
        <is>
          <t>N*n</t>
        </is>
      </c>
      <c r="C547" t="n">
        <v>128</v>
      </c>
    </row>
    <row r="548">
      <c r="A548" t="inlineStr">
        <is>
          <t>nch_raw</t>
        </is>
      </c>
      <c r="B548" t="inlineStr">
        <is>
          <t>raw channels</t>
        </is>
      </c>
      <c r="C548" t="n">
        <v>16</v>
      </c>
    </row>
    <row r="549">
      <c r="A549" t="inlineStr">
        <is>
          <t>nch_eff</t>
        </is>
      </c>
      <c r="B549" t="inlineStr">
        <is>
          <t>min(nch_raw,8)</t>
        </is>
      </c>
      <c r="C549" t="n">
        <v>8</v>
      </c>
    </row>
    <row r="550">
      <c r="A550" t="inlineStr">
        <is>
          <t>a</t>
        </is>
      </c>
      <c r="B550" t="inlineStr">
        <is>
          <t>RTT (us)</t>
        </is>
      </c>
      <c r="C550" t="n">
        <v>24.92</v>
      </c>
    </row>
    <row r="551">
      <c r="A551" t="inlineStr">
        <is>
          <t>NIC_BW</t>
        </is>
      </c>
      <c r="B551" t="inlineStr">
        <is>
          <t>bytes/us</t>
        </is>
      </c>
      <c r="C551" t="n">
        <v>48750</v>
      </c>
    </row>
    <row r="552">
      <c r="A552" t="inlineStr">
        <is>
          <t>intra_node_latency</t>
        </is>
      </c>
      <c r="B552" t="inlineStr">
        <is>
          <t>us</t>
        </is>
      </c>
      <c r="C552" t="n">
        <v>8.4</v>
      </c>
    </row>
    <row r="553">
      <c r="A553" t="inlineStr">
        <is>
          <t>NIC_BW_REAL</t>
        </is>
      </c>
      <c r="B553" t="inlineStr">
        <is>
          <t>nch_eff*(NIC_BW*15/16)/3</t>
        </is>
      </c>
      <c r="C553">
        <f>C549*(C551*15/16)/3</f>
        <v/>
      </c>
    </row>
    <row r="554">
      <c r="A554" t="inlineStr">
        <is>
          <t>G</t>
        </is>
      </c>
      <c r="B554" t="inlineStr">
        <is>
          <t>1/NIC_BW_REAL</t>
        </is>
      </c>
      <c r="C554">
        <f>1/C553</f>
        <v/>
      </c>
    </row>
    <row r="555">
      <c r="A555" t="inlineStr">
        <is>
          <t>busbw_factor</t>
        </is>
      </c>
      <c r="B555" t="inlineStr">
        <is>
          <t>2*(n_total-1)/n_total</t>
        </is>
      </c>
      <c r="C555">
        <f>2*(C547-1)/C547</f>
        <v/>
      </c>
    </row>
    <row r="556">
      <c r="A556" t="inlineStr">
        <is>
          <t>fixed_overhead</t>
        </is>
      </c>
      <c r="B556" t="inlineStr">
        <is>
          <t>(2*LOG2(N)+1)*a/2+2*intra</t>
        </is>
      </c>
      <c r="C556">
        <f>(2*LOG(C545,2)+1)*C550/2+2*C552</f>
        <v/>
      </c>
    </row>
    <row r="557"/>
    <row r="558">
      <c r="A558" t="inlineStr">
        <is>
          <t>size_KB</t>
        </is>
      </c>
      <c r="B558" t="inlineStr">
        <is>
          <t>Actual Time (us)</t>
        </is>
      </c>
      <c r="C558" t="inlineStr">
        <is>
          <t>Roofline Time (us)</t>
        </is>
      </c>
      <c r="D558" t="inlineStr">
        <is>
          <t>Actual/Roofline</t>
        </is>
      </c>
      <c r="E558" t="inlineStr">
        <is>
          <t>Actual busBW (GB/s)</t>
        </is>
      </c>
      <c r="F558" t="inlineStr">
        <is>
          <t>Roofline busBW (GB/s)</t>
        </is>
      </c>
      <c r="G558" t="inlineStr">
        <is>
          <t>Meas/Roof busBW</t>
        </is>
      </c>
    </row>
    <row r="559">
      <c r="A559" t="n">
        <v>1</v>
      </c>
      <c r="B559" t="n">
        <v>169.1</v>
      </c>
      <c r="C559">
        <f>C556+A559*1024*C554</f>
        <v/>
      </c>
      <c r="D559">
        <f>B559/C559</f>
        <v/>
      </c>
      <c r="E559" t="n">
        <v>0.01</v>
      </c>
      <c r="F559">
        <f>A559*1024/(C559*0.000001)/1000000000*C555</f>
        <v/>
      </c>
      <c r="G559">
        <f>E559/F559</f>
        <v/>
      </c>
    </row>
    <row r="560">
      <c r="A560" t="n">
        <v>2</v>
      </c>
      <c r="B560" t="n">
        <v>165.54</v>
      </c>
      <c r="C560">
        <f>C556+A560*1024*C554</f>
        <v/>
      </c>
      <c r="D560">
        <f>B560/C560</f>
        <v/>
      </c>
      <c r="E560" t="n">
        <v>0.02</v>
      </c>
      <c r="F560">
        <f>A560*1024/(C560*0.000001)/1000000000*C555</f>
        <v/>
      </c>
      <c r="G560">
        <f>E560/F560</f>
        <v/>
      </c>
    </row>
    <row r="561">
      <c r="A561" t="n">
        <v>4</v>
      </c>
      <c r="B561" t="n">
        <v>174.07</v>
      </c>
      <c r="C561">
        <f>C556+A561*1024*C554</f>
        <v/>
      </c>
      <c r="D561">
        <f>B561/C561</f>
        <v/>
      </c>
      <c r="E561" t="n">
        <v>0.05</v>
      </c>
      <c r="F561">
        <f>A561*1024/(C561*0.000001)/1000000000*C555</f>
        <v/>
      </c>
      <c r="G561">
        <f>E561/F561</f>
        <v/>
      </c>
    </row>
    <row r="562">
      <c r="A562" t="n">
        <v>8</v>
      </c>
      <c r="B562" t="n">
        <v>185.71</v>
      </c>
      <c r="C562">
        <f>C556+A562*1024*C554</f>
        <v/>
      </c>
      <c r="D562">
        <f>B562/C562</f>
        <v/>
      </c>
      <c r="E562" t="n">
        <v>0.09</v>
      </c>
      <c r="F562">
        <f>A562*1024/(C562*0.000001)/1000000000*C555</f>
        <v/>
      </c>
      <c r="G562">
        <f>E562/F562</f>
        <v/>
      </c>
    </row>
    <row r="563">
      <c r="A563" t="n">
        <v>16</v>
      </c>
      <c r="B563" t="n">
        <v>195.36</v>
      </c>
      <c r="C563">
        <f>C556+A563*1024*C554</f>
        <v/>
      </c>
      <c r="D563">
        <f>B563/C563</f>
        <v/>
      </c>
      <c r="E563" t="n">
        <v>0.17</v>
      </c>
      <c r="F563">
        <f>A563*1024/(C563*0.000001)/1000000000*C555</f>
        <v/>
      </c>
      <c r="G563">
        <f>E563/F563</f>
        <v/>
      </c>
    </row>
    <row r="564">
      <c r="A564" t="n">
        <v>32</v>
      </c>
      <c r="B564" t="n">
        <v>196.49</v>
      </c>
      <c r="C564">
        <f>C556+A564*1024*C554</f>
        <v/>
      </c>
      <c r="D564">
        <f>B564/C564</f>
        <v/>
      </c>
      <c r="E564" t="n">
        <v>0.33</v>
      </c>
      <c r="F564">
        <f>A564*1024/(C564*0.000001)/1000000000*C555</f>
        <v/>
      </c>
      <c r="G564">
        <f>E564/F564</f>
        <v/>
      </c>
    </row>
    <row r="565">
      <c r="A565" t="n">
        <v>64</v>
      </c>
      <c r="B565" t="n">
        <v>198.04</v>
      </c>
      <c r="C565">
        <f>C556+A565*1024*C554</f>
        <v/>
      </c>
      <c r="D565">
        <f>B565/C565</f>
        <v/>
      </c>
      <c r="E565" t="n">
        <v>0.66</v>
      </c>
      <c r="F565">
        <f>A565*1024/(C565*0.000001)/1000000000*C555</f>
        <v/>
      </c>
      <c r="G565">
        <f>E565/F565</f>
        <v/>
      </c>
    </row>
    <row r="566">
      <c r="A566" t="n">
        <v>128</v>
      </c>
      <c r="B566" t="n">
        <v>200.5</v>
      </c>
      <c r="C566">
        <f>C556+A566*1024*C554</f>
        <v/>
      </c>
      <c r="D566">
        <f>B566/C566</f>
        <v/>
      </c>
      <c r="E566" t="n">
        <v>1.3</v>
      </c>
      <c r="F566">
        <f>A566*1024/(C566*0.000001)/1000000000*C555</f>
        <v/>
      </c>
      <c r="G566">
        <f>E566/F566</f>
        <v/>
      </c>
    </row>
    <row r="567">
      <c r="A567" t="n">
        <v>256</v>
      </c>
      <c r="B567" t="n">
        <v>200.26</v>
      </c>
      <c r="C567">
        <f>C556+A567*1024*C554</f>
        <v/>
      </c>
      <c r="D567">
        <f>B567/C567</f>
        <v/>
      </c>
      <c r="E567" t="n">
        <v>2.6</v>
      </c>
      <c r="F567">
        <f>A567*1024/(C567*0.000001)/1000000000*C555</f>
        <v/>
      </c>
      <c r="G567">
        <f>E567/F567</f>
        <v/>
      </c>
    </row>
    <row r="568">
      <c r="A568" t="n">
        <v>512</v>
      </c>
      <c r="B568" t="n">
        <v>224.69</v>
      </c>
      <c r="C568">
        <f>C556+A568*1024*C554</f>
        <v/>
      </c>
      <c r="D568">
        <f>B568/C568</f>
        <v/>
      </c>
      <c r="E568" t="n">
        <v>4.63</v>
      </c>
      <c r="F568">
        <f>A568*1024/(C568*0.000001)/1000000000*C555</f>
        <v/>
      </c>
      <c r="G568">
        <f>E568/F568</f>
        <v/>
      </c>
    </row>
    <row r="569">
      <c r="A569" t="n">
        <v>1024</v>
      </c>
      <c r="B569" t="n">
        <v>220.55</v>
      </c>
      <c r="C569">
        <f>C556+A569*1024*C554</f>
        <v/>
      </c>
      <c r="D569">
        <f>B569/C569</f>
        <v/>
      </c>
      <c r="E569" t="n">
        <v>9.43</v>
      </c>
      <c r="F569">
        <f>A569*1024/(C569*0.000001)/1000000000*C555</f>
        <v/>
      </c>
      <c r="G569">
        <f>E569/F569</f>
        <v/>
      </c>
    </row>
    <row r="570">
      <c r="A570" t="n">
        <v>2048</v>
      </c>
      <c r="B570" t="n">
        <v>241.22</v>
      </c>
      <c r="C570">
        <f>C556+A570*1024*C554</f>
        <v/>
      </c>
      <c r="D570">
        <f>B570/C570</f>
        <v/>
      </c>
      <c r="E570" t="n">
        <v>17.25</v>
      </c>
      <c r="F570">
        <f>A570*1024/(C570*0.000001)/1000000000*C555</f>
        <v/>
      </c>
      <c r="G570">
        <f>E570/F570</f>
        <v/>
      </c>
    </row>
    <row r="571">
      <c r="A571" t="n">
        <v>4096</v>
      </c>
      <c r="B571" t="n">
        <v>302.6</v>
      </c>
      <c r="C571">
        <f>C556+A571*1024*C554</f>
        <v/>
      </c>
      <c r="D571">
        <f>B571/C571</f>
        <v/>
      </c>
      <c r="E571" t="n">
        <v>27.51</v>
      </c>
      <c r="F571">
        <f>A571*1024/(C571*0.000001)/1000000000*C555</f>
        <v/>
      </c>
      <c r="G571">
        <f>E571/F571</f>
        <v/>
      </c>
    </row>
    <row r="572">
      <c r="A572" t="n">
        <v>8192</v>
      </c>
      <c r="B572" t="n">
        <v>347.11</v>
      </c>
      <c r="C572">
        <f>C556+A572*1024*C554</f>
        <v/>
      </c>
      <c r="D572">
        <f>B572/C572</f>
        <v/>
      </c>
      <c r="E572" t="n">
        <v>47.96</v>
      </c>
      <c r="F572">
        <f>A572*1024/(C572*0.000001)/1000000000*C555</f>
        <v/>
      </c>
      <c r="G572">
        <f>E572/F572</f>
        <v/>
      </c>
    </row>
    <row r="573">
      <c r="A573" t="n">
        <v>16384</v>
      </c>
      <c r="B573" t="n">
        <v>474.85</v>
      </c>
      <c r="C573">
        <f>C556+A573*1024*C554</f>
        <v/>
      </c>
      <c r="D573">
        <f>B573/C573</f>
        <v/>
      </c>
      <c r="E573" t="n">
        <v>70.11</v>
      </c>
      <c r="F573">
        <f>A573*1024/(C573*0.000001)/1000000000*C555</f>
        <v/>
      </c>
      <c r="G573">
        <f>E573/F573</f>
        <v/>
      </c>
    </row>
    <row r="574">
      <c r="A574" t="n">
        <v>32768</v>
      </c>
      <c r="B574" t="n">
        <v>673.6900000000001</v>
      </c>
      <c r="C574">
        <f>C556+A574*1024*C554</f>
        <v/>
      </c>
      <c r="D574">
        <f>B574/C574</f>
        <v/>
      </c>
      <c r="E574" t="n">
        <v>98.84</v>
      </c>
      <c r="F574">
        <f>A574*1024/(C574*0.000001)/1000000000*C555</f>
        <v/>
      </c>
      <c r="G574">
        <f>E574/F574</f>
        <v/>
      </c>
    </row>
    <row r="575">
      <c r="A575" t="n">
        <v>65536</v>
      </c>
      <c r="B575" t="n">
        <v>1149.72</v>
      </c>
      <c r="C575">
        <f>C556+A575*1024*C554</f>
        <v/>
      </c>
      <c r="D575">
        <f>B575/C575</f>
        <v/>
      </c>
      <c r="E575" t="n">
        <v>115.83</v>
      </c>
      <c r="F575">
        <f>A575*1024/(C575*0.000001)/1000000000*C555</f>
        <v/>
      </c>
      <c r="G575">
        <f>E575/F575</f>
        <v/>
      </c>
    </row>
    <row r="576">
      <c r="A576" t="n">
        <v>131072</v>
      </c>
      <c r="B576" t="n">
        <v>1827.06</v>
      </c>
      <c r="C576">
        <f>C556+A576*1024*C554</f>
        <v/>
      </c>
      <c r="D576">
        <f>B576/C576</f>
        <v/>
      </c>
      <c r="E576" t="n">
        <v>145.77</v>
      </c>
      <c r="F576">
        <f>A576*1024/(C576*0.000001)/1000000000*C555</f>
        <v/>
      </c>
      <c r="G576">
        <f>E576/F576</f>
        <v/>
      </c>
    </row>
    <row r="577">
      <c r="A577" t="n">
        <v>262144</v>
      </c>
      <c r="B577" t="n">
        <v>3287.17</v>
      </c>
      <c r="C577">
        <f>C556+A577*1024*C554</f>
        <v/>
      </c>
      <c r="D577">
        <f>B577/C577</f>
        <v/>
      </c>
      <c r="E577" t="n">
        <v>162.05</v>
      </c>
      <c r="F577">
        <f>A577*1024/(C577*0.000001)/1000000000*C555</f>
        <v/>
      </c>
      <c r="G577">
        <f>E577/F577</f>
        <v/>
      </c>
    </row>
    <row r="578">
      <c r="A578" t="n">
        <v>524288</v>
      </c>
      <c r="B578" t="n">
        <v>6150.34</v>
      </c>
      <c r="C578">
        <f>C556+A578*1024*C554</f>
        <v/>
      </c>
      <c r="D578">
        <f>B578/C578</f>
        <v/>
      </c>
      <c r="E578" t="n">
        <v>173.22</v>
      </c>
      <c r="F578">
        <f>A578*1024/(C578*0.000001)/1000000000*C555</f>
        <v/>
      </c>
      <c r="G578">
        <f>E578/F578</f>
        <v/>
      </c>
    </row>
    <row r="579">
      <c r="A579" t="n">
        <v>1048576</v>
      </c>
      <c r="B579" t="n">
        <v>11707.9</v>
      </c>
      <c r="C579">
        <f>C556+A579*1024*C554</f>
        <v/>
      </c>
      <c r="D579">
        <f>B579/C579</f>
        <v/>
      </c>
      <c r="E579" t="n">
        <v>181.99</v>
      </c>
      <c r="F579">
        <f>A579*1024/(C579*0.000001)/1000000000*C555</f>
        <v/>
      </c>
      <c r="G579">
        <f>E579/F579</f>
        <v/>
      </c>
    </row>
  </sheetData>
  <pageMargins left="0.75" right="0.75" top="1" bottom="1" header="0.5" footer="0.5"/>
  <pageSetup orientation="portrait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2026-06-08T17:11:23Z</dcterms:created>
  <dcterms:modified xmlns:dcterms="http://purl.org/dc/terms/" xmlns:xsi="http://www.w3.org/2001/XMLSchema-instance" xsi:type="dcterms:W3CDTF">2026-07-22T06:18:16Z</dcterms:modified>
  <cp:lastModifiedBy>Dai, Liuyao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0x010100F2412CDD8125FB41A645B36AAD635F00</vt:lpwstr>
  </property>
  <property name="MSIP_Label_19e68092-05df-4271-8e3e-b2a4c82ba797_Enabled" fmtid="{D5CDD505-2E9C-101B-9397-08002B2CF9AE}" pid="3">
    <vt:lpwstr xmlns:vt="http://schemas.openxmlformats.org/officeDocument/2006/docPropsVTypes">true</vt:lpwstr>
  </property>
  <property name="MSIP_Label_19e68092-05df-4271-8e3e-b2a4c82ba797_SetDate" fmtid="{D5CDD505-2E9C-101B-9397-08002B2CF9AE}" pid="4">
    <vt:lpwstr xmlns:vt="http://schemas.openxmlformats.org/officeDocument/2006/docPropsVTypes">2026-06-08T17:11:26Z</vt:lpwstr>
  </property>
  <property name="MSIP_Label_19e68092-05df-4271-8e3e-b2a4c82ba797_Method" fmtid="{D5CDD505-2E9C-101B-9397-08002B2CF9AE}" pid="5">
    <vt:lpwstr xmlns:vt="http://schemas.openxmlformats.org/officeDocument/2006/docPropsVTypes">Standard</vt:lpwstr>
  </property>
  <property name="MSIP_Label_19e68092-05df-4271-8e3e-b2a4c82ba797_Name" fmtid="{D5CDD505-2E9C-101B-9397-08002B2CF9AE}" pid="6">
    <vt:lpwstr xmlns:vt="http://schemas.openxmlformats.org/officeDocument/2006/docPropsVTypes">Amazon Confidential</vt:lpwstr>
  </property>
  <property name="MSIP_Label_19e68092-05df-4271-8e3e-b2a4c82ba797_SiteId" fmtid="{D5CDD505-2E9C-101B-9397-08002B2CF9AE}" pid="7">
    <vt:lpwstr xmlns:vt="http://schemas.openxmlformats.org/officeDocument/2006/docPropsVTypes">5280104a-472d-4538-9ccf-1e1d0efe8b1b</vt:lpwstr>
  </property>
  <property name="MSIP_Label_19e68092-05df-4271-8e3e-b2a4c82ba797_ActionId" fmtid="{D5CDD505-2E9C-101B-9397-08002B2CF9AE}" pid="8">
    <vt:lpwstr xmlns:vt="http://schemas.openxmlformats.org/officeDocument/2006/docPropsVTypes">d00275ec-f3be-42c4-b9b8-9eea1fecd649</vt:lpwstr>
  </property>
  <property name="MSIP_Label_19e68092-05df-4271-8e3e-b2a4c82ba797_ContentBits" fmtid="{D5CDD505-2E9C-101B-9397-08002B2CF9AE}" pid="9">
    <vt:lpwstr xmlns:vt="http://schemas.openxmlformats.org/officeDocument/2006/docPropsVTypes">0</vt:lpwstr>
  </property>
  <property name="MSIP_Label_19e68092-05df-4271-8e3e-b2a4c82ba797_Tag" fmtid="{D5CDD505-2E9C-101B-9397-08002B2CF9AE}" pid="10">
    <vt:lpwstr xmlns:vt="http://schemas.openxmlformats.org/officeDocument/2006/docPropsVTypes">10, 3, 0, 2</vt:lpwstr>
  </property>
</Properties>
</file>