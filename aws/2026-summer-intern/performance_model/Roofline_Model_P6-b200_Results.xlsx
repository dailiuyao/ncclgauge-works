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uyaod/summer_2026_lyd/roofline_model/"/>
    </mc:Choice>
  </mc:AlternateContent>
  <xr:revisionPtr revIDLastSave="0" documentId="13_ncr:1_{8D7AA517-0D92-B848-AD95-357F1CD6C441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AR, Ring, 0x0, 16nodes" sheetId="1" r:id="rId1"/>
    <sheet name="AR, Tree, 0x0, 16nodes" sheetId="2" r:id="rId2"/>
    <sheet name="AG. Ring, 0x7, 16nod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3" l="1"/>
  <c r="F61" i="3" s="1"/>
  <c r="F58" i="3"/>
  <c r="H58" i="3" s="1"/>
  <c r="E58" i="3"/>
  <c r="C53" i="3"/>
  <c r="E62" i="3" s="1"/>
  <c r="F62" i="3" s="1"/>
  <c r="C52" i="3"/>
  <c r="E60" i="3" s="1"/>
  <c r="F60" i="3" s="1"/>
  <c r="C50" i="3"/>
  <c r="F43" i="3"/>
  <c r="E43" i="3"/>
  <c r="E41" i="3"/>
  <c r="F41" i="3" s="1"/>
  <c r="G41" i="3" s="1"/>
  <c r="E40" i="3"/>
  <c r="F40" i="3" s="1"/>
  <c r="G40" i="3" s="1"/>
  <c r="F39" i="3"/>
  <c r="G39" i="3" s="1"/>
  <c r="E39" i="3"/>
  <c r="C35" i="3"/>
  <c r="E42" i="3" s="1"/>
  <c r="F42" i="3" s="1"/>
  <c r="C34" i="3"/>
  <c r="C32" i="3"/>
  <c r="E25" i="3"/>
  <c r="F25" i="3" s="1"/>
  <c r="H24" i="3"/>
  <c r="E22" i="3"/>
  <c r="F22" i="3" s="1"/>
  <c r="E19" i="3"/>
  <c r="F19" i="3" s="1"/>
  <c r="E16" i="3"/>
  <c r="F16" i="3" s="1"/>
  <c r="E13" i="3"/>
  <c r="F13" i="3" s="1"/>
  <c r="C8" i="3"/>
  <c r="E24" i="3" s="1"/>
  <c r="F24" i="3" s="1"/>
  <c r="G24" i="3" s="1"/>
  <c r="C7" i="3"/>
  <c r="C6" i="3"/>
  <c r="H71" i="2"/>
  <c r="G71" i="2"/>
  <c r="E69" i="2"/>
  <c r="F69" i="2" s="1"/>
  <c r="E66" i="2"/>
  <c r="F66" i="2" s="1"/>
  <c r="C62" i="2"/>
  <c r="E71" i="2" s="1"/>
  <c r="F71" i="2" s="1"/>
  <c r="C61" i="2"/>
  <c r="E51" i="2"/>
  <c r="F51" i="2" s="1"/>
  <c r="E50" i="2"/>
  <c r="F50" i="2" s="1"/>
  <c r="E47" i="2"/>
  <c r="F47" i="2" s="1"/>
  <c r="G47" i="2" s="1"/>
  <c r="F46" i="2"/>
  <c r="G46" i="2" s="1"/>
  <c r="E46" i="2"/>
  <c r="E43" i="2"/>
  <c r="F43" i="2" s="1"/>
  <c r="G43" i="2" s="1"/>
  <c r="E42" i="2"/>
  <c r="F42" i="2" s="1"/>
  <c r="G42" i="2" s="1"/>
  <c r="C38" i="2"/>
  <c r="E49" i="2" s="1"/>
  <c r="F49" i="2" s="1"/>
  <c r="G49" i="2" s="1"/>
  <c r="C37" i="2"/>
  <c r="E26" i="2"/>
  <c r="F26" i="2" s="1"/>
  <c r="H26" i="2" s="1"/>
  <c r="E22" i="2"/>
  <c r="F22" i="2" s="1"/>
  <c r="H22" i="2" s="1"/>
  <c r="E19" i="2"/>
  <c r="F19" i="2" s="1"/>
  <c r="C10" i="2"/>
  <c r="C9" i="2"/>
  <c r="E71" i="1"/>
  <c r="F71" i="1" s="1"/>
  <c r="F70" i="1"/>
  <c r="H70" i="1" s="1"/>
  <c r="E70" i="1"/>
  <c r="E68" i="1"/>
  <c r="F68" i="1" s="1"/>
  <c r="G67" i="1"/>
  <c r="F67" i="1"/>
  <c r="H67" i="1" s="1"/>
  <c r="E67" i="1"/>
  <c r="C63" i="1"/>
  <c r="E72" i="1" s="1"/>
  <c r="F72" i="1" s="1"/>
  <c r="C60" i="1"/>
  <c r="E51" i="1"/>
  <c r="F51" i="1" s="1"/>
  <c r="E48" i="1"/>
  <c r="F48" i="1" s="1"/>
  <c r="G48" i="1" s="1"/>
  <c r="E47" i="1"/>
  <c r="F47" i="1" s="1"/>
  <c r="G47" i="1" s="1"/>
  <c r="E44" i="1"/>
  <c r="F44" i="1" s="1"/>
  <c r="G44" i="1" s="1"/>
  <c r="E43" i="1"/>
  <c r="F43" i="1" s="1"/>
  <c r="G43" i="1" s="1"/>
  <c r="C38" i="1"/>
  <c r="E50" i="1" s="1"/>
  <c r="F50" i="1" s="1"/>
  <c r="G50" i="1" s="1"/>
  <c r="C35" i="1"/>
  <c r="E23" i="1"/>
  <c r="F23" i="1" s="1"/>
  <c r="E20" i="1"/>
  <c r="F20" i="1" s="1"/>
  <c r="F17" i="1"/>
  <c r="H17" i="1" s="1"/>
  <c r="E17" i="1"/>
  <c r="C9" i="1"/>
  <c r="C8" i="1"/>
  <c r="E26" i="1" s="1"/>
  <c r="F26" i="1" s="1"/>
  <c r="H50" i="2" l="1"/>
  <c r="G50" i="2"/>
  <c r="H60" i="3"/>
  <c r="G60" i="3"/>
  <c r="H20" i="1"/>
  <c r="G20" i="1"/>
  <c r="G26" i="1"/>
  <c r="H26" i="1"/>
  <c r="H23" i="1"/>
  <c r="G23" i="1"/>
  <c r="H25" i="3"/>
  <c r="G25" i="3"/>
  <c r="H69" i="2"/>
  <c r="G69" i="2"/>
  <c r="H19" i="2"/>
  <c r="G19" i="2"/>
  <c r="H22" i="3"/>
  <c r="G22" i="3"/>
  <c r="H43" i="3"/>
  <c r="G43" i="3"/>
  <c r="G17" i="1"/>
  <c r="H68" i="1"/>
  <c r="G68" i="1"/>
  <c r="G71" i="1"/>
  <c r="H71" i="1"/>
  <c r="H13" i="3"/>
  <c r="G13" i="3"/>
  <c r="E22" i="1"/>
  <c r="F22" i="1" s="1"/>
  <c r="E14" i="1"/>
  <c r="F14" i="1" s="1"/>
  <c r="H16" i="3"/>
  <c r="G16" i="3"/>
  <c r="H51" i="1"/>
  <c r="G51" i="1"/>
  <c r="H72" i="1"/>
  <c r="G72" i="1"/>
  <c r="H51" i="2"/>
  <c r="G51" i="2"/>
  <c r="H62" i="3"/>
  <c r="G62" i="3"/>
  <c r="G70" i="1"/>
  <c r="G42" i="3"/>
  <c r="H42" i="3"/>
  <c r="H50" i="1"/>
  <c r="E25" i="2"/>
  <c r="F25" i="2" s="1"/>
  <c r="H25" i="2" s="1"/>
  <c r="E21" i="2"/>
  <c r="F21" i="2" s="1"/>
  <c r="E18" i="2"/>
  <c r="F18" i="2" s="1"/>
  <c r="E15" i="2"/>
  <c r="F15" i="2" s="1"/>
  <c r="E17" i="2"/>
  <c r="F17" i="2" s="1"/>
  <c r="E27" i="2"/>
  <c r="F27" i="2" s="1"/>
  <c r="H27" i="2" s="1"/>
  <c r="E23" i="2"/>
  <c r="F23" i="2" s="1"/>
  <c r="H23" i="2" s="1"/>
  <c r="E24" i="2"/>
  <c r="F24" i="2" s="1"/>
  <c r="H24" i="2" s="1"/>
  <c r="E20" i="2"/>
  <c r="F20" i="2" s="1"/>
  <c r="E14" i="2"/>
  <c r="F14" i="2" s="1"/>
  <c r="E13" i="2"/>
  <c r="F13" i="2" s="1"/>
  <c r="H66" i="2"/>
  <c r="G66" i="2"/>
  <c r="E16" i="2"/>
  <c r="F16" i="2" s="1"/>
  <c r="H19" i="3"/>
  <c r="G19" i="3"/>
  <c r="G61" i="3"/>
  <c r="H61" i="3"/>
  <c r="E12" i="1"/>
  <c r="F12" i="1" s="1"/>
  <c r="E18" i="1"/>
  <c r="F18" i="1" s="1"/>
  <c r="E24" i="1"/>
  <c r="F24" i="1" s="1"/>
  <c r="E57" i="3"/>
  <c r="F57" i="3" s="1"/>
  <c r="G58" i="3"/>
  <c r="E49" i="1"/>
  <c r="F49" i="1" s="1"/>
  <c r="G49" i="1" s="1"/>
  <c r="E44" i="2"/>
  <c r="F44" i="2" s="1"/>
  <c r="G44" i="2" s="1"/>
  <c r="E48" i="2"/>
  <c r="F48" i="2" s="1"/>
  <c r="G48" i="2" s="1"/>
  <c r="E67" i="2"/>
  <c r="F67" i="2" s="1"/>
  <c r="E70" i="2"/>
  <c r="F70" i="2" s="1"/>
  <c r="E41" i="1"/>
  <c r="F41" i="1" s="1"/>
  <c r="G41" i="1" s="1"/>
  <c r="E66" i="1"/>
  <c r="F66" i="1" s="1"/>
  <c r="E69" i="1"/>
  <c r="F69" i="1" s="1"/>
  <c r="E56" i="3"/>
  <c r="F56" i="3" s="1"/>
  <c r="E59" i="3"/>
  <c r="F59" i="3" s="1"/>
  <c r="E15" i="1"/>
  <c r="F15" i="1" s="1"/>
  <c r="E21" i="1"/>
  <c r="F21" i="1" s="1"/>
  <c r="E11" i="3"/>
  <c r="F11" i="3" s="1"/>
  <c r="E14" i="3"/>
  <c r="F14" i="3" s="1"/>
  <c r="E17" i="3"/>
  <c r="F17" i="3" s="1"/>
  <c r="E20" i="3"/>
  <c r="F20" i="3" s="1"/>
  <c r="E23" i="3"/>
  <c r="F23" i="3" s="1"/>
  <c r="E45" i="1"/>
  <c r="F45" i="1" s="1"/>
  <c r="G45" i="1" s="1"/>
  <c r="E16" i="1"/>
  <c r="F16" i="1" s="1"/>
  <c r="E25" i="1"/>
  <c r="F25" i="1" s="1"/>
  <c r="E38" i="3"/>
  <c r="F38" i="3" s="1"/>
  <c r="G38" i="3" s="1"/>
  <c r="E19" i="1"/>
  <c r="F19" i="1" s="1"/>
  <c r="E12" i="3"/>
  <c r="F12" i="3" s="1"/>
  <c r="E15" i="3"/>
  <c r="F15" i="3" s="1"/>
  <c r="E18" i="3"/>
  <c r="F18" i="3" s="1"/>
  <c r="E21" i="3"/>
  <c r="F21" i="3" s="1"/>
  <c r="E13" i="1"/>
  <c r="F13" i="1" s="1"/>
  <c r="E42" i="1"/>
  <c r="F42" i="1" s="1"/>
  <c r="G42" i="1" s="1"/>
  <c r="E46" i="1"/>
  <c r="F46" i="1" s="1"/>
  <c r="G46" i="1" s="1"/>
  <c r="E41" i="2"/>
  <c r="F41" i="2" s="1"/>
  <c r="G41" i="2" s="1"/>
  <c r="E45" i="2"/>
  <c r="F45" i="2" s="1"/>
  <c r="G45" i="2" s="1"/>
  <c r="E65" i="2"/>
  <c r="F65" i="2" s="1"/>
  <c r="E68" i="2"/>
  <c r="F68" i="2" s="1"/>
  <c r="H18" i="1" l="1"/>
  <c r="G18" i="1"/>
  <c r="H66" i="1"/>
  <c r="G66" i="1"/>
  <c r="H17" i="2"/>
  <c r="G17" i="2"/>
  <c r="H59" i="3"/>
  <c r="G59" i="3"/>
  <c r="H20" i="2"/>
  <c r="G20" i="2"/>
  <c r="G22" i="1"/>
  <c r="H22" i="1"/>
  <c r="H56" i="3"/>
  <c r="G56" i="3"/>
  <c r="G16" i="1"/>
  <c r="H16" i="1"/>
  <c r="H23" i="3"/>
  <c r="G23" i="3"/>
  <c r="H70" i="2"/>
  <c r="G70" i="2"/>
  <c r="G15" i="2"/>
  <c r="H15" i="2"/>
  <c r="H20" i="3"/>
  <c r="G20" i="3"/>
  <c r="H67" i="2"/>
  <c r="G67" i="2"/>
  <c r="G18" i="2"/>
  <c r="H18" i="2"/>
  <c r="G13" i="1"/>
  <c r="H13" i="1"/>
  <c r="H17" i="3"/>
  <c r="G17" i="3"/>
  <c r="H16" i="2"/>
  <c r="G16" i="2"/>
  <c r="G21" i="2"/>
  <c r="H21" i="2"/>
  <c r="G21" i="3"/>
  <c r="H21" i="3"/>
  <c r="H14" i="3"/>
  <c r="G14" i="3"/>
  <c r="H11" i="3"/>
  <c r="G11" i="3"/>
  <c r="H13" i="2"/>
  <c r="G13" i="2"/>
  <c r="G15" i="3"/>
  <c r="H15" i="3"/>
  <c r="G21" i="1"/>
  <c r="H21" i="1"/>
  <c r="G12" i="3"/>
  <c r="H12" i="3"/>
  <c r="G15" i="1"/>
  <c r="H15" i="1"/>
  <c r="H57" i="3"/>
  <c r="G57" i="3"/>
  <c r="H14" i="2"/>
  <c r="G14" i="2"/>
  <c r="H14" i="1"/>
  <c r="G14" i="1"/>
  <c r="G18" i="3"/>
  <c r="H18" i="3"/>
  <c r="G19" i="1"/>
  <c r="H19" i="1"/>
  <c r="G24" i="1"/>
  <c r="H24" i="1"/>
  <c r="H68" i="2"/>
  <c r="G68" i="2"/>
  <c r="H65" i="2"/>
  <c r="G65" i="2"/>
  <c r="G25" i="1"/>
  <c r="H25" i="1"/>
  <c r="H69" i="1"/>
  <c r="G69" i="1"/>
  <c r="H12" i="1"/>
  <c r="G12" i="1"/>
</calcChain>
</file>

<file path=xl/sharedStrings.xml><?xml version="1.0" encoding="utf-8"?>
<sst xmlns="http://schemas.openxmlformats.org/spreadsheetml/2006/main" count="245" uniqueCount="48">
  <si>
    <t>N=16, Ring, Simple</t>
  </si>
  <si>
    <t>Parameter</t>
  </si>
  <si>
    <t>Formula</t>
  </si>
  <si>
    <t>Value</t>
  </si>
  <si>
    <t>N</t>
  </si>
  <si>
    <t>nodes</t>
  </si>
  <si>
    <t>n</t>
  </si>
  <si>
    <t>GPUs/node</t>
  </si>
  <si>
    <t>n_total</t>
  </si>
  <si>
    <t>N*n</t>
  </si>
  <si>
    <t>a</t>
  </si>
  <si>
    <t>RTT (us)</t>
  </si>
  <si>
    <t>NIC_BW</t>
  </si>
  <si>
    <t>bytes/us</t>
  </si>
  <si>
    <t>busbw_factor</t>
  </si>
  <si>
    <t>2*(n_total-1)/n_total</t>
  </si>
  <si>
    <t>threshold</t>
  </si>
  <si>
    <t>size_KB</t>
  </si>
  <si>
    <t>nch</t>
  </si>
  <si>
    <t>AWS busBW (GB/s)</t>
  </si>
  <si>
    <t>GCP busBW (GB/s)</t>
  </si>
  <si>
    <t>Roofline Time (us)</t>
  </si>
  <si>
    <t>Roofline busBW (GB/s)</t>
  </si>
  <si>
    <t>AWS/Roofline</t>
  </si>
  <si>
    <t>GCP/Roofline</t>
  </si>
  <si>
    <t>N=16, Ring, LL</t>
  </si>
  <si>
    <t>intra_node_latency</t>
  </si>
  <si>
    <t>us</t>
  </si>
  <si>
    <t>chunk_size</t>
  </si>
  <si>
    <t>bytes</t>
  </si>
  <si>
    <t>fixed_per_step</t>
  </si>
  <si>
    <t>(2*N-1)*(a/2+intra)</t>
  </si>
  <si>
    <t>N=16, Ring, LL128</t>
  </si>
  <si>
    <t>N=16, Tree, Simple</t>
  </si>
  <si>
    <t>fixed_overhead</t>
  </si>
  <si>
    <t>(2*LOG2(N)+1)*a/2+2*intra</t>
  </si>
  <si>
    <t>N=16, Tree, LL</t>
  </si>
  <si>
    <t>N=16, Tree, LL128</t>
  </si>
  <si>
    <t>N=16, AG Ring, Simple</t>
  </si>
  <si>
    <t>nodes on ring</t>
  </si>
  <si>
    <t>(n-1)/n</t>
  </si>
  <si>
    <t>G</t>
  </si>
  <si>
    <t>(n-1)/(n*NIC_BW)</t>
  </si>
  <si>
    <t>(n-1)*a/2</t>
  </si>
  <si>
    <t>N=16, AG Ring, LL</t>
  </si>
  <si>
    <t>2*(n-1)/(n*NIC_BW)</t>
  </si>
  <si>
    <t>N=16, AG Ring, LL128</t>
  </si>
  <si>
    <t>(16/15)*(n-1)/(n*NIC_BW)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</si>
</sst>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Ring, Simple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'AR, Ring, 0x0, 16nodes'!$C$11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Ring, 0x0, 16nodes'!$A$12:$A$26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'AR, Ring, 0x0, 16nodes'!$C$12:$C$26</c:f>
              <c:numCache>
                <c:formatCode>General</c:formatCode>
                <c:ptCount val="15"/>
                <c:pt idx="0">
                  <c:v>0.25</c:v>
                </c:pt>
                <c:pt idx="1">
                  <c:v>0.49</c:v>
                </c:pt>
                <c:pt idx="2">
                  <c:v>1</c:v>
                </c:pt>
                <c:pt idx="3">
                  <c:v>1.98</c:v>
                </c:pt>
                <c:pt idx="4">
                  <c:v>3.91</c:v>
                </c:pt>
                <c:pt idx="5">
                  <c:v>7.33</c:v>
                </c:pt>
                <c:pt idx="6">
                  <c:v>12.65</c:v>
                </c:pt>
                <c:pt idx="7">
                  <c:v>23.27</c:v>
                </c:pt>
                <c:pt idx="8">
                  <c:v>44.12</c:v>
                </c:pt>
                <c:pt idx="9">
                  <c:v>82.51</c:v>
                </c:pt>
                <c:pt idx="10">
                  <c:v>139.69</c:v>
                </c:pt>
                <c:pt idx="11">
                  <c:v>220.31</c:v>
                </c:pt>
                <c:pt idx="12">
                  <c:v>322.64</c:v>
                </c:pt>
                <c:pt idx="13">
                  <c:v>379.23</c:v>
                </c:pt>
                <c:pt idx="14">
                  <c:v>377.61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18-F847-9916-918B4D882599}"/>
            </c:ext>
          </c:extLst>
        </c:ser>
        <c:ser>
          <c:idx val="1"/>
          <c:order val="1"/>
          <c:tx>
            <c:strRef>
              <c:f>'AR, Ring, 0x0, 16nodes'!$D$11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Ring, 0x0, 16nodes'!$A$12:$A$26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'AR, Ring, 0x0, 16nodes'!$D$12:$D$26</c:f>
              <c:numCache>
                <c:formatCode>General</c:formatCode>
                <c:ptCount val="15"/>
                <c:pt idx="0">
                  <c:v>2.59</c:v>
                </c:pt>
                <c:pt idx="1">
                  <c:v>5.31</c:v>
                </c:pt>
                <c:pt idx="2">
                  <c:v>10.58</c:v>
                </c:pt>
                <c:pt idx="3">
                  <c:v>14.17</c:v>
                </c:pt>
                <c:pt idx="4">
                  <c:v>36.229999999999997</c:v>
                </c:pt>
                <c:pt idx="5">
                  <c:v>59.21</c:v>
                </c:pt>
                <c:pt idx="6">
                  <c:v>95.75</c:v>
                </c:pt>
                <c:pt idx="7">
                  <c:v>140.53</c:v>
                </c:pt>
                <c:pt idx="8">
                  <c:v>182.21</c:v>
                </c:pt>
                <c:pt idx="9">
                  <c:v>218.67</c:v>
                </c:pt>
                <c:pt idx="10">
                  <c:v>216.67</c:v>
                </c:pt>
                <c:pt idx="11">
                  <c:v>233.52</c:v>
                </c:pt>
                <c:pt idx="12">
                  <c:v>249.81</c:v>
                </c:pt>
                <c:pt idx="13">
                  <c:v>365.11</c:v>
                </c:pt>
                <c:pt idx="14">
                  <c:v>360.05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918-F847-9916-918B4D882599}"/>
            </c:ext>
          </c:extLst>
        </c:ser>
        <c:ser>
          <c:idx val="2"/>
          <c:order val="2"/>
          <c:tx>
            <c:strRef>
              <c:f>'AR, Ring, 0x0, 16nodes'!$F$11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'AR, Ring, 0x0, 16nodes'!$A$12:$A$26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'AR, Ring, 0x0, 16nodes'!$F$12:$F$26</c:f>
              <c:numCache>
                <c:formatCode>General</c:formatCode>
                <c:ptCount val="15"/>
                <c:pt idx="0">
                  <c:v>0.32716810800907165</c:v>
                </c:pt>
                <c:pt idx="1">
                  <c:v>0.65378775831576463</c:v>
                </c:pt>
                <c:pt idx="2">
                  <c:v>1.3053871931270966</c:v>
                </c:pt>
                <c:pt idx="3">
                  <c:v>2.6020648934654362</c:v>
                </c:pt>
                <c:pt idx="4">
                  <c:v>5.1696381613626645</c:v>
                </c:pt>
                <c:pt idx="5">
                  <c:v>10.204017152290254</c:v>
                </c:pt>
                <c:pt idx="6">
                  <c:v>19.887689872332537</c:v>
                </c:pt>
                <c:pt idx="7">
                  <c:v>37.845484223375962</c:v>
                </c:pt>
                <c:pt idx="8">
                  <c:v>68.995650959871483</c:v>
                </c:pt>
                <c:pt idx="9">
                  <c:v>117.24862236963715</c:v>
                </c:pt>
                <c:pt idx="10">
                  <c:v>180.29408344390453</c:v>
                </c:pt>
                <c:pt idx="11">
                  <c:v>246.59099431123269</c:v>
                </c:pt>
                <c:pt idx="12">
                  <c:v>376.68417419990283</c:v>
                </c:pt>
                <c:pt idx="13">
                  <c:v>383.2264519905379</c:v>
                </c:pt>
                <c:pt idx="14">
                  <c:v>386.58355748579254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918-F847-9916-918B4D882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17992592592592593"/>
          <c:y val="0.17134074074074071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Ring, LL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'AR, Ring, 0x0, 16nodes'!$C$40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Ring, 0x0, 16nodes'!$A$41:$A$51</c:f>
              <c:numCache>
                <c:formatCode>General</c:formatCode>
                <c:ptCount val="11"/>
                <c:pt idx="0">
                  <c:v>7.8125E-3</c:v>
                </c:pt>
                <c:pt idx="1">
                  <c:v>1.5625E-2</c:v>
                </c:pt>
                <c:pt idx="2">
                  <c:v>3.125E-2</c:v>
                </c:pt>
                <c:pt idx="3">
                  <c:v>6.25E-2</c:v>
                </c:pt>
                <c:pt idx="4">
                  <c:v>0.125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</c:numCache>
            </c:numRef>
          </c:cat>
          <c:val>
            <c:numRef>
              <c:f>'AR, Ring, 0x0, 16nodes'!$C$41:$C$51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0.01</c:v>
                </c:pt>
                <c:pt idx="10">
                  <c:v>0.02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AC-234E-95D4-0551BA2B5809}"/>
            </c:ext>
          </c:extLst>
        </c:ser>
        <c:ser>
          <c:idx val="1"/>
          <c:order val="1"/>
          <c:tx>
            <c:strRef>
              <c:f>'AR, Ring, 0x0, 16nodes'!$D$40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Ring, 0x0, 16nodes'!$A$41:$A$51</c:f>
              <c:numCache>
                <c:formatCode>General</c:formatCode>
                <c:ptCount val="11"/>
                <c:pt idx="0">
                  <c:v>7.8125E-3</c:v>
                </c:pt>
                <c:pt idx="1">
                  <c:v>1.5625E-2</c:v>
                </c:pt>
                <c:pt idx="2">
                  <c:v>3.125E-2</c:v>
                </c:pt>
                <c:pt idx="3">
                  <c:v>6.25E-2</c:v>
                </c:pt>
                <c:pt idx="4">
                  <c:v>0.125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</c:numCache>
            </c:numRef>
          </c:cat>
          <c:val>
            <c:numRef>
              <c:f>'AR, Ring, 0x0, 16nodes'!$D$41:$D$51</c:f>
              <c:numCache>
                <c:formatCode>General</c:formatCode>
                <c:ptCount val="11"/>
                <c:pt idx="9">
                  <c:v>0.06</c:v>
                </c:pt>
                <c:pt idx="10">
                  <c:v>0.13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AC-234E-95D4-0551BA2B5809}"/>
            </c:ext>
          </c:extLst>
        </c:ser>
        <c:ser>
          <c:idx val="2"/>
          <c:order val="2"/>
          <c:tx>
            <c:strRef>
              <c:f>'AR, Ring, 0x0, 16nodes'!$F$40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'AR, Ring, 0x0, 16nodes'!$A$41:$A$51</c:f>
              <c:numCache>
                <c:formatCode>General</c:formatCode>
                <c:ptCount val="11"/>
                <c:pt idx="0">
                  <c:v>7.8125E-3</c:v>
                </c:pt>
                <c:pt idx="1">
                  <c:v>1.5625E-2</c:v>
                </c:pt>
                <c:pt idx="2">
                  <c:v>3.125E-2</c:v>
                </c:pt>
                <c:pt idx="3">
                  <c:v>6.25E-2</c:v>
                </c:pt>
                <c:pt idx="4">
                  <c:v>0.125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</c:numCache>
            </c:numRef>
          </c:cat>
          <c:val>
            <c:numRef>
              <c:f>'AR, Ring, 0x0, 16nodes'!$F$41:$F$51</c:f>
              <c:numCache>
                <c:formatCode>General</c:formatCode>
                <c:ptCount val="11"/>
                <c:pt idx="0">
                  <c:v>2.4549197432264776E-5</c:v>
                </c:pt>
                <c:pt idx="1">
                  <c:v>4.90983454152998E-5</c:v>
                </c:pt>
                <c:pt idx="2">
                  <c:v>9.8196493034278246E-5</c:v>
                </c:pt>
                <c:pt idx="3">
                  <c:v>1.9639219488805194E-4</c:v>
                </c:pt>
                <c:pt idx="4">
                  <c:v>3.9278122509233342E-4</c:v>
                </c:pt>
                <c:pt idx="5">
                  <c:v>7.8554979175555573E-4</c:v>
                </c:pt>
                <c:pt idx="6">
                  <c:v>1.5710489522423004E-3</c:v>
                </c:pt>
                <c:pt idx="7">
                  <c:v>3.1418953989882058E-3</c:v>
                </c:pt>
                <c:pt idx="8">
                  <c:v>6.2829809325862986E-3</c:v>
                </c:pt>
                <c:pt idx="9">
                  <c:v>1.2562723655810921E-2</c:v>
                </c:pt>
                <c:pt idx="10">
                  <c:v>2.5112504482734787E-2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3AC-234E-95D4-0551BA2B5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21049999999999999"/>
          <c:y val="0.15252592592592593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Ring, LL128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'AR, Ring, 0x0, 16nodes'!$C$65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Ring, 0x0, 16nodes'!$A$66:$A$72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'AR, Ring, 0x0, 16nodes'!$C$66:$C$72</c:f>
              <c:numCache>
                <c:formatCode>General</c:formatCode>
                <c:ptCount val="7"/>
                <c:pt idx="0">
                  <c:v>0.02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0.13</c:v>
                </c:pt>
                <c:pt idx="4">
                  <c:v>0.26</c:v>
                </c:pt>
                <c:pt idx="5">
                  <c:v>0.44</c:v>
                </c:pt>
                <c:pt idx="6">
                  <c:v>0.9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60-3C4A-A362-4234142D4725}"/>
            </c:ext>
          </c:extLst>
        </c:ser>
        <c:ser>
          <c:idx val="1"/>
          <c:order val="1"/>
          <c:tx>
            <c:strRef>
              <c:f>'AR, Ring, 0x0, 16nodes'!$D$65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Ring, 0x0, 16nodes'!$A$66:$A$72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'AR, Ring, 0x0, 16nodes'!$D$66:$D$72</c:f>
              <c:numCache>
                <c:formatCode>General</c:formatCode>
                <c:ptCount val="7"/>
                <c:pt idx="0">
                  <c:v>0.1</c:v>
                </c:pt>
                <c:pt idx="1">
                  <c:v>0.19</c:v>
                </c:pt>
                <c:pt idx="2">
                  <c:v>0.39</c:v>
                </c:pt>
                <c:pt idx="3">
                  <c:v>0.76</c:v>
                </c:pt>
                <c:pt idx="4">
                  <c:v>1.48</c:v>
                </c:pt>
                <c:pt idx="5">
                  <c:v>2.74</c:v>
                </c:pt>
                <c:pt idx="6">
                  <c:v>5.55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60-3C4A-A362-4234142D4725}"/>
            </c:ext>
          </c:extLst>
        </c:ser>
        <c:ser>
          <c:idx val="2"/>
          <c:order val="2"/>
          <c:tx>
            <c:strRef>
              <c:f>'AR, Ring, 0x0, 16nodes'!$F$65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'AR, Ring, 0x0, 16nodes'!$A$66:$A$72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'AR, Ring, 0x0, 16nodes'!$F$66:$F$72</c:f>
              <c:numCache>
                <c:formatCode>General</c:formatCode>
                <c:ptCount val="7"/>
                <c:pt idx="0">
                  <c:v>2.5124584041314076E-2</c:v>
                </c:pt>
                <c:pt idx="1">
                  <c:v>5.0221559559275909E-2</c:v>
                </c:pt>
                <c:pt idx="2">
                  <c:v>0.10044311911855182</c:v>
                </c:pt>
                <c:pt idx="3">
                  <c:v>0.20088623823710364</c:v>
                </c:pt>
                <c:pt idx="4">
                  <c:v>0.40177247647420727</c:v>
                </c:pt>
                <c:pt idx="5">
                  <c:v>0.8026629348284825</c:v>
                </c:pt>
                <c:pt idx="6">
                  <c:v>1.6018093895867249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60-3C4A-A362-4234142D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17051851851851851"/>
          <c:y val="0.18074814814814816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Tree, Simple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'AR, Tree, 0x0, 16nodes'!$C$12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Tree, 0x0, 16nodes'!$A$13:$A$27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'AR, Tree, 0x0, 16nodes'!$C$13:$C$27</c:f>
              <c:numCache>
                <c:formatCode>General</c:formatCode>
                <c:ptCount val="15"/>
                <c:pt idx="0">
                  <c:v>4.7300000000000004</c:v>
                </c:pt>
                <c:pt idx="1">
                  <c:v>8.94</c:v>
                </c:pt>
                <c:pt idx="2">
                  <c:v>16.100000000000001</c:v>
                </c:pt>
                <c:pt idx="3">
                  <c:v>26.13</c:v>
                </c:pt>
                <c:pt idx="4">
                  <c:v>41.91</c:v>
                </c:pt>
                <c:pt idx="5">
                  <c:v>66.28</c:v>
                </c:pt>
                <c:pt idx="6">
                  <c:v>88.57</c:v>
                </c:pt>
                <c:pt idx="7">
                  <c:v>105.47</c:v>
                </c:pt>
                <c:pt idx="8">
                  <c:v>128.81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3B-BC4F-A82A-CC33195DB20E}"/>
            </c:ext>
          </c:extLst>
        </c:ser>
        <c:ser>
          <c:idx val="1"/>
          <c:order val="1"/>
          <c:tx>
            <c:strRef>
              <c:f>'AR, Tree, 0x0, 16nodes'!$D$12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Tree, 0x0, 16nodes'!$A$13:$A$27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'AR, Tree, 0x0, 16nodes'!$D$13:$D$27</c:f>
              <c:numCache>
                <c:formatCode>General</c:formatCode>
                <c:ptCount val="15"/>
                <c:pt idx="0">
                  <c:v>5.59</c:v>
                </c:pt>
                <c:pt idx="1">
                  <c:v>10.71</c:v>
                </c:pt>
                <c:pt idx="2">
                  <c:v>19.63</c:v>
                </c:pt>
                <c:pt idx="3">
                  <c:v>28.4</c:v>
                </c:pt>
                <c:pt idx="4">
                  <c:v>47.8</c:v>
                </c:pt>
                <c:pt idx="5">
                  <c:v>85.06</c:v>
                </c:pt>
                <c:pt idx="6">
                  <c:v>139.41999999999999</c:v>
                </c:pt>
                <c:pt idx="7">
                  <c:v>170.86</c:v>
                </c:pt>
                <c:pt idx="8">
                  <c:v>218.01</c:v>
                </c:pt>
                <c:pt idx="9">
                  <c:v>262.25</c:v>
                </c:pt>
                <c:pt idx="10">
                  <c:v>257.94</c:v>
                </c:pt>
                <c:pt idx="11">
                  <c:v>271.08999999999997</c:v>
                </c:pt>
                <c:pt idx="12">
                  <c:v>336.94</c:v>
                </c:pt>
                <c:pt idx="13">
                  <c:v>343.36</c:v>
                </c:pt>
                <c:pt idx="14">
                  <c:v>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3B-BC4F-A82A-CC33195DB20E}"/>
            </c:ext>
          </c:extLst>
        </c:ser>
        <c:ser>
          <c:idx val="2"/>
          <c:order val="2"/>
          <c:tx>
            <c:strRef>
              <c:f>'AR, Tree, 0x0, 16nodes'!$F$12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'AR, Tree, 0x0, 16nodes'!$A$13:$A$27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'AR, Tree, 0x0, 16nodes'!$F$13:$F$27</c:f>
              <c:numCache>
                <c:formatCode>General</c:formatCode>
                <c:ptCount val="15"/>
                <c:pt idx="0">
                  <c:v>7.8240253312298016</c:v>
                </c:pt>
                <c:pt idx="1">
                  <c:v>15.187425859490903</c:v>
                </c:pt>
                <c:pt idx="2">
                  <c:v>28.686016359416801</c:v>
                </c:pt>
                <c:pt idx="3">
                  <c:v>51.630718558782505</c:v>
                </c:pt>
                <c:pt idx="4">
                  <c:v>86.040922422850187</c:v>
                </c:pt>
                <c:pt idx="5">
                  <c:v>129.04212285628347</c:v>
                </c:pt>
                <c:pt idx="6">
                  <c:v>172.03049043505135</c:v>
                </c:pt>
                <c:pt idx="7">
                  <c:v>206.41194870259426</c:v>
                </c:pt>
                <c:pt idx="8">
                  <c:v>229.32836158194488</c:v>
                </c:pt>
                <c:pt idx="9">
                  <c:v>242.80690104970571</c:v>
                </c:pt>
                <c:pt idx="10">
                  <c:v>250.15829992480653</c:v>
                </c:pt>
                <c:pt idx="11">
                  <c:v>254.00349752400365</c:v>
                </c:pt>
                <c:pt idx="12">
                  <c:v>255.97076821560802</c:v>
                </c:pt>
                <c:pt idx="13">
                  <c:v>256.96587544925154</c:v>
                </c:pt>
                <c:pt idx="14">
                  <c:v>257.46633613719615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83B-BC4F-A82A-CC33195DB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14464814814814814"/>
          <c:y val="0.1148962962962963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Tree, LL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'AR, Tree, 0x0, 16nodes'!$C$40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Tree, 0x0, 16nodes'!$A$41:$A$51</c:f>
              <c:numCache>
                <c:formatCode>General</c:formatCode>
                <c:ptCount val="11"/>
                <c:pt idx="0">
                  <c:v>7.8125E-3</c:v>
                </c:pt>
                <c:pt idx="1">
                  <c:v>1.5625E-2</c:v>
                </c:pt>
                <c:pt idx="2">
                  <c:v>3.125E-2</c:v>
                </c:pt>
                <c:pt idx="3">
                  <c:v>6.25E-2</c:v>
                </c:pt>
                <c:pt idx="4">
                  <c:v>0.125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</c:numCache>
            </c:numRef>
          </c:cat>
          <c:val>
            <c:numRef>
              <c:f>'AR, Tree, 0x0, 16nodes'!$C$41:$C$51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0.01</c:v>
                </c:pt>
                <c:pt idx="8">
                  <c:v>0.03</c:v>
                </c:pt>
                <c:pt idx="9">
                  <c:v>0.05</c:v>
                </c:pt>
                <c:pt idx="10">
                  <c:v>0.09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A2-D944-947F-723C5753933A}"/>
            </c:ext>
          </c:extLst>
        </c:ser>
        <c:ser>
          <c:idx val="1"/>
          <c:order val="1"/>
          <c:tx>
            <c:strRef>
              <c:f>'AR, Tree, 0x0, 16nodes'!$D$40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Tree, 0x0, 16nodes'!$A$41:$A$51</c:f>
              <c:numCache>
                <c:formatCode>General</c:formatCode>
                <c:ptCount val="11"/>
                <c:pt idx="0">
                  <c:v>7.8125E-3</c:v>
                </c:pt>
                <c:pt idx="1">
                  <c:v>1.5625E-2</c:v>
                </c:pt>
                <c:pt idx="2">
                  <c:v>3.125E-2</c:v>
                </c:pt>
                <c:pt idx="3">
                  <c:v>6.25E-2</c:v>
                </c:pt>
                <c:pt idx="4">
                  <c:v>0.125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</c:numCache>
            </c:numRef>
          </c:cat>
          <c:val>
            <c:numRef>
              <c:f>'AR, Tree, 0x0, 16nodes'!$D$41:$D$51</c:f>
              <c:numCache>
                <c:formatCode>General</c:formatCode>
                <c:ptCount val="11"/>
                <c:pt idx="9">
                  <c:v>0.06</c:v>
                </c:pt>
                <c:pt idx="10">
                  <c:v>0.12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A2-D944-947F-723C5753933A}"/>
            </c:ext>
          </c:extLst>
        </c:ser>
        <c:ser>
          <c:idx val="2"/>
          <c:order val="2"/>
          <c:tx>
            <c:strRef>
              <c:f>'AR, Tree, 0x0, 16nodes'!$F$40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'AR, Tree, 0x0, 16nodes'!$A$41:$A$51</c:f>
              <c:numCache>
                <c:formatCode>General</c:formatCode>
                <c:ptCount val="11"/>
                <c:pt idx="0">
                  <c:v>7.8125E-3</c:v>
                </c:pt>
                <c:pt idx="1">
                  <c:v>1.5625E-2</c:v>
                </c:pt>
                <c:pt idx="2">
                  <c:v>3.125E-2</c:v>
                </c:pt>
                <c:pt idx="3">
                  <c:v>6.25E-2</c:v>
                </c:pt>
                <c:pt idx="4">
                  <c:v>0.125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</c:numCache>
            </c:numRef>
          </c:cat>
          <c:val>
            <c:numRef>
              <c:f>'AR, Tree, 0x0, 16nodes'!$F$41:$F$51</c:f>
              <c:numCache>
                <c:formatCode>General</c:formatCode>
                <c:ptCount val="11"/>
                <c:pt idx="0">
                  <c:v>1.2311834012554816E-4</c:v>
                </c:pt>
                <c:pt idx="1">
                  <c:v>2.4623479996010127E-4</c:v>
                </c:pt>
                <c:pt idx="2">
                  <c:v>4.9246207892851698E-4</c:v>
                </c:pt>
                <c:pt idx="3">
                  <c:v>9.8489407526857571E-4</c:v>
                </c:pt>
                <c:pt idx="4">
                  <c:v>1.9696678312084142E-3</c:v>
                </c:pt>
                <c:pt idx="5">
                  <c:v>3.9388544732837831E-3</c:v>
                </c:pt>
                <c:pt idx="6">
                  <c:v>7.8757848951890898E-3</c:v>
                </c:pt>
                <c:pt idx="7">
                  <c:v>1.5743879221273974E-2</c:v>
                </c:pt>
                <c:pt idx="8">
                  <c:v>3.1457041180429753E-2</c:v>
                </c:pt>
                <c:pt idx="9">
                  <c:v>6.2791572199611401E-2</c:v>
                </c:pt>
                <c:pt idx="10">
                  <c:v>0.1255831443992228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7A2-D944-947F-723C57539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20579629629629628"/>
          <c:y val="0.18074814814814816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Tree, LL128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'AR, Tree, 0x0, 16nodes'!$C$64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Tree, 0x0, 16nodes'!$A$65:$A$71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'AR, Tree, 0x0, 16nodes'!$C$65:$C$71</c:f>
              <c:numCache>
                <c:formatCode>General</c:formatCode>
                <c:ptCount val="7"/>
                <c:pt idx="0">
                  <c:v>0.08</c:v>
                </c:pt>
                <c:pt idx="1">
                  <c:v>0.16</c:v>
                </c:pt>
                <c:pt idx="2">
                  <c:v>0.32</c:v>
                </c:pt>
                <c:pt idx="3">
                  <c:v>0.63</c:v>
                </c:pt>
                <c:pt idx="4">
                  <c:v>1.25</c:v>
                </c:pt>
                <c:pt idx="5">
                  <c:v>2.46</c:v>
                </c:pt>
                <c:pt idx="6">
                  <c:v>4.7300000000000004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4A-AF4C-9797-76BFFD9BBD52}"/>
            </c:ext>
          </c:extLst>
        </c:ser>
        <c:ser>
          <c:idx val="1"/>
          <c:order val="1"/>
          <c:tx>
            <c:strRef>
              <c:f>'AR, Tree, 0x0, 16nodes'!$D$64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'AR, Tree, 0x0, 16nodes'!$A$65:$A$71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'AR, Tree, 0x0, 16nodes'!$D$65:$D$71</c:f>
              <c:numCache>
                <c:formatCode>General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0.39</c:v>
                </c:pt>
                <c:pt idx="3">
                  <c:v>0.75</c:v>
                </c:pt>
                <c:pt idx="4">
                  <c:v>1.46</c:v>
                </c:pt>
                <c:pt idx="5">
                  <c:v>2.76</c:v>
                </c:pt>
                <c:pt idx="6">
                  <c:v>5.59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4A-AF4C-9797-76BFFD9BBD52}"/>
            </c:ext>
          </c:extLst>
        </c:ser>
        <c:ser>
          <c:idx val="2"/>
          <c:order val="2"/>
          <c:tx>
            <c:strRef>
              <c:f>'AR, Tree, 0x0, 16nodes'!$F$64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'AR, Tree, 0x0, 16nodes'!$A$65:$A$71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'AR, Tree, 0x0, 16nodes'!$F$65:$F$71</c:f>
              <c:numCache>
                <c:formatCode>General</c:formatCode>
                <c:ptCount val="7"/>
                <c:pt idx="0">
                  <c:v>0.12555054710209826</c:v>
                </c:pt>
                <c:pt idx="1">
                  <c:v>0.25006256455050757</c:v>
                </c:pt>
                <c:pt idx="2">
                  <c:v>0.50012512910101514</c:v>
                </c:pt>
                <c:pt idx="3">
                  <c:v>1.0002502582020303</c:v>
                </c:pt>
                <c:pt idx="4">
                  <c:v>2.0005005164040606</c:v>
                </c:pt>
                <c:pt idx="5">
                  <c:v>3.9681770457509491</c:v>
                </c:pt>
                <c:pt idx="6">
                  <c:v>7.8082374118783822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14A-AF4C-9797-76BFFD9BB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16111111111111112"/>
          <c:y val="0.18074814814814816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AG Ring, Simple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'AG. Ring, 0x7, 16nodes'!$C$10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'AG. Ring, 0x7, 16nodes'!$A$11:$A$25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'AG. Ring, 0x7, 16nodes'!$C$11:$C$25</c:f>
              <c:numCache>
                <c:formatCode>General</c:formatCode>
                <c:ptCount val="15"/>
                <c:pt idx="0">
                  <c:v>1.22</c:v>
                </c:pt>
                <c:pt idx="1">
                  <c:v>2.1800000000000002</c:v>
                </c:pt>
                <c:pt idx="2">
                  <c:v>3.66</c:v>
                </c:pt>
                <c:pt idx="3">
                  <c:v>7.27</c:v>
                </c:pt>
                <c:pt idx="4">
                  <c:v>13.88</c:v>
                </c:pt>
                <c:pt idx="5">
                  <c:v>22.91</c:v>
                </c:pt>
                <c:pt idx="6">
                  <c:v>33.69</c:v>
                </c:pt>
                <c:pt idx="7">
                  <c:v>39.68</c:v>
                </c:pt>
                <c:pt idx="8">
                  <c:v>44.98</c:v>
                </c:pt>
                <c:pt idx="9">
                  <c:v>45.62</c:v>
                </c:pt>
                <c:pt idx="10">
                  <c:v>46.38</c:v>
                </c:pt>
                <c:pt idx="11">
                  <c:v>46.81</c:v>
                </c:pt>
                <c:pt idx="12">
                  <c:v>47.01</c:v>
                </c:pt>
                <c:pt idx="13">
                  <c:v>47.27</c:v>
                </c:pt>
                <c:pt idx="14">
                  <c:v>47.44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C3-3246-A837-BFEF8306BD4C}"/>
            </c:ext>
          </c:extLst>
        </c:ser>
        <c:ser>
          <c:idx val="1"/>
          <c:order val="1"/>
          <c:tx>
            <c:strRef>
              <c:f>'AG. Ring, 0x7, 16nodes'!$D$10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'AG. Ring, 0x7, 16nodes'!$A$11:$A$25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'AG. Ring, 0x7, 16nodes'!$D$11:$D$25</c:f>
              <c:numCache>
                <c:formatCode>General</c:formatCode>
                <c:ptCount val="15"/>
                <c:pt idx="0">
                  <c:v>3.19</c:v>
                </c:pt>
                <c:pt idx="1">
                  <c:v>6.88</c:v>
                </c:pt>
                <c:pt idx="2">
                  <c:v>12.99</c:v>
                </c:pt>
                <c:pt idx="3">
                  <c:v>22.2</c:v>
                </c:pt>
                <c:pt idx="4">
                  <c:v>23.81</c:v>
                </c:pt>
                <c:pt idx="5">
                  <c:v>29.32</c:v>
                </c:pt>
                <c:pt idx="6">
                  <c:v>39.19</c:v>
                </c:pt>
                <c:pt idx="7">
                  <c:v>43.13</c:v>
                </c:pt>
                <c:pt idx="8">
                  <c:v>44.58</c:v>
                </c:pt>
                <c:pt idx="9">
                  <c:v>45.24</c:v>
                </c:pt>
                <c:pt idx="10">
                  <c:v>45.45</c:v>
                </c:pt>
                <c:pt idx="11">
                  <c:v>45.55</c:v>
                </c:pt>
                <c:pt idx="12">
                  <c:v>45.71</c:v>
                </c:pt>
                <c:pt idx="13">
                  <c:v>45.75</c:v>
                </c:pt>
                <c:pt idx="14">
                  <c:v>45.85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C3-3246-A837-BFEF8306BD4C}"/>
            </c:ext>
          </c:extLst>
        </c:ser>
        <c:ser>
          <c:idx val="2"/>
          <c:order val="2"/>
          <c:tx>
            <c:strRef>
              <c:f>'AG. Ring, 0x7, 16nodes'!$F$10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'AG. Ring, 0x7, 16nodes'!$A$11:$A$25</c:f>
              <c:numCache>
                <c:formatCode>General</c:formatCode>
                <c:ptCount val="15"/>
                <c:pt idx="0">
                  <c:v>512</c:v>
                </c:pt>
                <c:pt idx="1">
                  <c:v>1024</c:v>
                </c:pt>
                <c:pt idx="2">
                  <c:v>2048</c:v>
                </c:pt>
                <c:pt idx="3">
                  <c:v>4096</c:v>
                </c:pt>
                <c:pt idx="4">
                  <c:v>8192</c:v>
                </c:pt>
                <c:pt idx="5">
                  <c:v>16384</c:v>
                </c:pt>
                <c:pt idx="6">
                  <c:v>32768</c:v>
                </c:pt>
                <c:pt idx="7">
                  <c:v>65536</c:v>
                </c:pt>
                <c:pt idx="8">
                  <c:v>131072</c:v>
                </c:pt>
                <c:pt idx="9">
                  <c:v>262144</c:v>
                </c:pt>
                <c:pt idx="10">
                  <c:v>524288</c:v>
                </c:pt>
                <c:pt idx="11">
                  <c:v>1048576</c:v>
                </c:pt>
                <c:pt idx="12">
                  <c:v>2097152</c:v>
                </c:pt>
                <c:pt idx="13">
                  <c:v>4194304</c:v>
                </c:pt>
                <c:pt idx="14">
                  <c:v>8388608</c:v>
                </c:pt>
              </c:numCache>
            </c:numRef>
          </c:cat>
          <c:val>
            <c:numRef>
              <c:f>'AG. Ring, 0x7, 16nodes'!$F$11:$F$25</c:f>
              <c:numCache>
                <c:formatCode>General</c:formatCode>
                <c:ptCount val="15"/>
                <c:pt idx="0">
                  <c:v>2.4952475269176642</c:v>
                </c:pt>
                <c:pt idx="1">
                  <c:v>4.7474965116849264</c:v>
                </c:pt>
                <c:pt idx="2">
                  <c:v>8.6523845052857382</c:v>
                </c:pt>
                <c:pt idx="3">
                  <c:v>14.696384070729293</c:v>
                </c:pt>
                <c:pt idx="4">
                  <c:v>22.584383143076028</c:v>
                </c:pt>
                <c:pt idx="5">
                  <c:v>30.868387156771039</c:v>
                </c:pt>
                <c:pt idx="6">
                  <c:v>37.801164470451383</c:v>
                </c:pt>
                <c:pt idx="7">
                  <c:v>42.583061226487381</c:v>
                </c:pt>
                <c:pt idx="8">
                  <c:v>45.458330355168769</c:v>
                </c:pt>
                <c:pt idx="9">
                  <c:v>47.046659174612806</c:v>
                </c:pt>
                <c:pt idx="10">
                  <c:v>47.046659174612806</c:v>
                </c:pt>
                <c:pt idx="11">
                  <c:v>47.046659174612806</c:v>
                </c:pt>
                <c:pt idx="12">
                  <c:v>47.046659174612806</c:v>
                </c:pt>
                <c:pt idx="13">
                  <c:v>47.046659174612806</c:v>
                </c:pt>
                <c:pt idx="14">
                  <c:v>47.046659174612806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C3-3246-A837-BFEF8306B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6526481481481482"/>
          <c:y val="0.33126666666666665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AG Ring, LL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'AG. Ring, 0x7, 16nodes'!$C$37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'AG. Ring, 0x7, 16nodes'!$A$38:$A$43</c:f>
              <c:numCache>
                <c:formatCode>General</c:formatCode>
                <c:ptCount val="6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cat>
          <c:val>
            <c:numRef>
              <c:f>'AG. Ring, 0x7, 16nodes'!$C$38:$C$43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0.02</c:v>
                </c:pt>
                <c:pt idx="5">
                  <c:v>0.04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C8-BA45-ABEA-0BA83487ECB4}"/>
            </c:ext>
          </c:extLst>
        </c:ser>
        <c:ser>
          <c:idx val="1"/>
          <c:order val="1"/>
          <c:tx>
            <c:strRef>
              <c:f>'AG. Ring, 0x7, 16nodes'!$D$37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'AG. Ring, 0x7, 16nodes'!$A$38:$A$43</c:f>
              <c:numCache>
                <c:formatCode>General</c:formatCode>
                <c:ptCount val="6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cat>
          <c:val>
            <c:numRef>
              <c:f>'AG. Ring, 0x7, 16nodes'!$D$38:$D$43</c:f>
              <c:numCache>
                <c:formatCode>General</c:formatCode>
                <c:ptCount val="6"/>
                <c:pt idx="4">
                  <c:v>0.02</c:v>
                </c:pt>
                <c:pt idx="5">
                  <c:v>0.05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C8-BA45-ABEA-0BA83487ECB4}"/>
            </c:ext>
          </c:extLst>
        </c:ser>
        <c:ser>
          <c:idx val="2"/>
          <c:order val="2"/>
          <c:tx>
            <c:strRef>
              <c:f>'AG. Ring, 0x7, 16nodes'!$F$37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'AG. Ring, 0x7, 16nodes'!$A$38:$A$43</c:f>
              <c:numCache>
                <c:formatCode>General</c:formatCode>
                <c:ptCount val="6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cat>
          <c:val>
            <c:numRef>
              <c:f>'AG. Ring, 0x7, 16nodes'!$F$38:$F$43</c:f>
              <c:numCache>
                <c:formatCode>General</c:formatCode>
                <c:ptCount val="6"/>
                <c:pt idx="0">
                  <c:v>1.2840415041723118E-3</c:v>
                </c:pt>
                <c:pt idx="1">
                  <c:v>2.5679477323869242E-3</c:v>
                </c:pt>
                <c:pt idx="2">
                  <c:v>5.1353544464433553E-3</c:v>
                </c:pt>
                <c:pt idx="3">
                  <c:v>1.0268545503315062E-2</c:v>
                </c:pt>
                <c:pt idx="4">
                  <c:v>2.0528442914315135E-2</c:v>
                </c:pt>
                <c:pt idx="5">
                  <c:v>4.1022337122749809E-2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C8-BA45-ABEA-0BA83487E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20814814814814814"/>
          <c:y val="0.24660000000000001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N=16, AG Ring, LL128</a:t>
            </a:r>
          </a:p>
        </c:rich>
      </c:tx>
      <c:overlay val="1"/>
    </c:title>
    <c:autoTitleDeleted val="0"/>
    <c:plotArea>
      <c:layout>
        <c:manualLayout>
          <c:xMode val="edge"/>
          <c:yMode val="edge"/>
          <c:x val="7.0000000000000007E-2"/>
          <c:y val="0.03"/>
          <c:w val="0.9"/>
          <c:h val="0.82"/>
        </c:manualLayout>
      </c:layout>
      <c:lineChart>
        <c:grouping val="standard"/>
        <c:varyColors val="1"/>
        <c:ser>
          <c:idx val="0"/>
          <c:order val="0"/>
          <c:tx>
            <c:strRef>
              <c:f>'AG. Ring, 0x7, 16nodes'!$C$55</c:f>
              <c:strCache>
                <c:ptCount val="1"/>
                <c:pt idx="0">
                  <c:v>AWS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'AG. Ring, 0x7, 16nodes'!$A$56:$A$62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'AG. Ring, 0x7, 16nodes'!$C$56:$C$62</c:f>
              <c:numCache>
                <c:formatCode>General</c:formatCode>
                <c:ptCount val="7"/>
                <c:pt idx="0">
                  <c:v>0.03</c:v>
                </c:pt>
                <c:pt idx="1">
                  <c:v>0.06</c:v>
                </c:pt>
                <c:pt idx="2">
                  <c:v>0.12</c:v>
                </c:pt>
                <c:pt idx="3">
                  <c:v>0.23</c:v>
                </c:pt>
                <c:pt idx="4">
                  <c:v>0.45</c:v>
                </c:pt>
                <c:pt idx="5">
                  <c:v>0.85</c:v>
                </c:pt>
                <c:pt idx="6">
                  <c:v>1.6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DA-794E-B203-471EF730205D}"/>
            </c:ext>
          </c:extLst>
        </c:ser>
        <c:ser>
          <c:idx val="1"/>
          <c:order val="1"/>
          <c:tx>
            <c:strRef>
              <c:f>'AG. Ring, 0x7, 16nodes'!$D$55</c:f>
              <c:strCache>
                <c:ptCount val="1"/>
                <c:pt idx="0">
                  <c:v>GCP busBW (GB/s)</c:v>
                </c:pt>
              </c:strCache>
            </c:strRef>
          </c:tx>
          <c:spPr>
            <a:ln w="20000">
              <a:prstDash val="solid"/>
            </a:ln>
          </c:spPr>
          <c:marker>
            <c:symbol val="none"/>
          </c:marker>
          <c:cat>
            <c:numRef>
              <c:f>'AG. Ring, 0x7, 16nodes'!$A$56:$A$62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'AG. Ring, 0x7, 16nodes'!$D$56:$D$62</c:f>
              <c:numCache>
                <c:formatCode>General</c:formatCode>
                <c:ptCount val="7"/>
                <c:pt idx="0">
                  <c:v>0.04</c:v>
                </c:pt>
                <c:pt idx="1">
                  <c:v>7.0000000000000007E-2</c:v>
                </c:pt>
                <c:pt idx="2">
                  <c:v>0.14000000000000001</c:v>
                </c:pt>
                <c:pt idx="3">
                  <c:v>0.27</c:v>
                </c:pt>
                <c:pt idx="4">
                  <c:v>0.55000000000000004</c:v>
                </c:pt>
                <c:pt idx="5">
                  <c:v>1.08</c:v>
                </c:pt>
                <c:pt idx="6">
                  <c:v>2.0699999999999998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DA-794E-B203-471EF730205D}"/>
            </c:ext>
          </c:extLst>
        </c:ser>
        <c:ser>
          <c:idx val="2"/>
          <c:order val="2"/>
          <c:tx>
            <c:strRef>
              <c:f>'AG. Ring, 0x7, 16nodes'!$F$55</c:f>
              <c:strCache>
                <c:ptCount val="1"/>
                <c:pt idx="0">
                  <c:v>Roofline busBW (GB/s)</c:v>
                </c:pt>
              </c:strCache>
            </c:strRef>
          </c:tx>
          <c:spPr>
            <a:ln w="20000">
              <a:prstDash val="dash"/>
            </a:ln>
          </c:spPr>
          <c:marker>
            <c:symbol val="none"/>
          </c:marker>
          <c:cat>
            <c:numRef>
              <c:f>'AG. Ring, 0x7, 16nodes'!$A$56:$A$62</c:f>
              <c:numCache>
                <c:formatCode>General</c:formatCode>
                <c:ptCount val="7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</c:numCache>
            </c:numRef>
          </c:cat>
          <c:val>
            <c:numRef>
              <c:f>'AG. Ring, 0x7, 16nodes'!$F$56:$F$62</c:f>
              <c:numCache>
                <c:formatCode>General</c:formatCode>
                <c:ptCount val="7"/>
                <c:pt idx="0">
                  <c:v>4.1054580771214245E-2</c:v>
                </c:pt>
                <c:pt idx="1">
                  <c:v>8.2035470042537278E-2</c:v>
                </c:pt>
                <c:pt idx="2">
                  <c:v>0.16377696630509825</c:v>
                </c:pt>
                <c:pt idx="3">
                  <c:v>0.32638433564409641</c:v>
                </c:pt>
                <c:pt idx="4">
                  <c:v>0.64814004343222098</c:v>
                </c:pt>
                <c:pt idx="5">
                  <c:v>1.2781539142343448</c:v>
                </c:pt>
                <c:pt idx="6">
                  <c:v>2.4867619384364108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ADA-794E-B203-471EF7302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Size (KB)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Bus Bandwidth (GB/s)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0.19168518518518518"/>
          <c:y val="0.21837777777777778"/>
          <c:w val="0.30622370370370372"/>
          <c:h val="0.25517000000000001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64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63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36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0</xdr:colOff>
      <xdr:row>54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T26" sqref="T26"/>
    </sheetView>
  </sheetViews>
  <sheetFormatPr baseColWidth="10" defaultColWidth="8.83203125" defaultRowHeight="15" x14ac:dyDescent="0.2"/>
  <sheetData>
    <row r="1" spans="1:8" x14ac:dyDescent="0.2">
      <c r="A1" t="s">
        <v>0</v>
      </c>
    </row>
    <row r="2" spans="1:8" x14ac:dyDescent="0.2">
      <c r="A2" t="s">
        <v>1</v>
      </c>
      <c r="B2" t="s">
        <v>2</v>
      </c>
      <c r="C2" t="s">
        <v>3</v>
      </c>
    </row>
    <row r="3" spans="1:8" x14ac:dyDescent="0.2">
      <c r="A3" t="s">
        <v>4</v>
      </c>
      <c r="B3" t="s">
        <v>5</v>
      </c>
      <c r="C3">
        <v>16</v>
      </c>
    </row>
    <row r="4" spans="1:8" x14ac:dyDescent="0.2">
      <c r="A4" t="s">
        <v>6</v>
      </c>
      <c r="B4" t="s">
        <v>7</v>
      </c>
      <c r="C4">
        <v>8</v>
      </c>
    </row>
    <row r="5" spans="1:8" x14ac:dyDescent="0.2">
      <c r="A5" t="s">
        <v>8</v>
      </c>
      <c r="B5" t="s">
        <v>9</v>
      </c>
      <c r="C5">
        <v>128</v>
      </c>
    </row>
    <row r="6" spans="1:8" x14ac:dyDescent="0.2">
      <c r="A6" t="s">
        <v>10</v>
      </c>
      <c r="B6" t="s">
        <v>11</v>
      </c>
      <c r="C6">
        <v>24.92</v>
      </c>
    </row>
    <row r="7" spans="1:8" x14ac:dyDescent="0.2">
      <c r="A7" t="s">
        <v>12</v>
      </c>
      <c r="B7" t="s">
        <v>13</v>
      </c>
      <c r="C7">
        <v>48750</v>
      </c>
    </row>
    <row r="8" spans="1:8" x14ac:dyDescent="0.2">
      <c r="A8" t="s">
        <v>14</v>
      </c>
      <c r="B8" t="s">
        <v>15</v>
      </c>
      <c r="C8">
        <f>2*(C5-1)/C5</f>
        <v>1.984375</v>
      </c>
    </row>
    <row r="9" spans="1:8" x14ac:dyDescent="0.2">
      <c r="A9" t="s">
        <v>16</v>
      </c>
      <c r="B9">
        <v>700</v>
      </c>
      <c r="C9">
        <f>700</f>
        <v>700</v>
      </c>
    </row>
    <row r="11" spans="1:8" x14ac:dyDescent="0.2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</row>
    <row r="12" spans="1:8" x14ac:dyDescent="0.2">
      <c r="A12">
        <v>512</v>
      </c>
      <c r="B12">
        <v>16</v>
      </c>
      <c r="C12">
        <v>0.25</v>
      </c>
      <c r="D12">
        <v>2.59</v>
      </c>
      <c r="E12">
        <f>IF(A12*1024/(B12*C7)&lt;C9,(2*C5-1)*C6/2,(2*C3-1)*C6/2)+A12*1024*C8/(MIN(B12,8)*C7)</f>
        <v>3179.9676512820515</v>
      </c>
      <c r="F12">
        <f>A12*1024/(E12*0.000001)/1000000000*C8</f>
        <v>0.32716810800907165</v>
      </c>
      <c r="G12">
        <f t="shared" ref="G12:G26" si="0">C12/F12</f>
        <v>0.76413315931474612</v>
      </c>
      <c r="H12">
        <f t="shared" ref="H12:H26" si="1">D12/F12</f>
        <v>7.916419530500769</v>
      </c>
    </row>
    <row r="13" spans="1:8" x14ac:dyDescent="0.2">
      <c r="A13">
        <v>1024</v>
      </c>
      <c r="B13">
        <v>32</v>
      </c>
      <c r="C13">
        <v>0.49</v>
      </c>
      <c r="D13">
        <v>5.31</v>
      </c>
      <c r="E13">
        <f>IF(A13*1024/(B13*C7)&lt;C9,(2*C5-1)*C6/2,(2*C3-1)*C6/2)+A13*1024*C8/(MIN(B13,8)*C7)</f>
        <v>3182.6353025641029</v>
      </c>
      <c r="F13">
        <f>A13*1024/(E13*0.000001)/1000000000*C8</f>
        <v>0.65378775831576463</v>
      </c>
      <c r="G13">
        <f t="shared" si="0"/>
        <v>0.74947870125665628</v>
      </c>
      <c r="H13">
        <f t="shared" si="1"/>
        <v>8.1219018442302957</v>
      </c>
    </row>
    <row r="14" spans="1:8" x14ac:dyDescent="0.2">
      <c r="A14">
        <v>2048</v>
      </c>
      <c r="B14">
        <v>32</v>
      </c>
      <c r="C14">
        <v>1</v>
      </c>
      <c r="D14">
        <v>10.58</v>
      </c>
      <c r="E14">
        <f>IF(A14*1024/(B14*C7)&lt;C9,(2*C5-1)*C6/2,(2*C3-1)*C6/2)+A14*1024*C8/(MIN(B14,8)*C7)</f>
        <v>3187.9706051282055</v>
      </c>
      <c r="F14">
        <f>A14*1024/(E14*0.000001)/1000000000*C8</f>
        <v>1.3053871931270966</v>
      </c>
      <c r="G14">
        <f t="shared" si="0"/>
        <v>0.76605623623782315</v>
      </c>
      <c r="H14">
        <f t="shared" si="1"/>
        <v>8.1048749793961683</v>
      </c>
    </row>
    <row r="15" spans="1:8" x14ac:dyDescent="0.2">
      <c r="A15">
        <v>4096</v>
      </c>
      <c r="B15">
        <v>32</v>
      </c>
      <c r="C15">
        <v>1.98</v>
      </c>
      <c r="D15">
        <v>14.17</v>
      </c>
      <c r="E15">
        <f>IF(A15*1024/(B15*C7)&lt;C9,(2*C5-1)*C6/2,(2*C3-1)*C6/2)+A15*1024*C8/(MIN(B15,8)*C7)</f>
        <v>3198.6412102564104</v>
      </c>
      <c r="F15">
        <f>A15*1024/(E15*0.000001)/1000000000*C8</f>
        <v>2.6020648934654362</v>
      </c>
      <c r="G15">
        <f t="shared" si="0"/>
        <v>0.76093413541390631</v>
      </c>
      <c r="H15">
        <f t="shared" si="1"/>
        <v>5.445675100411643</v>
      </c>
    </row>
    <row r="16" spans="1:8" x14ac:dyDescent="0.2">
      <c r="A16">
        <v>8192</v>
      </c>
      <c r="B16">
        <v>32</v>
      </c>
      <c r="C16">
        <v>3.91</v>
      </c>
      <c r="D16">
        <v>36.229999999999997</v>
      </c>
      <c r="E16">
        <f>IF(A16*1024/(B16*C7)&lt;C9,(2*C5-1)*C6/2,(2*C3-1)*C6/2)+A16*1024*C8/(MIN(B16,8)*C7)</f>
        <v>3219.9824205128207</v>
      </c>
      <c r="F16">
        <f>A16*1024/(E16*0.000001)/1000000000*C8</f>
        <v>5.1696381613626645</v>
      </c>
      <c r="G16">
        <f t="shared" si="0"/>
        <v>0.75633920169170288</v>
      </c>
      <c r="H16">
        <f t="shared" si="1"/>
        <v>7.0082274366471591</v>
      </c>
    </row>
    <row r="17" spans="1:8" x14ac:dyDescent="0.2">
      <c r="A17">
        <v>16384</v>
      </c>
      <c r="B17">
        <v>32</v>
      </c>
      <c r="C17">
        <v>7.33</v>
      </c>
      <c r="D17">
        <v>59.21</v>
      </c>
      <c r="E17">
        <f>IF(A17*1024/(B17*C7)&lt;C9,(2*C5-1)*C6/2,(2*C3-1)*C6/2)+A17*1024*C8/(MIN(B17,8)*C7)</f>
        <v>3262.6648410256412</v>
      </c>
      <c r="F17">
        <f>A17*1024/(E17*0.000001)/1000000000*C8</f>
        <v>10.204017152290254</v>
      </c>
      <c r="G17">
        <f t="shared" si="0"/>
        <v>0.71834453927341835</v>
      </c>
      <c r="H17">
        <f t="shared" si="1"/>
        <v>5.8026166671731376</v>
      </c>
    </row>
    <row r="18" spans="1:8" x14ac:dyDescent="0.2">
      <c r="A18">
        <v>32768</v>
      </c>
      <c r="B18">
        <v>32</v>
      </c>
      <c r="C18">
        <v>12.65</v>
      </c>
      <c r="D18">
        <v>95.75</v>
      </c>
      <c r="E18">
        <f>IF(A18*1024/(B18*C7)&lt;C9,(2*C5-1)*C6/2,(2*C3-1)*C6/2)+A18*1024*C8/(MIN(B18,8)*C7)</f>
        <v>3348.0296820512822</v>
      </c>
      <c r="F18">
        <f>A18*1024/(E18*0.000001)/1000000000*C8</f>
        <v>19.887689872332537</v>
      </c>
      <c r="G18">
        <f t="shared" si="0"/>
        <v>0.63607186562168261</v>
      </c>
      <c r="H18">
        <f t="shared" si="1"/>
        <v>4.8145360579664906</v>
      </c>
    </row>
    <row r="19" spans="1:8" x14ac:dyDescent="0.2">
      <c r="A19">
        <v>65536</v>
      </c>
      <c r="B19">
        <v>32</v>
      </c>
      <c r="C19">
        <v>23.27</v>
      </c>
      <c r="D19">
        <v>140.53</v>
      </c>
      <c r="E19">
        <f>IF(A19*1024/(B19*C7)&lt;C9,(2*C5-1)*C6/2,(2*C3-1)*C6/2)+A19*1024*C8/(MIN(B19,8)*C7)</f>
        <v>3518.7593641025642</v>
      </c>
      <c r="F19">
        <f>A19*1024/(E19*0.000001)/1000000000*C8</f>
        <v>37.845484223375962</v>
      </c>
      <c r="G19">
        <f t="shared" si="0"/>
        <v>0.61486860262252518</v>
      </c>
      <c r="H19">
        <f t="shared" si="1"/>
        <v>3.7132567566198307</v>
      </c>
    </row>
    <row r="20" spans="1:8" x14ac:dyDescent="0.2">
      <c r="A20">
        <v>131072</v>
      </c>
      <c r="B20">
        <v>32</v>
      </c>
      <c r="C20">
        <v>44.12</v>
      </c>
      <c r="D20">
        <v>182.21</v>
      </c>
      <c r="E20">
        <f>IF(A20*1024/(B20*C7)&lt;C9,(2*C5-1)*C6/2,(2*C3-1)*C6/2)+A20*1024*C8/(MIN(B20,8)*C7)</f>
        <v>3860.2187282051282</v>
      </c>
      <c r="F20">
        <f>A20*1024/(E20*0.000001)/1000000000*C8</f>
        <v>68.995650959871483</v>
      </c>
      <c r="G20">
        <f t="shared" si="0"/>
        <v>0.6394605947795261</v>
      </c>
      <c r="H20">
        <f t="shared" si="1"/>
        <v>2.6408910919033874</v>
      </c>
    </row>
    <row r="21" spans="1:8" x14ac:dyDescent="0.2">
      <c r="A21">
        <v>262144</v>
      </c>
      <c r="B21">
        <v>32</v>
      </c>
      <c r="C21">
        <v>82.51</v>
      </c>
      <c r="D21">
        <v>218.67</v>
      </c>
      <c r="E21">
        <f>IF(A21*1024/(B21*C7)&lt;C9,(2*C5-1)*C6/2,(2*C3-1)*C6/2)+A21*1024*C8/(MIN(B21,8)*C7)</f>
        <v>4543.1374564102571</v>
      </c>
      <c r="F21">
        <f>A21*1024/(E21*0.000001)/1000000000*C8</f>
        <v>117.24862236963715</v>
      </c>
      <c r="G21">
        <f t="shared" si="0"/>
        <v>0.70371828966893601</v>
      </c>
      <c r="H21">
        <f t="shared" si="1"/>
        <v>1.8650112519925612</v>
      </c>
    </row>
    <row r="22" spans="1:8" x14ac:dyDescent="0.2">
      <c r="A22">
        <v>524288</v>
      </c>
      <c r="B22">
        <v>32</v>
      </c>
      <c r="C22">
        <v>139.69</v>
      </c>
      <c r="D22">
        <v>216.67</v>
      </c>
      <c r="E22">
        <f>IF(A22*1024/(B22*C7)&lt;C9,(2*C5-1)*C6/2,(2*C3-1)*C6/2)+A22*1024*C8/(MIN(B22,8)*C7)</f>
        <v>5908.9749128205131</v>
      </c>
      <c r="F22">
        <f>A22*1024/(E22*0.000001)/1000000000*C8</f>
        <v>180.29408344390453</v>
      </c>
      <c r="G22">
        <f t="shared" si="0"/>
        <v>0.77478970652668255</v>
      </c>
      <c r="H22">
        <f t="shared" si="1"/>
        <v>1.2017587924199034</v>
      </c>
    </row>
    <row r="23" spans="1:8" x14ac:dyDescent="0.2">
      <c r="A23">
        <v>1048576</v>
      </c>
      <c r="B23">
        <v>32</v>
      </c>
      <c r="C23">
        <v>220.31</v>
      </c>
      <c r="D23">
        <v>233.52</v>
      </c>
      <c r="E23">
        <f>IF(A23*1024/(B23*C7)&lt;C9,(2*C5-1)*C6/2,(2*C3-1)*C6/2)+A23*1024*C8/(MIN(B23,8)*C7)</f>
        <v>8640.6498256410268</v>
      </c>
      <c r="F23">
        <f>A23*1024/(E23*0.000001)/1000000000*C8</f>
        <v>246.59099431123269</v>
      </c>
      <c r="G23">
        <f t="shared" si="0"/>
        <v>0.89342273271317296</v>
      </c>
      <c r="H23">
        <f t="shared" si="1"/>
        <v>0.94699322111197926</v>
      </c>
    </row>
    <row r="24" spans="1:8" x14ac:dyDescent="0.2">
      <c r="A24">
        <v>2097152</v>
      </c>
      <c r="B24">
        <v>32</v>
      </c>
      <c r="C24">
        <v>322.64</v>
      </c>
      <c r="D24">
        <v>249.81</v>
      </c>
      <c r="E24">
        <f>IF(A24*1024/(B24*C7)&lt;C9,(2*C5-1)*C6/2,(2*C3-1)*C6/2)+A24*1024*C8/(MIN(B24,8)*C7)</f>
        <v>11312.959651282052</v>
      </c>
      <c r="F24">
        <f>A24*1024/(E24*0.000001)/1000000000*C8</f>
        <v>376.68417419990283</v>
      </c>
      <c r="G24">
        <f t="shared" si="0"/>
        <v>0.85652656017552231</v>
      </c>
      <c r="H24">
        <f t="shared" si="1"/>
        <v>0.66318156458420296</v>
      </c>
    </row>
    <row r="25" spans="1:8" x14ac:dyDescent="0.2">
      <c r="A25">
        <v>4194304</v>
      </c>
      <c r="B25">
        <v>32</v>
      </c>
      <c r="C25">
        <v>379.23</v>
      </c>
      <c r="D25">
        <v>365.11</v>
      </c>
      <c r="E25">
        <f>IF(A25*1024/(B25*C7)&lt;C9,(2*C5-1)*C6/2,(2*C3-1)*C6/2)+A25*1024*C8/(MIN(B25,8)*C7)</f>
        <v>22239.659302564101</v>
      </c>
      <c r="F25">
        <f>A25*1024/(E25*0.000001)/1000000000*C8</f>
        <v>383.2264519905379</v>
      </c>
      <c r="G25">
        <f t="shared" si="0"/>
        <v>0.98957156540270197</v>
      </c>
      <c r="H25">
        <f t="shared" si="1"/>
        <v>0.95272650962260508</v>
      </c>
    </row>
    <row r="26" spans="1:8" x14ac:dyDescent="0.2">
      <c r="A26">
        <v>8388608</v>
      </c>
      <c r="B26">
        <v>32</v>
      </c>
      <c r="C26">
        <v>377.61</v>
      </c>
      <c r="D26">
        <v>360.05</v>
      </c>
      <c r="E26">
        <f>IF(A26*1024/(B26*C7)&lt;C9,(2*C5-1)*C6/2,(2*C3-1)*C6/2)+A26*1024*C8/(MIN(B26,8)*C7)</f>
        <v>44093.058605128208</v>
      </c>
      <c r="F26">
        <f>A26*1024/(E26*0.000001)/1000000000*C8</f>
        <v>386.58355748579254</v>
      </c>
      <c r="G26">
        <f t="shared" si="0"/>
        <v>0.97678753451348665</v>
      </c>
      <c r="H26">
        <f t="shared" si="1"/>
        <v>0.93136397818273042</v>
      </c>
    </row>
    <row r="28" spans="1:8" x14ac:dyDescent="0.2">
      <c r="A28" t="s">
        <v>25</v>
      </c>
    </row>
    <row r="29" spans="1:8" x14ac:dyDescent="0.2">
      <c r="A29" t="s">
        <v>1</v>
      </c>
      <c r="B29" t="s">
        <v>2</v>
      </c>
      <c r="C29" t="s">
        <v>3</v>
      </c>
    </row>
    <row r="30" spans="1:8" x14ac:dyDescent="0.2">
      <c r="A30" t="s">
        <v>4</v>
      </c>
      <c r="B30" t="s">
        <v>5</v>
      </c>
      <c r="C30">
        <v>16</v>
      </c>
    </row>
    <row r="31" spans="1:8" x14ac:dyDescent="0.2">
      <c r="A31" t="s">
        <v>6</v>
      </c>
      <c r="B31" t="s">
        <v>7</v>
      </c>
      <c r="C31">
        <v>8</v>
      </c>
    </row>
    <row r="32" spans="1:8" x14ac:dyDescent="0.2">
      <c r="A32" t="s">
        <v>8</v>
      </c>
      <c r="B32" t="s">
        <v>9</v>
      </c>
      <c r="C32">
        <v>128</v>
      </c>
    </row>
    <row r="33" spans="1:8" x14ac:dyDescent="0.2">
      <c r="A33" t="s">
        <v>10</v>
      </c>
      <c r="B33" t="s">
        <v>11</v>
      </c>
      <c r="C33">
        <v>24.92</v>
      </c>
    </row>
    <row r="34" spans="1:8" x14ac:dyDescent="0.2">
      <c r="A34" t="s">
        <v>12</v>
      </c>
      <c r="B34" t="s">
        <v>13</v>
      </c>
      <c r="C34">
        <v>48750</v>
      </c>
    </row>
    <row r="35" spans="1:8" x14ac:dyDescent="0.2">
      <c r="A35" t="s">
        <v>14</v>
      </c>
      <c r="B35" t="s">
        <v>15</v>
      </c>
      <c r="C35">
        <f>2*(C32-1)/C32</f>
        <v>1.984375</v>
      </c>
    </row>
    <row r="36" spans="1:8" x14ac:dyDescent="0.2">
      <c r="A36" t="s">
        <v>26</v>
      </c>
      <c r="B36" t="s">
        <v>27</v>
      </c>
      <c r="C36">
        <v>8.4</v>
      </c>
    </row>
    <row r="37" spans="1:8" x14ac:dyDescent="0.2">
      <c r="A37" t="s">
        <v>28</v>
      </c>
      <c r="B37" t="s">
        <v>29</v>
      </c>
      <c r="C37">
        <v>32768</v>
      </c>
    </row>
    <row r="38" spans="1:8" x14ac:dyDescent="0.2">
      <c r="A38" t="s">
        <v>30</v>
      </c>
      <c r="B38" t="s">
        <v>31</v>
      </c>
      <c r="C38">
        <f>(2*C30-1)*(C33/2+C36)</f>
        <v>646.66</v>
      </c>
    </row>
    <row r="40" spans="1:8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</row>
    <row r="41" spans="1:8" x14ac:dyDescent="0.2">
      <c r="A41">
        <v>7.8125E-3</v>
      </c>
      <c r="B41">
        <v>1</v>
      </c>
      <c r="C41">
        <v>0</v>
      </c>
      <c r="E41">
        <f>C38*CEILING(A41*1024/(B41*C37*C32),1)+A41*1024*2*2*(C32-1)/(C32*MIN(B41,8)*C34)</f>
        <v>646.66065128205128</v>
      </c>
      <c r="F41">
        <f>A41*1024/(E41*0.000001)/1000000000*C35</f>
        <v>2.4549197432264776E-5</v>
      </c>
      <c r="G41">
        <f t="shared" ref="G41:G51" si="2">C41/F41</f>
        <v>0</v>
      </c>
    </row>
    <row r="42" spans="1:8" x14ac:dyDescent="0.2">
      <c r="A42">
        <v>1.5625E-2</v>
      </c>
      <c r="B42">
        <v>1</v>
      </c>
      <c r="C42">
        <v>0</v>
      </c>
      <c r="E42">
        <f>C38*CEILING(A42*1024/(B42*C37*C32),1)+A42*1024*2*2*(C32-1)/(C32*MIN(B42,8)*C34)</f>
        <v>646.66130256410258</v>
      </c>
      <c r="F42">
        <f>A42*1024/(E42*0.000001)/1000000000*C35</f>
        <v>4.90983454152998E-5</v>
      </c>
      <c r="G42">
        <f t="shared" si="2"/>
        <v>0</v>
      </c>
    </row>
    <row r="43" spans="1:8" x14ac:dyDescent="0.2">
      <c r="A43">
        <v>3.125E-2</v>
      </c>
      <c r="B43">
        <v>1</v>
      </c>
      <c r="C43">
        <v>0</v>
      </c>
      <c r="E43">
        <f>C38*CEILING(A43*1024/(B43*C37*C32),1)+A43*1024*2*2*(C32-1)/(C32*MIN(B43,8)*C34)</f>
        <v>646.66260512820509</v>
      </c>
      <c r="F43">
        <f>A43*1024/(E43*0.000001)/1000000000*C35</f>
        <v>9.8196493034278246E-5</v>
      </c>
      <c r="G43">
        <f t="shared" si="2"/>
        <v>0</v>
      </c>
    </row>
    <row r="44" spans="1:8" x14ac:dyDescent="0.2">
      <c r="A44">
        <v>6.25E-2</v>
      </c>
      <c r="B44">
        <v>1</v>
      </c>
      <c r="C44">
        <v>0</v>
      </c>
      <c r="E44">
        <f>C38*CEILING(A44*1024/(B44*C37*C32),1)+A44*1024*2*2*(C32-1)/(C32*MIN(B44,8)*C34)</f>
        <v>646.66521025641021</v>
      </c>
      <c r="F44">
        <f>A44*1024/(E44*0.000001)/1000000000*C35</f>
        <v>1.9639219488805194E-4</v>
      </c>
      <c r="G44">
        <f t="shared" si="2"/>
        <v>0</v>
      </c>
    </row>
    <row r="45" spans="1:8" x14ac:dyDescent="0.2">
      <c r="A45">
        <v>0.125</v>
      </c>
      <c r="B45">
        <v>1</v>
      </c>
      <c r="C45">
        <v>0</v>
      </c>
      <c r="E45">
        <f>C38*CEILING(A45*1024/(B45*C37*C32),1)+A45*1024*2*2*(C32-1)/(C32*MIN(B45,8)*C34)</f>
        <v>646.67042051282044</v>
      </c>
      <c r="F45">
        <f>A45*1024/(E45*0.000001)/1000000000*C35</f>
        <v>3.9278122509233342E-4</v>
      </c>
      <c r="G45">
        <f t="shared" si="2"/>
        <v>0</v>
      </c>
    </row>
    <row r="46" spans="1:8" x14ac:dyDescent="0.2">
      <c r="A46">
        <v>0.25</v>
      </c>
      <c r="B46">
        <v>1</v>
      </c>
      <c r="C46">
        <v>0</v>
      </c>
      <c r="E46">
        <f>C38*CEILING(A46*1024/(B46*C37*C32),1)+A46*1024*2*2*(C32-1)/(C32*MIN(B46,8)*C34)</f>
        <v>646.68084102564103</v>
      </c>
      <c r="F46">
        <f>A46*1024/(E46*0.000001)/1000000000*C35</f>
        <v>7.8554979175555573E-4</v>
      </c>
      <c r="G46">
        <f t="shared" si="2"/>
        <v>0</v>
      </c>
    </row>
    <row r="47" spans="1:8" x14ac:dyDescent="0.2">
      <c r="A47">
        <v>0.5</v>
      </c>
      <c r="B47">
        <v>1</v>
      </c>
      <c r="C47">
        <v>0</v>
      </c>
      <c r="E47">
        <f>C38*CEILING(A47*1024/(B47*C37*C32),1)+A47*1024*2*2*(C32-1)/(C32*MIN(B47,8)*C34)</f>
        <v>646.70168205128198</v>
      </c>
      <c r="F47">
        <f>A47*1024/(E47*0.000001)/1000000000*C35</f>
        <v>1.5710489522423004E-3</v>
      </c>
      <c r="G47">
        <f t="shared" si="2"/>
        <v>0</v>
      </c>
    </row>
    <row r="48" spans="1:8" x14ac:dyDescent="0.2">
      <c r="A48">
        <v>1</v>
      </c>
      <c r="B48">
        <v>1</v>
      </c>
      <c r="C48">
        <v>0</v>
      </c>
      <c r="E48">
        <f>C38*CEILING(A48*1024/(B48*C37*C32),1)+A48*1024*2*2*(C32-1)/(C32*MIN(B48,8)*C34)</f>
        <v>646.7433641025641</v>
      </c>
      <c r="F48">
        <f>A48*1024/(E48*0.000001)/1000000000*C35</f>
        <v>3.1418953989882058E-3</v>
      </c>
      <c r="G48">
        <f t="shared" si="2"/>
        <v>0</v>
      </c>
    </row>
    <row r="49" spans="1:8" x14ac:dyDescent="0.2">
      <c r="A49">
        <v>2</v>
      </c>
      <c r="B49">
        <v>1</v>
      </c>
      <c r="C49">
        <v>0</v>
      </c>
      <c r="E49">
        <f>C38*CEILING(A49*1024/(B49*C37*C32),1)+A49*1024*2*2*(C32-1)/(C32*MIN(B49,8)*C34)</f>
        <v>646.82672820512812</v>
      </c>
      <c r="F49">
        <f>A49*1024/(E49*0.000001)/1000000000*C35</f>
        <v>6.2829809325862986E-3</v>
      </c>
      <c r="G49">
        <f t="shared" si="2"/>
        <v>0</v>
      </c>
    </row>
    <row r="50" spans="1:8" x14ac:dyDescent="0.2">
      <c r="A50">
        <v>4</v>
      </c>
      <c r="B50">
        <v>1</v>
      </c>
      <c r="C50">
        <v>0.01</v>
      </c>
      <c r="D50">
        <v>0.06</v>
      </c>
      <c r="E50">
        <f>C38*CEILING(A50*1024/(B50*C37*C32),1)+A50*1024*2*2*(C32-1)/(C32*MIN(B50,8)*C34)</f>
        <v>646.99345641025639</v>
      </c>
      <c r="F50">
        <f>A50*1024/(E50*0.000001)/1000000000*C35</f>
        <v>1.2562723655810921E-2</v>
      </c>
      <c r="G50">
        <f t="shared" si="2"/>
        <v>0.79600572885120136</v>
      </c>
      <c r="H50">
        <f>D50/F50</f>
        <v>4.7760343731072075</v>
      </c>
    </row>
    <row r="51" spans="1:8" x14ac:dyDescent="0.2">
      <c r="A51">
        <v>8</v>
      </c>
      <c r="B51">
        <v>1</v>
      </c>
      <c r="C51">
        <v>0.02</v>
      </c>
      <c r="D51">
        <v>0.13</v>
      </c>
      <c r="E51">
        <f>C38*CEILING(A51*1024/(B51*C37*C32),1)+A51*1024*2*2*(C32-1)/(C32*MIN(B51,8)*C34)</f>
        <v>647.3269128205128</v>
      </c>
      <c r="F51">
        <f>A51*1024/(E51*0.000001)/1000000000*C35</f>
        <v>2.5112504482734787E-2</v>
      </c>
      <c r="G51">
        <f t="shared" si="2"/>
        <v>0.79641598526145774</v>
      </c>
      <c r="H51">
        <f>D51/F51</f>
        <v>5.176703904199476</v>
      </c>
    </row>
    <row r="53" spans="1:8" x14ac:dyDescent="0.2">
      <c r="A53" t="s">
        <v>32</v>
      </c>
    </row>
    <row r="54" spans="1:8" x14ac:dyDescent="0.2">
      <c r="A54" t="s">
        <v>1</v>
      </c>
      <c r="B54" t="s">
        <v>2</v>
      </c>
      <c r="C54" t="s">
        <v>3</v>
      </c>
    </row>
    <row r="55" spans="1:8" x14ac:dyDescent="0.2">
      <c r="A55" t="s">
        <v>4</v>
      </c>
      <c r="B55" t="s">
        <v>5</v>
      </c>
      <c r="C55">
        <v>16</v>
      </c>
    </row>
    <row r="56" spans="1:8" x14ac:dyDescent="0.2">
      <c r="A56" t="s">
        <v>6</v>
      </c>
      <c r="B56" t="s">
        <v>7</v>
      </c>
      <c r="C56">
        <v>8</v>
      </c>
    </row>
    <row r="57" spans="1:8" x14ac:dyDescent="0.2">
      <c r="A57" t="s">
        <v>8</v>
      </c>
      <c r="B57" t="s">
        <v>9</v>
      </c>
      <c r="C57">
        <v>128</v>
      </c>
    </row>
    <row r="58" spans="1:8" x14ac:dyDescent="0.2">
      <c r="A58" t="s">
        <v>10</v>
      </c>
      <c r="B58" t="s">
        <v>11</v>
      </c>
      <c r="C58">
        <v>24.92</v>
      </c>
    </row>
    <row r="59" spans="1:8" x14ac:dyDescent="0.2">
      <c r="A59" t="s">
        <v>12</v>
      </c>
      <c r="B59" t="s">
        <v>13</v>
      </c>
      <c r="C59">
        <v>48750</v>
      </c>
    </row>
    <row r="60" spans="1:8" x14ac:dyDescent="0.2">
      <c r="A60" t="s">
        <v>14</v>
      </c>
      <c r="B60" t="s">
        <v>15</v>
      </c>
      <c r="C60">
        <f>2*(C57-1)/C57</f>
        <v>1.984375</v>
      </c>
    </row>
    <row r="61" spans="1:8" x14ac:dyDescent="0.2">
      <c r="A61" t="s">
        <v>26</v>
      </c>
      <c r="B61" t="s">
        <v>27</v>
      </c>
      <c r="C61">
        <v>8.4</v>
      </c>
    </row>
    <row r="62" spans="1:8" x14ac:dyDescent="0.2">
      <c r="A62" t="s">
        <v>28</v>
      </c>
      <c r="B62" t="s">
        <v>29</v>
      </c>
      <c r="C62">
        <v>576000</v>
      </c>
    </row>
    <row r="63" spans="1:8" x14ac:dyDescent="0.2">
      <c r="A63" t="s">
        <v>30</v>
      </c>
      <c r="B63" t="s">
        <v>31</v>
      </c>
      <c r="C63">
        <f>(2*C55-1)*(C58/2+C61)</f>
        <v>646.66</v>
      </c>
    </row>
    <row r="65" spans="1:8" x14ac:dyDescent="0.2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23</v>
      </c>
      <c r="H65" t="s">
        <v>24</v>
      </c>
    </row>
    <row r="66" spans="1:8" x14ac:dyDescent="0.2">
      <c r="A66">
        <v>8</v>
      </c>
      <c r="B66">
        <v>1</v>
      </c>
      <c r="C66">
        <v>0.02</v>
      </c>
      <c r="D66">
        <v>0.1</v>
      </c>
      <c r="E66">
        <f>C63*CEILING(A66*1024/(B66*C62*C57),1)+A66*1024*(16/15)*2*(C57-1)/(C57*MIN(B66,8)*C59)</f>
        <v>647.01568683760684</v>
      </c>
      <c r="F66">
        <f>A66*1024/(E66*0.000001)/1000000000*C60</f>
        <v>2.5124584041314076E-2</v>
      </c>
      <c r="G66">
        <f t="shared" ref="G66:G72" si="3">C66/F66</f>
        <v>0.7960330792785516</v>
      </c>
      <c r="H66">
        <f t="shared" ref="H66:H72" si="4">D66/F66</f>
        <v>3.9801653963927581</v>
      </c>
    </row>
    <row r="67" spans="1:8" x14ac:dyDescent="0.2">
      <c r="A67">
        <v>16</v>
      </c>
      <c r="B67">
        <v>1</v>
      </c>
      <c r="C67">
        <v>0.03</v>
      </c>
      <c r="D67">
        <v>0.19</v>
      </c>
      <c r="E67">
        <f>C63*CEILING(A67*1024/(B67*C62*C57),1)+A67*1024*(16/15)*2*(C57-1)/(C57*MIN(B67,8)*C59)</f>
        <v>647.37137367521359</v>
      </c>
      <c r="F67">
        <f>A67*1024/(E67*0.000001)/1000000000*C60</f>
        <v>5.0221559559275909E-2</v>
      </c>
      <c r="G67">
        <f t="shared" si="3"/>
        <v>0.59735301458711887</v>
      </c>
      <c r="H67">
        <f t="shared" si="4"/>
        <v>3.7832357590517529</v>
      </c>
    </row>
    <row r="68" spans="1:8" x14ac:dyDescent="0.2">
      <c r="A68">
        <v>32</v>
      </c>
      <c r="B68">
        <v>2</v>
      </c>
      <c r="C68">
        <v>7.0000000000000007E-2</v>
      </c>
      <c r="D68">
        <v>0.39</v>
      </c>
      <c r="E68">
        <f>C63*CEILING(A68*1024/(B68*C62*C57),1)+A68*1024*(16/15)*2*(C57-1)/(C57*MIN(B68,8)*C59)</f>
        <v>647.37137367521359</v>
      </c>
      <c r="F68">
        <f>A68*1024/(E68*0.000001)/1000000000*C60</f>
        <v>0.10044311911855182</v>
      </c>
      <c r="G68">
        <f t="shared" si="3"/>
        <v>0.69691185035163872</v>
      </c>
      <c r="H68">
        <f t="shared" si="4"/>
        <v>3.8827945948162728</v>
      </c>
    </row>
    <row r="69" spans="1:8" x14ac:dyDescent="0.2">
      <c r="A69">
        <v>64</v>
      </c>
      <c r="B69">
        <v>4</v>
      </c>
      <c r="C69">
        <v>0.13</v>
      </c>
      <c r="D69">
        <v>0.76</v>
      </c>
      <c r="E69">
        <f>C63*CEILING(A69*1024/(B69*C62*C57),1)+A69*1024*(16/15)*2*(C57-1)/(C57*MIN(B69,8)*C59)</f>
        <v>647.37137367521359</v>
      </c>
      <c r="F69">
        <f>A69*1024/(E69*0.000001)/1000000000*C60</f>
        <v>0.20088623823710364</v>
      </c>
      <c r="G69">
        <f t="shared" si="3"/>
        <v>0.64713243246937879</v>
      </c>
      <c r="H69">
        <f t="shared" si="4"/>
        <v>3.7832357590517529</v>
      </c>
    </row>
    <row r="70" spans="1:8" x14ac:dyDescent="0.2">
      <c r="A70">
        <v>128</v>
      </c>
      <c r="B70">
        <v>8</v>
      </c>
      <c r="C70">
        <v>0.26</v>
      </c>
      <c r="D70">
        <v>1.48</v>
      </c>
      <c r="E70">
        <f>C63*CEILING(A70*1024/(B70*C62*C57),1)+A70*1024*(16/15)*2*(C57-1)/(C57*MIN(B70,8)*C59)</f>
        <v>647.37137367521359</v>
      </c>
      <c r="F70">
        <f>A70*1024/(E70*0.000001)/1000000000*C60</f>
        <v>0.40177247647420727</v>
      </c>
      <c r="G70">
        <f t="shared" si="3"/>
        <v>0.64713243246937879</v>
      </c>
      <c r="H70">
        <f t="shared" si="4"/>
        <v>3.6836769232872326</v>
      </c>
    </row>
    <row r="71" spans="1:8" x14ac:dyDescent="0.2">
      <c r="A71">
        <v>256</v>
      </c>
      <c r="B71">
        <v>16</v>
      </c>
      <c r="C71">
        <v>0.44</v>
      </c>
      <c r="D71">
        <v>2.74</v>
      </c>
      <c r="E71">
        <f>C63*CEILING(A71*1024/(B71*C62*C57),1)+A71*1024*(16/15)*2*(C57-1)/(C57*MIN(B71,8)*C59)</f>
        <v>648.08274735042733</v>
      </c>
      <c r="F71">
        <f>A71*1024/(E71*0.000001)/1000000000*C60</f>
        <v>0.8026629348284825</v>
      </c>
      <c r="G71">
        <f t="shared" si="3"/>
        <v>0.54817530610656851</v>
      </c>
      <c r="H71">
        <f t="shared" si="4"/>
        <v>3.4136371334818127</v>
      </c>
    </row>
    <row r="72" spans="1:8" x14ac:dyDescent="0.2">
      <c r="A72">
        <v>512</v>
      </c>
      <c r="B72">
        <v>32</v>
      </c>
      <c r="C72">
        <v>0.9</v>
      </c>
      <c r="D72">
        <v>5.55</v>
      </c>
      <c r="E72">
        <f>C63*CEILING(A72*1024/(B72*C62*C57),1)+A72*1024*(16/15)*2*(C57-1)/(C57*MIN(B72,8)*C59)</f>
        <v>649.50549470085468</v>
      </c>
      <c r="F72">
        <f>A72*1024/(E72*0.000001)/1000000000*C60</f>
        <v>1.6018093895867249</v>
      </c>
      <c r="G72">
        <f t="shared" si="3"/>
        <v>0.56186460502157787</v>
      </c>
      <c r="H72">
        <f t="shared" si="4"/>
        <v>3.464831730966397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topLeftCell="A35" workbookViewId="0">
      <selection activeCell="S72" sqref="S72"/>
    </sheetView>
  </sheetViews>
  <sheetFormatPr baseColWidth="10" defaultColWidth="8.83203125" defaultRowHeight="15" x14ac:dyDescent="0.2"/>
  <sheetData>
    <row r="1" spans="1:8" x14ac:dyDescent="0.2">
      <c r="A1" t="s">
        <v>33</v>
      </c>
    </row>
    <row r="2" spans="1:8" x14ac:dyDescent="0.2">
      <c r="A2" t="s">
        <v>1</v>
      </c>
      <c r="B2" t="s">
        <v>2</v>
      </c>
      <c r="C2" t="s">
        <v>3</v>
      </c>
    </row>
    <row r="3" spans="1:8" x14ac:dyDescent="0.2">
      <c r="A3" t="s">
        <v>4</v>
      </c>
      <c r="B3" t="s">
        <v>5</v>
      </c>
      <c r="C3">
        <v>16</v>
      </c>
    </row>
    <row r="4" spans="1:8" x14ac:dyDescent="0.2">
      <c r="A4" t="s">
        <v>6</v>
      </c>
      <c r="B4" t="s">
        <v>7</v>
      </c>
      <c r="C4">
        <v>8</v>
      </c>
    </row>
    <row r="5" spans="1:8" x14ac:dyDescent="0.2">
      <c r="A5" t="s">
        <v>8</v>
      </c>
      <c r="B5" t="s">
        <v>9</v>
      </c>
      <c r="C5">
        <v>128</v>
      </c>
    </row>
    <row r="6" spans="1:8" x14ac:dyDescent="0.2">
      <c r="A6" t="s">
        <v>10</v>
      </c>
      <c r="B6" t="s">
        <v>11</v>
      </c>
      <c r="C6">
        <v>24.92</v>
      </c>
    </row>
    <row r="7" spans="1:8" x14ac:dyDescent="0.2">
      <c r="A7" t="s">
        <v>12</v>
      </c>
      <c r="B7" t="s">
        <v>13</v>
      </c>
      <c r="C7">
        <v>48750</v>
      </c>
    </row>
    <row r="8" spans="1:8" x14ac:dyDescent="0.2">
      <c r="A8" t="s">
        <v>26</v>
      </c>
      <c r="B8" t="s">
        <v>27</v>
      </c>
      <c r="C8">
        <v>8.4</v>
      </c>
    </row>
    <row r="9" spans="1:8" x14ac:dyDescent="0.2">
      <c r="A9" t="s">
        <v>14</v>
      </c>
      <c r="B9" t="s">
        <v>15</v>
      </c>
      <c r="C9">
        <f>2*(C5-1)/C5</f>
        <v>1.984375</v>
      </c>
    </row>
    <row r="10" spans="1:8" x14ac:dyDescent="0.2">
      <c r="A10" t="s">
        <v>34</v>
      </c>
      <c r="B10" t="s">
        <v>35</v>
      </c>
      <c r="C10">
        <f>(2*LOG(C3,2)+1)*C6/2+2*C8</f>
        <v>128.94000000000003</v>
      </c>
    </row>
    <row r="12" spans="1:8" x14ac:dyDescent="0.2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</row>
    <row r="13" spans="1:8" x14ac:dyDescent="0.2">
      <c r="A13">
        <v>512</v>
      </c>
      <c r="B13">
        <v>16</v>
      </c>
      <c r="C13">
        <v>4.7300000000000004</v>
      </c>
      <c r="D13">
        <v>5.59</v>
      </c>
      <c r="E13">
        <f>C10+A13*1024/(MIN(B13,8)*C7/3)</f>
        <v>132.97298461538463</v>
      </c>
      <c r="F13">
        <f>A13*1024/(E13*0.000001)/1000000000*C9</f>
        <v>7.8240253312298016</v>
      </c>
      <c r="G13">
        <f t="shared" ref="G13:G21" si="0">C13/F13</f>
        <v>0.6045481449452984</v>
      </c>
      <c r="H13">
        <f t="shared" ref="H13:H27" si="1">D13/F13</f>
        <v>0.71446598948080708</v>
      </c>
    </row>
    <row r="14" spans="1:8" x14ac:dyDescent="0.2">
      <c r="A14">
        <v>1024</v>
      </c>
      <c r="B14">
        <v>32</v>
      </c>
      <c r="C14">
        <v>8.94</v>
      </c>
      <c r="D14">
        <v>10.71</v>
      </c>
      <c r="E14">
        <f>C10+A14*1024/(MIN(B14,8)*C7/3)</f>
        <v>137.00596923076927</v>
      </c>
      <c r="F14">
        <f>A14*1024/(E14*0.000001)/1000000000*C9</f>
        <v>15.187425859490903</v>
      </c>
      <c r="G14">
        <f t="shared" si="0"/>
        <v>0.5886448488841991</v>
      </c>
      <c r="H14">
        <f t="shared" si="1"/>
        <v>0.70518862769013124</v>
      </c>
    </row>
    <row r="15" spans="1:8" x14ac:dyDescent="0.2">
      <c r="A15">
        <v>2048</v>
      </c>
      <c r="B15">
        <v>32</v>
      </c>
      <c r="C15">
        <v>16.100000000000001</v>
      </c>
      <c r="D15">
        <v>19.63</v>
      </c>
      <c r="E15">
        <f>C10+A15*1024/(MIN(B15,8)*C7/3)</f>
        <v>145.07193846153848</v>
      </c>
      <c r="F15">
        <f>A15*1024/(E15*0.000001)/1000000000*C9</f>
        <v>28.686016359416801</v>
      </c>
      <c r="G15">
        <f t="shared" si="0"/>
        <v>0.56124906987005996</v>
      </c>
      <c r="H15">
        <f t="shared" si="1"/>
        <v>0.68430554295337109</v>
      </c>
    </row>
    <row r="16" spans="1:8" x14ac:dyDescent="0.2">
      <c r="A16">
        <v>4096</v>
      </c>
      <c r="B16">
        <v>32</v>
      </c>
      <c r="C16">
        <v>26.13</v>
      </c>
      <c r="D16">
        <v>28.4</v>
      </c>
      <c r="E16">
        <f>C10+A16*1024/(MIN(B16,8)*C7/3)</f>
        <v>161.20387692307696</v>
      </c>
      <c r="F16">
        <f>A16*1024/(E16*0.000001)/1000000000*C9</f>
        <v>51.630718558782505</v>
      </c>
      <c r="G16">
        <f t="shared" si="0"/>
        <v>0.50609406046229088</v>
      </c>
      <c r="H16">
        <f t="shared" si="1"/>
        <v>0.55006013460118874</v>
      </c>
    </row>
    <row r="17" spans="1:8" x14ac:dyDescent="0.2">
      <c r="A17">
        <v>8192</v>
      </c>
      <c r="B17">
        <v>32</v>
      </c>
      <c r="C17">
        <v>41.91</v>
      </c>
      <c r="D17">
        <v>47.8</v>
      </c>
      <c r="E17">
        <f>C10+A17*1024/(MIN(B17,8)*C7/3)</f>
        <v>193.46775384615387</v>
      </c>
      <c r="F17">
        <f>A17*1024/(E17*0.000001)/1000000000*C9</f>
        <v>86.040922422850187</v>
      </c>
      <c r="G17">
        <f t="shared" si="0"/>
        <v>0.48709380164513222</v>
      </c>
      <c r="H17">
        <f t="shared" si="1"/>
        <v>0.55554959958571515</v>
      </c>
    </row>
    <row r="18" spans="1:8" x14ac:dyDescent="0.2">
      <c r="A18">
        <v>16384</v>
      </c>
      <c r="B18">
        <v>32</v>
      </c>
      <c r="C18">
        <v>66.28</v>
      </c>
      <c r="D18">
        <v>85.06</v>
      </c>
      <c r="E18">
        <f>C10+A18*1024/(MIN(B18,8)*C7/3)</f>
        <v>257.99550769230768</v>
      </c>
      <c r="F18">
        <f>A18*1024/(E18*0.000001)/1000000000*C9</f>
        <v>129.04212285628347</v>
      </c>
      <c r="G18">
        <f t="shared" si="0"/>
        <v>0.51363073183333496</v>
      </c>
      <c r="H18">
        <f t="shared" si="1"/>
        <v>0.65916460545780742</v>
      </c>
    </row>
    <row r="19" spans="1:8" x14ac:dyDescent="0.2">
      <c r="A19">
        <v>32768</v>
      </c>
      <c r="B19">
        <v>32</v>
      </c>
      <c r="C19">
        <v>88.57</v>
      </c>
      <c r="D19">
        <v>139.41999999999999</v>
      </c>
      <c r="E19">
        <f>C10+A19*1024/(MIN(B19,8)*C7/3)</f>
        <v>387.05101538461543</v>
      </c>
      <c r="F19">
        <f>A19*1024/(E19*0.000001)/1000000000*C9</f>
        <v>172.03049043505135</v>
      </c>
      <c r="G19">
        <f t="shared" si="0"/>
        <v>0.51485059291532298</v>
      </c>
      <c r="H19">
        <f t="shared" si="1"/>
        <v>0.81043772907592115</v>
      </c>
    </row>
    <row r="20" spans="1:8" x14ac:dyDescent="0.2">
      <c r="A20">
        <v>65536</v>
      </c>
      <c r="B20">
        <v>32</v>
      </c>
      <c r="C20">
        <v>105.47</v>
      </c>
      <c r="D20">
        <v>170.86</v>
      </c>
      <c r="E20">
        <f>C10+A20*1024/(MIN(B20,8)*C7/3)</f>
        <v>645.1620307692308</v>
      </c>
      <c r="F20">
        <f>A20*1024/(E20*0.000001)/1000000000*C9</f>
        <v>206.41194870259426</v>
      </c>
      <c r="G20">
        <f t="shared" si="0"/>
        <v>0.51096848153865826</v>
      </c>
      <c r="H20">
        <f t="shared" si="1"/>
        <v>0.82776215753953875</v>
      </c>
    </row>
    <row r="21" spans="1:8" x14ac:dyDescent="0.2">
      <c r="A21">
        <v>131072</v>
      </c>
      <c r="B21">
        <v>32</v>
      </c>
      <c r="C21">
        <v>128.81</v>
      </c>
      <c r="D21">
        <v>218.01</v>
      </c>
      <c r="E21">
        <f>C10+A21*1024/(MIN(B21,8)*C7/3)</f>
        <v>1161.3840615384615</v>
      </c>
      <c r="F21">
        <f>A21*1024/(E21*0.000001)/1000000000*C9</f>
        <v>229.32836158194488</v>
      </c>
      <c r="G21">
        <f t="shared" si="0"/>
        <v>0.56168368845199679</v>
      </c>
      <c r="H21">
        <f t="shared" si="1"/>
        <v>0.95064560918732877</v>
      </c>
    </row>
    <row r="22" spans="1:8" x14ac:dyDescent="0.2">
      <c r="A22">
        <v>262144</v>
      </c>
      <c r="B22">
        <v>32</v>
      </c>
      <c r="D22">
        <v>262.25</v>
      </c>
      <c r="E22">
        <f>C10+A22*1024/(MIN(B22,8)*C7/3)</f>
        <v>2193.828123076923</v>
      </c>
      <c r="F22">
        <f>A22*1024/(E22*0.000001)/1000000000*C9</f>
        <v>242.80690104970571</v>
      </c>
      <c r="H22">
        <f t="shared" si="1"/>
        <v>1.0800763852519746</v>
      </c>
    </row>
    <row r="23" spans="1:8" x14ac:dyDescent="0.2">
      <c r="A23">
        <v>524288</v>
      </c>
      <c r="B23">
        <v>32</v>
      </c>
      <c r="D23">
        <v>257.94</v>
      </c>
      <c r="E23">
        <f>C10+A23*1024/(MIN(B23,8)*C7/3)</f>
        <v>4258.7162461538455</v>
      </c>
      <c r="F23">
        <f>A23*1024/(E23*0.000001)/1000000000*C9</f>
        <v>250.15829992480653</v>
      </c>
      <c r="H23">
        <f t="shared" si="1"/>
        <v>1.0311071032923254</v>
      </c>
    </row>
    <row r="24" spans="1:8" x14ac:dyDescent="0.2">
      <c r="A24">
        <v>1048576</v>
      </c>
      <c r="B24">
        <v>32</v>
      </c>
      <c r="D24">
        <v>271.08999999999997</v>
      </c>
      <c r="E24">
        <f>C10+A24*1024/(MIN(B24,8)*C7/3)</f>
        <v>8388.4924923076924</v>
      </c>
      <c r="F24">
        <f>A24*1024/(E24*0.000001)/1000000000*C9</f>
        <v>254.00349752400365</v>
      </c>
      <c r="H24">
        <f t="shared" si="1"/>
        <v>1.0672687685112747</v>
      </c>
    </row>
    <row r="25" spans="1:8" x14ac:dyDescent="0.2">
      <c r="A25">
        <v>2097152</v>
      </c>
      <c r="B25">
        <v>32</v>
      </c>
      <c r="D25">
        <v>336.94</v>
      </c>
      <c r="E25">
        <f>C10+A25*1024/(MIN(B25,8)*C7/3)</f>
        <v>16648.044984615382</v>
      </c>
      <c r="F25">
        <f>A25*1024/(E25*0.000001)/1000000000*C9</f>
        <v>255.97076821560802</v>
      </c>
      <c r="H25">
        <f t="shared" si="1"/>
        <v>1.3163221814304609</v>
      </c>
    </row>
    <row r="26" spans="1:8" x14ac:dyDescent="0.2">
      <c r="A26">
        <v>4194304</v>
      </c>
      <c r="B26">
        <v>32</v>
      </c>
      <c r="D26">
        <v>343.36</v>
      </c>
      <c r="E26">
        <f>C10+A26*1024/(MIN(B26,8)*C7/3)</f>
        <v>33167.14996923077</v>
      </c>
      <c r="F26">
        <f>A26*1024/(E26*0.000001)/1000000000*C9</f>
        <v>256.96587544925154</v>
      </c>
      <c r="H26">
        <f t="shared" si="1"/>
        <v>1.3362085506478487</v>
      </c>
    </row>
    <row r="27" spans="1:8" x14ac:dyDescent="0.2">
      <c r="A27">
        <v>8388608</v>
      </c>
      <c r="B27">
        <v>32</v>
      </c>
      <c r="D27">
        <v>338</v>
      </c>
      <c r="E27">
        <f>C10+A27*1024/(MIN(B27,8)*C7/3)</f>
        <v>66205.359938461537</v>
      </c>
      <c r="F27">
        <f>A27*1024/(E27*0.000001)/1000000000*C9</f>
        <v>257.46633613719615</v>
      </c>
      <c r="H27">
        <f t="shared" si="1"/>
        <v>1.312792985176477</v>
      </c>
    </row>
    <row r="29" spans="1:8" x14ac:dyDescent="0.2">
      <c r="A29" t="s">
        <v>36</v>
      </c>
    </row>
    <row r="30" spans="1:8" x14ac:dyDescent="0.2">
      <c r="A30" t="s">
        <v>1</v>
      </c>
      <c r="B30" t="s">
        <v>2</v>
      </c>
      <c r="C30" t="s">
        <v>3</v>
      </c>
    </row>
    <row r="31" spans="1:8" x14ac:dyDescent="0.2">
      <c r="A31" t="s">
        <v>4</v>
      </c>
      <c r="B31" t="s">
        <v>5</v>
      </c>
      <c r="C31">
        <v>16</v>
      </c>
    </row>
    <row r="32" spans="1:8" x14ac:dyDescent="0.2">
      <c r="A32" t="s">
        <v>6</v>
      </c>
      <c r="B32" t="s">
        <v>7</v>
      </c>
      <c r="C32">
        <v>8</v>
      </c>
    </row>
    <row r="33" spans="1:8" x14ac:dyDescent="0.2">
      <c r="A33" t="s">
        <v>8</v>
      </c>
      <c r="B33" t="s">
        <v>9</v>
      </c>
      <c r="C33">
        <v>128</v>
      </c>
    </row>
    <row r="34" spans="1:8" x14ac:dyDescent="0.2">
      <c r="A34" t="s">
        <v>10</v>
      </c>
      <c r="B34" t="s">
        <v>11</v>
      </c>
      <c r="C34">
        <v>24.92</v>
      </c>
    </row>
    <row r="35" spans="1:8" x14ac:dyDescent="0.2">
      <c r="A35" t="s">
        <v>12</v>
      </c>
      <c r="B35" t="s">
        <v>13</v>
      </c>
      <c r="C35">
        <v>48750</v>
      </c>
    </row>
    <row r="36" spans="1:8" x14ac:dyDescent="0.2">
      <c r="A36" t="s">
        <v>26</v>
      </c>
      <c r="B36" t="s">
        <v>27</v>
      </c>
      <c r="C36">
        <v>8.4</v>
      </c>
    </row>
    <row r="37" spans="1:8" x14ac:dyDescent="0.2">
      <c r="A37" t="s">
        <v>14</v>
      </c>
      <c r="B37" t="s">
        <v>15</v>
      </c>
      <c r="C37">
        <f>2*(C33-1)/C33</f>
        <v>1.984375</v>
      </c>
    </row>
    <row r="38" spans="1:8" x14ac:dyDescent="0.2">
      <c r="A38" t="s">
        <v>34</v>
      </c>
      <c r="B38" t="s">
        <v>35</v>
      </c>
      <c r="C38">
        <f>(2*LOG(C31,2)+1)*C34/2+2*C36</f>
        <v>128.94000000000003</v>
      </c>
    </row>
    <row r="40" spans="1:8" x14ac:dyDescent="0.2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24</v>
      </c>
    </row>
    <row r="41" spans="1:8" x14ac:dyDescent="0.2">
      <c r="A41">
        <v>7.8125E-3</v>
      </c>
      <c r="B41">
        <v>1</v>
      </c>
      <c r="C41">
        <v>0</v>
      </c>
      <c r="E41">
        <f>C38+A41*1024/(MIN(B41,8)*(C35/2)/3)</f>
        <v>128.94098461538465</v>
      </c>
      <c r="F41">
        <f>A41*1024/(E41*0.000001)/1000000000*C37</f>
        <v>1.2311834012554816E-4</v>
      </c>
      <c r="G41">
        <f t="shared" ref="G41:G51" si="2">C41/F41</f>
        <v>0</v>
      </c>
    </row>
    <row r="42" spans="1:8" x14ac:dyDescent="0.2">
      <c r="A42">
        <v>1.5625E-2</v>
      </c>
      <c r="B42">
        <v>1</v>
      </c>
      <c r="C42">
        <v>0</v>
      </c>
      <c r="E42">
        <f>C38+A42*1024/(MIN(B42,8)*(C35/2)/3)</f>
        <v>128.94196923076925</v>
      </c>
      <c r="F42">
        <f>A42*1024/(E42*0.000001)/1000000000*C37</f>
        <v>2.4623479996010127E-4</v>
      </c>
      <c r="G42">
        <f t="shared" si="2"/>
        <v>0</v>
      </c>
    </row>
    <row r="43" spans="1:8" x14ac:dyDescent="0.2">
      <c r="A43">
        <v>3.125E-2</v>
      </c>
      <c r="B43">
        <v>1</v>
      </c>
      <c r="C43">
        <v>0</v>
      </c>
      <c r="E43">
        <f>C38+A43*1024/(MIN(B43,8)*(C35/2)/3)</f>
        <v>128.94393846153849</v>
      </c>
      <c r="F43">
        <f>A43*1024/(E43*0.000001)/1000000000*C37</f>
        <v>4.9246207892851698E-4</v>
      </c>
      <c r="G43">
        <f t="shared" si="2"/>
        <v>0</v>
      </c>
    </row>
    <row r="44" spans="1:8" x14ac:dyDescent="0.2">
      <c r="A44">
        <v>6.25E-2</v>
      </c>
      <c r="B44">
        <v>1</v>
      </c>
      <c r="C44">
        <v>0</v>
      </c>
      <c r="E44">
        <f>C38+A44*1024/(MIN(B44,8)*(C35/2)/3)</f>
        <v>128.94787692307696</v>
      </c>
      <c r="F44">
        <f>A44*1024/(E44*0.000001)/1000000000*C37</f>
        <v>9.8489407526857571E-4</v>
      </c>
      <c r="G44">
        <f t="shared" si="2"/>
        <v>0</v>
      </c>
    </row>
    <row r="45" spans="1:8" x14ac:dyDescent="0.2">
      <c r="A45">
        <v>0.125</v>
      </c>
      <c r="B45">
        <v>1</v>
      </c>
      <c r="C45">
        <v>0</v>
      </c>
      <c r="E45">
        <f>C38+A45*1024/(MIN(B45,8)*(C35/2)/3)</f>
        <v>128.95575384615387</v>
      </c>
      <c r="F45">
        <f>A45*1024/(E45*0.000001)/1000000000*C37</f>
        <v>1.9696678312084142E-3</v>
      </c>
      <c r="G45">
        <f t="shared" si="2"/>
        <v>0</v>
      </c>
    </row>
    <row r="46" spans="1:8" x14ac:dyDescent="0.2">
      <c r="A46">
        <v>0.25</v>
      </c>
      <c r="B46">
        <v>1</v>
      </c>
      <c r="C46">
        <v>0</v>
      </c>
      <c r="E46">
        <f>C38+A46*1024/(MIN(B46,8)*(C35/2)/3)</f>
        <v>128.97150769230771</v>
      </c>
      <c r="F46">
        <f>A46*1024/(E46*0.000001)/1000000000*C37</f>
        <v>3.9388544732837831E-3</v>
      </c>
      <c r="G46">
        <f t="shared" si="2"/>
        <v>0</v>
      </c>
    </row>
    <row r="47" spans="1:8" x14ac:dyDescent="0.2">
      <c r="A47">
        <v>0.5</v>
      </c>
      <c r="B47">
        <v>1</v>
      </c>
      <c r="C47">
        <v>0.01</v>
      </c>
      <c r="E47">
        <f>C38+A47*1024/(MIN(B47,8)*(C35/2)/3)</f>
        <v>129.00301538461542</v>
      </c>
      <c r="F47">
        <f>A47*1024/(E47*0.000001)/1000000000*C37</f>
        <v>7.8757848951890898E-3</v>
      </c>
      <c r="G47">
        <f t="shared" si="2"/>
        <v>1.2697147183525141</v>
      </c>
    </row>
    <row r="48" spans="1:8" x14ac:dyDescent="0.2">
      <c r="A48">
        <v>1</v>
      </c>
      <c r="B48">
        <v>1</v>
      </c>
      <c r="C48">
        <v>0.01</v>
      </c>
      <c r="E48">
        <f>C38+A48*1024/(MIN(B48,8)*(C35/2)/3)</f>
        <v>129.06603076923079</v>
      </c>
      <c r="F48">
        <f>A48*1024/(E48*0.000001)/1000000000*C37</f>
        <v>1.5743879221273974E-2</v>
      </c>
      <c r="G48">
        <f t="shared" si="2"/>
        <v>0.63516747425802556</v>
      </c>
    </row>
    <row r="49" spans="1:8" x14ac:dyDescent="0.2">
      <c r="A49">
        <v>2</v>
      </c>
      <c r="B49">
        <v>1</v>
      </c>
      <c r="C49">
        <v>0.03</v>
      </c>
      <c r="E49">
        <f>C38+A49*1024/(MIN(B49,8)*(C35/2)/3)</f>
        <v>129.19206153846156</v>
      </c>
      <c r="F49">
        <f>A49*1024/(E49*0.000001)/1000000000*C37</f>
        <v>3.1457041180429753E-2</v>
      </c>
      <c r="G49">
        <f t="shared" si="2"/>
        <v>0.95368155663234411</v>
      </c>
    </row>
    <row r="50" spans="1:8" x14ac:dyDescent="0.2">
      <c r="A50">
        <v>4</v>
      </c>
      <c r="B50">
        <v>1</v>
      </c>
      <c r="C50">
        <v>0.05</v>
      </c>
      <c r="D50">
        <v>0.06</v>
      </c>
      <c r="E50">
        <f>C38+A50*1024/(MIN(B50,8)*(C35/2)/3)</f>
        <v>129.44412307692309</v>
      </c>
      <c r="F50">
        <f>A50*1024/(E50*0.000001)/1000000000*C37</f>
        <v>6.2791572199611401E-2</v>
      </c>
      <c r="G50">
        <f t="shared" si="2"/>
        <v>0.79628520593579655</v>
      </c>
      <c r="H50">
        <f>D50/F50</f>
        <v>0.95554224712295577</v>
      </c>
    </row>
    <row r="51" spans="1:8" x14ac:dyDescent="0.2">
      <c r="A51">
        <v>8</v>
      </c>
      <c r="B51">
        <v>2</v>
      </c>
      <c r="C51">
        <v>0.09</v>
      </c>
      <c r="D51">
        <v>0.12</v>
      </c>
      <c r="E51">
        <f>C38+A51*1024/(MIN(B51,8)*(C35/2)/3)</f>
        <v>129.44412307692309</v>
      </c>
      <c r="F51">
        <f>A51*1024/(E51*0.000001)/1000000000*C37</f>
        <v>0.1255831443992228</v>
      </c>
      <c r="G51">
        <f t="shared" si="2"/>
        <v>0.71665668534221683</v>
      </c>
      <c r="H51">
        <f>D51/F51</f>
        <v>0.95554224712295577</v>
      </c>
    </row>
    <row r="53" spans="1:8" x14ac:dyDescent="0.2">
      <c r="A53" t="s">
        <v>37</v>
      </c>
    </row>
    <row r="54" spans="1:8" x14ac:dyDescent="0.2">
      <c r="A54" t="s">
        <v>1</v>
      </c>
      <c r="B54" t="s">
        <v>2</v>
      </c>
      <c r="C54" t="s">
        <v>3</v>
      </c>
    </row>
    <row r="55" spans="1:8" x14ac:dyDescent="0.2">
      <c r="A55" t="s">
        <v>4</v>
      </c>
      <c r="B55" t="s">
        <v>5</v>
      </c>
      <c r="C55">
        <v>16</v>
      </c>
    </row>
    <row r="56" spans="1:8" x14ac:dyDescent="0.2">
      <c r="A56" t="s">
        <v>6</v>
      </c>
      <c r="B56" t="s">
        <v>7</v>
      </c>
      <c r="C56">
        <v>8</v>
      </c>
    </row>
    <row r="57" spans="1:8" x14ac:dyDescent="0.2">
      <c r="A57" t="s">
        <v>8</v>
      </c>
      <c r="B57" t="s">
        <v>9</v>
      </c>
      <c r="C57">
        <v>128</v>
      </c>
    </row>
    <row r="58" spans="1:8" x14ac:dyDescent="0.2">
      <c r="A58" t="s">
        <v>10</v>
      </c>
      <c r="B58" t="s">
        <v>11</v>
      </c>
      <c r="C58">
        <v>24.92</v>
      </c>
    </row>
    <row r="59" spans="1:8" x14ac:dyDescent="0.2">
      <c r="A59" t="s">
        <v>12</v>
      </c>
      <c r="B59" t="s">
        <v>13</v>
      </c>
      <c r="C59">
        <v>48750</v>
      </c>
    </row>
    <row r="60" spans="1:8" x14ac:dyDescent="0.2">
      <c r="A60" t="s">
        <v>26</v>
      </c>
      <c r="B60" t="s">
        <v>27</v>
      </c>
      <c r="C60">
        <v>8.4</v>
      </c>
    </row>
    <row r="61" spans="1:8" x14ac:dyDescent="0.2">
      <c r="A61" t="s">
        <v>14</v>
      </c>
      <c r="B61" t="s">
        <v>15</v>
      </c>
      <c r="C61">
        <f>2*(C57-1)/C57</f>
        <v>1.984375</v>
      </c>
    </row>
    <row r="62" spans="1:8" x14ac:dyDescent="0.2">
      <c r="A62" t="s">
        <v>34</v>
      </c>
      <c r="B62" t="s">
        <v>35</v>
      </c>
      <c r="C62">
        <f>(2*LOG(C55,2)+1)*C58/2+2*C60</f>
        <v>128.94000000000003</v>
      </c>
    </row>
    <row r="64" spans="1:8" x14ac:dyDescent="0.2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23</v>
      </c>
      <c r="H64" t="s">
        <v>24</v>
      </c>
    </row>
    <row r="65" spans="1:8" x14ac:dyDescent="0.2">
      <c r="A65">
        <v>8</v>
      </c>
      <c r="B65">
        <v>1</v>
      </c>
      <c r="C65">
        <v>0.08</v>
      </c>
      <c r="D65">
        <v>0.1</v>
      </c>
      <c r="E65">
        <f>C62+A65*1024/(MIN(B65,8)*(C59*15/16)/3)</f>
        <v>129.47773128205131</v>
      </c>
      <c r="F65">
        <f>A65*1024/(E65*0.000001)/1000000000*C61</f>
        <v>0.12555054710209826</v>
      </c>
      <c r="G65">
        <f t="shared" ref="G65:G71" si="3">C65/F65</f>
        <v>0.63719355945891376</v>
      </c>
      <c r="H65">
        <f t="shared" ref="H65:H71" si="4">D65/F65</f>
        <v>0.7964919493236422</v>
      </c>
    </row>
    <row r="66" spans="1:8" x14ac:dyDescent="0.2">
      <c r="A66">
        <v>16</v>
      </c>
      <c r="B66">
        <v>1</v>
      </c>
      <c r="C66">
        <v>0.16</v>
      </c>
      <c r="D66">
        <v>0.2</v>
      </c>
      <c r="E66">
        <f>C62+A66*1024/(MIN(B66,8)*(C59*15/16)/3)</f>
        <v>130.01546256410259</v>
      </c>
      <c r="F66">
        <f>A66*1024/(E66*0.000001)/1000000000*C61</f>
        <v>0.25006256455050757</v>
      </c>
      <c r="G66">
        <f t="shared" si="3"/>
        <v>0.63983987482333948</v>
      </c>
      <c r="H66">
        <f t="shared" si="4"/>
        <v>0.79979984352917433</v>
      </c>
    </row>
    <row r="67" spans="1:8" x14ac:dyDescent="0.2">
      <c r="A67">
        <v>32</v>
      </c>
      <c r="B67">
        <v>2</v>
      </c>
      <c r="C67">
        <v>0.32</v>
      </c>
      <c r="D67">
        <v>0.39</v>
      </c>
      <c r="E67">
        <f>C62+A67*1024/(MIN(B67,8)*(C59*15/16)/3)</f>
        <v>130.01546256410259</v>
      </c>
      <c r="F67">
        <f>A67*1024/(E67*0.000001)/1000000000*C61</f>
        <v>0.50012512910101514</v>
      </c>
      <c r="G67">
        <f t="shared" si="3"/>
        <v>0.63983987482333948</v>
      </c>
      <c r="H67">
        <f t="shared" si="4"/>
        <v>0.77980484744094491</v>
      </c>
    </row>
    <row r="68" spans="1:8" x14ac:dyDescent="0.2">
      <c r="A68">
        <v>64</v>
      </c>
      <c r="B68">
        <v>4</v>
      </c>
      <c r="C68">
        <v>0.63</v>
      </c>
      <c r="D68">
        <v>0.75</v>
      </c>
      <c r="E68">
        <f>C62+A68*1024/(MIN(B68,8)*(C59*15/16)/3)</f>
        <v>130.01546256410259</v>
      </c>
      <c r="F68">
        <f>A68*1024/(E68*0.000001)/1000000000*C61</f>
        <v>1.0002502582020303</v>
      </c>
      <c r="G68">
        <f t="shared" si="3"/>
        <v>0.62984237677922472</v>
      </c>
      <c r="H68">
        <f t="shared" si="4"/>
        <v>0.74981235330860085</v>
      </c>
    </row>
    <row r="69" spans="1:8" x14ac:dyDescent="0.2">
      <c r="A69">
        <v>128</v>
      </c>
      <c r="B69">
        <v>8</v>
      </c>
      <c r="C69">
        <v>1.25</v>
      </c>
      <c r="D69">
        <v>1.46</v>
      </c>
      <c r="E69">
        <f>C62+A69*1024/(MIN(B69,8)*(C59*15/16)/3)</f>
        <v>130.01546256410259</v>
      </c>
      <c r="F69">
        <f>A69*1024/(E69*0.000001)/1000000000*C61</f>
        <v>2.0005005164040606</v>
      </c>
      <c r="G69">
        <f t="shared" si="3"/>
        <v>0.6248436277571674</v>
      </c>
      <c r="H69">
        <f t="shared" si="4"/>
        <v>0.72981735722037155</v>
      </c>
    </row>
    <row r="70" spans="1:8" x14ac:dyDescent="0.2">
      <c r="A70">
        <v>256</v>
      </c>
      <c r="B70">
        <v>16</v>
      </c>
      <c r="C70">
        <v>2.46</v>
      </c>
      <c r="D70">
        <v>2.76</v>
      </c>
      <c r="E70">
        <f>C62+A70*1024/(MIN(B70,8)*(C59*15/16)/3)</f>
        <v>131.09092512820516</v>
      </c>
      <c r="F70">
        <f>A70*1024/(E70*0.000001)/1000000000*C61</f>
        <v>3.9681770457509491</v>
      </c>
      <c r="G70">
        <f t="shared" si="3"/>
        <v>0.61993201705405832</v>
      </c>
      <c r="H70">
        <f t="shared" si="4"/>
        <v>0.69553348254845559</v>
      </c>
    </row>
    <row r="71" spans="1:8" x14ac:dyDescent="0.2">
      <c r="A71">
        <v>512</v>
      </c>
      <c r="B71">
        <v>32</v>
      </c>
      <c r="C71">
        <v>4.7300000000000004</v>
      </c>
      <c r="D71">
        <v>5.59</v>
      </c>
      <c r="E71">
        <f>C62+A71*1024/(MIN(B71,8)*(C59*15/16)/3)</f>
        <v>133.24185025641029</v>
      </c>
      <c r="F71">
        <f>A71*1024/(E71*0.000001)/1000000000*C61</f>
        <v>7.8082374118783822</v>
      </c>
      <c r="G71">
        <f t="shared" si="3"/>
        <v>0.6057705152259365</v>
      </c>
      <c r="H71">
        <f t="shared" si="4"/>
        <v>0.71591060890337943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>
      <selection activeCell="T16" sqref="T16"/>
    </sheetView>
  </sheetViews>
  <sheetFormatPr baseColWidth="10" defaultColWidth="8.83203125" defaultRowHeight="15" x14ac:dyDescent="0.2"/>
  <sheetData>
    <row r="1" spans="1:8" x14ac:dyDescent="0.2">
      <c r="A1" t="s">
        <v>38</v>
      </c>
    </row>
    <row r="2" spans="1:8" x14ac:dyDescent="0.2">
      <c r="A2" t="s">
        <v>1</v>
      </c>
      <c r="B2" t="s">
        <v>2</v>
      </c>
      <c r="C2" t="s">
        <v>3</v>
      </c>
    </row>
    <row r="3" spans="1:8" x14ac:dyDescent="0.2">
      <c r="A3" t="s">
        <v>6</v>
      </c>
      <c r="B3" t="s">
        <v>39</v>
      </c>
      <c r="C3">
        <v>16</v>
      </c>
    </row>
    <row r="4" spans="1:8" x14ac:dyDescent="0.2">
      <c r="A4" t="s">
        <v>10</v>
      </c>
      <c r="B4" t="s">
        <v>11</v>
      </c>
      <c r="C4">
        <v>24.92</v>
      </c>
    </row>
    <row r="5" spans="1:8" x14ac:dyDescent="0.2">
      <c r="A5" t="s">
        <v>12</v>
      </c>
      <c r="B5" t="s">
        <v>13</v>
      </c>
      <c r="C5">
        <v>48750</v>
      </c>
    </row>
    <row r="6" spans="1:8" x14ac:dyDescent="0.2">
      <c r="A6" t="s">
        <v>14</v>
      </c>
      <c r="B6" t="s">
        <v>40</v>
      </c>
      <c r="C6">
        <f>(C3-1)/C3</f>
        <v>0.9375</v>
      </c>
    </row>
    <row r="7" spans="1:8" x14ac:dyDescent="0.2">
      <c r="A7" t="s">
        <v>41</v>
      </c>
      <c r="B7" t="s">
        <v>42</v>
      </c>
      <c r="C7">
        <f>(C3-1)/(C3*C5)</f>
        <v>1.9230769230769231E-5</v>
      </c>
    </row>
    <row r="8" spans="1:8" x14ac:dyDescent="0.2">
      <c r="A8" t="s">
        <v>30</v>
      </c>
      <c r="B8" t="s">
        <v>43</v>
      </c>
      <c r="C8">
        <f>(C3-1)*C4/2</f>
        <v>186.9</v>
      </c>
    </row>
    <row r="10" spans="1:8" x14ac:dyDescent="0.2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</row>
    <row r="11" spans="1:8" x14ac:dyDescent="0.2">
      <c r="A11">
        <v>512</v>
      </c>
      <c r="B11">
        <v>4</v>
      </c>
      <c r="C11">
        <v>1.22</v>
      </c>
      <c r="D11">
        <v>3.19</v>
      </c>
      <c r="E11">
        <f>C8*CEILING(A11*1024/(C3*B11*MIN(4*1024*1024,A11*1024/(C3*B11))),1)+A11*1024*C7</f>
        <v>196.98246153846154</v>
      </c>
      <c r="F11">
        <f>A11*1024/(E11*0.000001)/1000000000*C6</f>
        <v>2.4952475269176642</v>
      </c>
      <c r="G11">
        <f t="shared" ref="G11:G25" si="0">C11/F11</f>
        <v>0.48892944961939094</v>
      </c>
      <c r="H11">
        <f t="shared" ref="H11:H25" si="1">D11/F11</f>
        <v>1.2784302822015223</v>
      </c>
    </row>
    <row r="12" spans="1:8" x14ac:dyDescent="0.2">
      <c r="A12">
        <v>1024</v>
      </c>
      <c r="B12">
        <v>4</v>
      </c>
      <c r="C12">
        <v>2.1800000000000002</v>
      </c>
      <c r="D12">
        <v>6.88</v>
      </c>
      <c r="E12">
        <f>C8*CEILING(A12*1024/(C3*B12*MIN(4*1024*1024,A12*1024/(C3*B12))),1)+A12*1024*C7</f>
        <v>207.06492307692309</v>
      </c>
      <c r="F12">
        <f>A12*1024/(E12*0.000001)/1000000000*C6</f>
        <v>4.7474965116849264</v>
      </c>
      <c r="G12">
        <f t="shared" si="0"/>
        <v>0.45918938426482381</v>
      </c>
      <c r="H12">
        <f t="shared" si="1"/>
        <v>1.4491848457532053</v>
      </c>
    </row>
    <row r="13" spans="1:8" x14ac:dyDescent="0.2">
      <c r="A13">
        <v>2048</v>
      </c>
      <c r="B13">
        <v>4</v>
      </c>
      <c r="C13">
        <v>3.66</v>
      </c>
      <c r="D13">
        <v>12.99</v>
      </c>
      <c r="E13">
        <f>C8*CEILING(A13*1024/(C3*B13*MIN(4*1024*1024,A13*1024/(C3*B13))),1)+A13*1024*C7</f>
        <v>227.22984615384615</v>
      </c>
      <c r="F13">
        <f>A13*1024/(E13*0.000001)/1000000000*C6</f>
        <v>8.6523845052857382</v>
      </c>
      <c r="G13">
        <f t="shared" si="0"/>
        <v>0.42300477952223547</v>
      </c>
      <c r="H13">
        <f t="shared" si="1"/>
        <v>1.5013202420748193</v>
      </c>
    </row>
    <row r="14" spans="1:8" x14ac:dyDescent="0.2">
      <c r="A14">
        <v>4096</v>
      </c>
      <c r="B14">
        <v>4</v>
      </c>
      <c r="C14">
        <v>7.27</v>
      </c>
      <c r="D14">
        <v>22.2</v>
      </c>
      <c r="E14">
        <f>C8*CEILING(A14*1024/(C3*B14*MIN(4*1024*1024,A14*1024/(C3*B14))),1)+A14*1024*C7</f>
        <v>267.55969230769233</v>
      </c>
      <c r="F14">
        <f>A14*1024/(E14*0.000001)/1000000000*C6</f>
        <v>14.696384070729293</v>
      </c>
      <c r="G14">
        <f t="shared" si="0"/>
        <v>0.49467950517703319</v>
      </c>
      <c r="H14">
        <f t="shared" si="1"/>
        <v>1.5105756554236778</v>
      </c>
    </row>
    <row r="15" spans="1:8" x14ac:dyDescent="0.2">
      <c r="A15">
        <v>8192</v>
      </c>
      <c r="B15">
        <v>4</v>
      </c>
      <c r="C15">
        <v>13.88</v>
      </c>
      <c r="D15">
        <v>23.81</v>
      </c>
      <c r="E15">
        <f>C8*CEILING(A15*1024/(C3*B15*MIN(4*1024*1024,A15*1024/(C3*B15))),1)+A15*1024*C7</f>
        <v>348.21938461538463</v>
      </c>
      <c r="F15">
        <f>A15*1024/(E15*0.000001)/1000000000*C6</f>
        <v>22.584383143076028</v>
      </c>
      <c r="G15">
        <f t="shared" si="0"/>
        <v>0.61458397654997998</v>
      </c>
      <c r="H15">
        <f t="shared" si="1"/>
        <v>1.054268334413186</v>
      </c>
    </row>
    <row r="16" spans="1:8" x14ac:dyDescent="0.2">
      <c r="A16">
        <v>16384</v>
      </c>
      <c r="B16">
        <v>4</v>
      </c>
      <c r="C16">
        <v>22.91</v>
      </c>
      <c r="D16">
        <v>29.32</v>
      </c>
      <c r="E16">
        <f>C8*CEILING(A16*1024/(C3*B16*MIN(4*1024*1024,A16*1024/(C3*B16))),1)+A16*1024*C7</f>
        <v>509.53876923076928</v>
      </c>
      <c r="F16">
        <f>A16*1024/(E16*0.000001)/1000000000*C6</f>
        <v>30.868387156771039</v>
      </c>
      <c r="G16">
        <f t="shared" si="0"/>
        <v>0.7421832531660032</v>
      </c>
      <c r="H16">
        <f t="shared" si="1"/>
        <v>0.94983906516050687</v>
      </c>
    </row>
    <row r="17" spans="1:8" x14ac:dyDescent="0.2">
      <c r="A17">
        <v>32768</v>
      </c>
      <c r="B17">
        <v>4</v>
      </c>
      <c r="C17">
        <v>33.69</v>
      </c>
      <c r="D17">
        <v>39.19</v>
      </c>
      <c r="E17">
        <f>C8*CEILING(A17*1024/(C3*B17*MIN(4*1024*1024,A17*1024/(C3*B17))),1)+A17*1024*C7</f>
        <v>832.17753846153846</v>
      </c>
      <c r="F17">
        <f>A17*1024/(E17*0.000001)/1000000000*C6</f>
        <v>37.801164470451383</v>
      </c>
      <c r="G17">
        <f t="shared" si="0"/>
        <v>0.89124238557081958</v>
      </c>
      <c r="H17">
        <f t="shared" si="1"/>
        <v>1.0367405488429926</v>
      </c>
    </row>
    <row r="18" spans="1:8" x14ac:dyDescent="0.2">
      <c r="A18">
        <v>65536</v>
      </c>
      <c r="B18">
        <v>4</v>
      </c>
      <c r="C18">
        <v>39.68</v>
      </c>
      <c r="D18">
        <v>43.13</v>
      </c>
      <c r="E18">
        <f>C8*CEILING(A18*1024/(C3*B18*MIN(4*1024*1024,A18*1024/(C3*B18))),1)+A18*1024*C7</f>
        <v>1477.4550769230771</v>
      </c>
      <c r="F18">
        <f>A18*1024/(E18*0.000001)/1000000000*C6</f>
        <v>42.583061226487381</v>
      </c>
      <c r="G18">
        <f t="shared" si="0"/>
        <v>0.93182591521434288</v>
      </c>
      <c r="H18">
        <f t="shared" si="1"/>
        <v>1.0128440454434124</v>
      </c>
    </row>
    <row r="19" spans="1:8" x14ac:dyDescent="0.2">
      <c r="A19">
        <v>131072</v>
      </c>
      <c r="B19">
        <v>4</v>
      </c>
      <c r="C19">
        <v>44.98</v>
      </c>
      <c r="D19">
        <v>44.58</v>
      </c>
      <c r="E19">
        <f>C8*CEILING(A19*1024/(C3*B19*MIN(4*1024*1024,A19*1024/(C3*B19))),1)+A19*1024*C7</f>
        <v>2768.010153846154</v>
      </c>
      <c r="F19">
        <f>A19*1024/(E19*0.000001)/1000000000*C6</f>
        <v>45.458330355168769</v>
      </c>
      <c r="G19">
        <f t="shared" si="0"/>
        <v>0.98947760836283372</v>
      </c>
      <c r="H19">
        <f t="shared" si="1"/>
        <v>0.98067834105858442</v>
      </c>
    </row>
    <row r="20" spans="1:8" x14ac:dyDescent="0.2">
      <c r="A20">
        <v>262144</v>
      </c>
      <c r="B20">
        <v>4</v>
      </c>
      <c r="C20">
        <v>45.62</v>
      </c>
      <c r="D20">
        <v>45.24</v>
      </c>
      <c r="E20">
        <f>C8*CEILING(A20*1024/(C3*B20*MIN(4*1024*1024,A20*1024/(C3*B20))),1)+A20*1024*C7</f>
        <v>5349.1203076923075</v>
      </c>
      <c r="F20">
        <f>A20*1024/(E20*0.000001)/1000000000*C6</f>
        <v>47.046659174612806</v>
      </c>
      <c r="G20">
        <f t="shared" si="0"/>
        <v>0.96967565392225219</v>
      </c>
      <c r="H20">
        <f t="shared" si="1"/>
        <v>0.96159856605529792</v>
      </c>
    </row>
    <row r="21" spans="1:8" x14ac:dyDescent="0.2">
      <c r="A21">
        <v>524288</v>
      </c>
      <c r="B21">
        <v>4</v>
      </c>
      <c r="C21">
        <v>46.38</v>
      </c>
      <c r="D21">
        <v>45.45</v>
      </c>
      <c r="E21">
        <f>C8*CEILING(A21*1024/(C3*B21*MIN(4*1024*1024,A21*1024/(C3*B21))),1)+A21*1024*C7</f>
        <v>10698.240615384615</v>
      </c>
      <c r="F21">
        <f>A21*1024/(E21*0.000001)/1000000000*C6</f>
        <v>47.046659174612806</v>
      </c>
      <c r="G21">
        <f t="shared" si="0"/>
        <v>0.98582982965616095</v>
      </c>
      <c r="H21">
        <f t="shared" si="1"/>
        <v>0.96606221987650953</v>
      </c>
    </row>
    <row r="22" spans="1:8" x14ac:dyDescent="0.2">
      <c r="A22">
        <v>1048576</v>
      </c>
      <c r="B22">
        <v>4</v>
      </c>
      <c r="C22">
        <v>46.81</v>
      </c>
      <c r="D22">
        <v>45.55</v>
      </c>
      <c r="E22">
        <f>C8*CEILING(A22*1024/(C3*B22*MIN(4*1024*1024,A22*1024/(C3*B22))),1)+A22*1024*C7</f>
        <v>21396.48123076923</v>
      </c>
      <c r="F22">
        <f>A22*1024/(E22*0.000001)/1000000000*C6</f>
        <v>47.046659174612806</v>
      </c>
      <c r="G22">
        <f t="shared" si="0"/>
        <v>0.99496969224245135</v>
      </c>
      <c r="H22">
        <f t="shared" si="1"/>
        <v>0.96818776931518169</v>
      </c>
    </row>
    <row r="23" spans="1:8" x14ac:dyDescent="0.2">
      <c r="A23">
        <v>2097152</v>
      </c>
      <c r="B23">
        <v>4</v>
      </c>
      <c r="C23">
        <v>47.01</v>
      </c>
      <c r="D23">
        <v>45.71</v>
      </c>
      <c r="E23">
        <f>C8*CEILING(A23*1024/(C3*B23*MIN(4*1024*1024,A23*1024/(C3*B23))),1)+A23*1024*C7</f>
        <v>42792.96246153846</v>
      </c>
      <c r="F23">
        <f>A23*1024/(E23*0.000001)/1000000000*C6</f>
        <v>47.046659174612806</v>
      </c>
      <c r="G23">
        <f t="shared" si="0"/>
        <v>0.99922079111979556</v>
      </c>
      <c r="H23">
        <f t="shared" si="1"/>
        <v>0.97158864841705717</v>
      </c>
    </row>
    <row r="24" spans="1:8" x14ac:dyDescent="0.2">
      <c r="A24">
        <v>4194304</v>
      </c>
      <c r="B24">
        <v>4</v>
      </c>
      <c r="C24">
        <v>47.27</v>
      </c>
      <c r="D24">
        <v>45.75</v>
      </c>
      <c r="E24">
        <f>C8*CEILING(A24*1024/(C3*B24*MIN(4*1024*1024,A24*1024/(C3*B24))),1)+A24*1024*C7</f>
        <v>85585.92492307692</v>
      </c>
      <c r="F24">
        <f>A24*1024/(E24*0.000001)/1000000000*C6</f>
        <v>47.046659174612806</v>
      </c>
      <c r="G24">
        <f t="shared" si="0"/>
        <v>1.0047472196603433</v>
      </c>
      <c r="H24">
        <f t="shared" si="1"/>
        <v>0.97243886819252612</v>
      </c>
    </row>
    <row r="25" spans="1:8" x14ac:dyDescent="0.2">
      <c r="A25">
        <v>8388608</v>
      </c>
      <c r="B25">
        <v>4</v>
      </c>
      <c r="C25">
        <v>47.44</v>
      </c>
      <c r="D25">
        <v>45.85</v>
      </c>
      <c r="E25">
        <f>C8*CEILING(A25*1024/(C3*B25*MIN(4*1024*1024,A25*1024/(C3*B25))),1)+A25*1024*C7</f>
        <v>171171.84984615384</v>
      </c>
      <c r="F25">
        <f>A25*1024/(E25*0.000001)/1000000000*C6</f>
        <v>47.046659174612806</v>
      </c>
      <c r="G25">
        <f t="shared" si="0"/>
        <v>1.0083606537060861</v>
      </c>
      <c r="H25">
        <f t="shared" si="1"/>
        <v>0.97456441763119828</v>
      </c>
    </row>
    <row r="27" spans="1:8" x14ac:dyDescent="0.2">
      <c r="A27" t="s">
        <v>44</v>
      </c>
    </row>
    <row r="28" spans="1:8" x14ac:dyDescent="0.2">
      <c r="A28" t="s">
        <v>1</v>
      </c>
      <c r="B28" t="s">
        <v>2</v>
      </c>
      <c r="C28" t="s">
        <v>3</v>
      </c>
    </row>
    <row r="29" spans="1:8" x14ac:dyDescent="0.2">
      <c r="A29" t="s">
        <v>6</v>
      </c>
      <c r="B29" t="s">
        <v>39</v>
      </c>
      <c r="C29">
        <v>16</v>
      </c>
    </row>
    <row r="30" spans="1:8" x14ac:dyDescent="0.2">
      <c r="A30" t="s">
        <v>10</v>
      </c>
      <c r="B30" t="s">
        <v>11</v>
      </c>
      <c r="C30">
        <v>24.92</v>
      </c>
    </row>
    <row r="31" spans="1:8" x14ac:dyDescent="0.2">
      <c r="A31" t="s">
        <v>12</v>
      </c>
      <c r="B31" t="s">
        <v>13</v>
      </c>
      <c r="C31">
        <v>48750</v>
      </c>
    </row>
    <row r="32" spans="1:8" x14ac:dyDescent="0.2">
      <c r="A32" t="s">
        <v>14</v>
      </c>
      <c r="B32" t="s">
        <v>40</v>
      </c>
      <c r="C32">
        <f>(C29-1)/C29</f>
        <v>0.9375</v>
      </c>
    </row>
    <row r="33" spans="1:8" x14ac:dyDescent="0.2">
      <c r="A33" t="s">
        <v>28</v>
      </c>
      <c r="B33" t="s">
        <v>29</v>
      </c>
      <c r="C33">
        <v>32768</v>
      </c>
    </row>
    <row r="34" spans="1:8" x14ac:dyDescent="0.2">
      <c r="A34" t="s">
        <v>41</v>
      </c>
      <c r="B34" t="s">
        <v>45</v>
      </c>
      <c r="C34">
        <f>2*(C29-1)/(C29*C31)</f>
        <v>3.8461538461538463E-5</v>
      </c>
    </row>
    <row r="35" spans="1:8" x14ac:dyDescent="0.2">
      <c r="A35" t="s">
        <v>30</v>
      </c>
      <c r="B35" t="s">
        <v>43</v>
      </c>
      <c r="C35">
        <f>(C29-1)*C30/2</f>
        <v>186.9</v>
      </c>
    </row>
    <row r="37" spans="1:8" x14ac:dyDescent="0.2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23</v>
      </c>
      <c r="H37" t="s">
        <v>24</v>
      </c>
    </row>
    <row r="38" spans="1:8" x14ac:dyDescent="0.2">
      <c r="A38">
        <v>0.25</v>
      </c>
      <c r="B38">
        <v>1</v>
      </c>
      <c r="C38">
        <v>0</v>
      </c>
      <c r="E38">
        <f>C35*CEILING(A38*1024/(B38*C33*C29),1)+A38*1024*C34</f>
        <v>186.90984615384616</v>
      </c>
      <c r="F38">
        <f>A38*1024/(E38*0.000001)/1000000000*C32</f>
        <v>1.2840415041723118E-3</v>
      </c>
      <c r="G38">
        <f t="shared" ref="G38:G43" si="2">C38/F38</f>
        <v>0</v>
      </c>
    </row>
    <row r="39" spans="1:8" x14ac:dyDescent="0.2">
      <c r="A39">
        <v>0.5</v>
      </c>
      <c r="B39">
        <v>1</v>
      </c>
      <c r="C39">
        <v>0</v>
      </c>
      <c r="E39">
        <f>C35*CEILING(A39*1024/(B39*C33*C29),1)+A39*1024*C34</f>
        <v>186.91969230769232</v>
      </c>
      <c r="F39">
        <f>A39*1024/(E39*0.000001)/1000000000*C32</f>
        <v>2.5679477323869242E-3</v>
      </c>
      <c r="G39">
        <f t="shared" si="2"/>
        <v>0</v>
      </c>
    </row>
    <row r="40" spans="1:8" x14ac:dyDescent="0.2">
      <c r="A40">
        <v>1</v>
      </c>
      <c r="B40">
        <v>1</v>
      </c>
      <c r="C40">
        <v>0</v>
      </c>
      <c r="E40">
        <f>C35*CEILING(A40*1024/(B40*C33*C29),1)+A40*1024*C34</f>
        <v>186.93938461538463</v>
      </c>
      <c r="F40">
        <f>A40*1024/(E40*0.000001)/1000000000*C32</f>
        <v>5.1353544464433553E-3</v>
      </c>
      <c r="G40">
        <f t="shared" si="2"/>
        <v>0</v>
      </c>
    </row>
    <row r="41" spans="1:8" x14ac:dyDescent="0.2">
      <c r="A41">
        <v>2</v>
      </c>
      <c r="B41">
        <v>1</v>
      </c>
      <c r="C41">
        <v>0.01</v>
      </c>
      <c r="E41">
        <f>C35*CEILING(A41*1024/(B41*C33*C29),1)+A41*1024*C34</f>
        <v>186.97876923076925</v>
      </c>
      <c r="F41">
        <f>A41*1024/(E41*0.000001)/1000000000*C32</f>
        <v>1.0268545503315062E-2</v>
      </c>
      <c r="G41">
        <f t="shared" si="2"/>
        <v>0.97384775641025645</v>
      </c>
    </row>
    <row r="42" spans="1:8" x14ac:dyDescent="0.2">
      <c r="A42">
        <v>4</v>
      </c>
      <c r="B42">
        <v>1</v>
      </c>
      <c r="C42">
        <v>0.02</v>
      </c>
      <c r="D42">
        <v>0.02</v>
      </c>
      <c r="E42">
        <f>C35*CEILING(A42*1024/(B42*C33*C29),1)+A42*1024*C34</f>
        <v>187.05753846153846</v>
      </c>
      <c r="F42">
        <f>A42*1024/(E42*0.000001)/1000000000*C32</f>
        <v>2.0528442914315135E-2</v>
      </c>
      <c r="G42">
        <f t="shared" si="2"/>
        <v>0.97425801282051283</v>
      </c>
      <c r="H42">
        <f>D42/F42</f>
        <v>0.97425801282051283</v>
      </c>
    </row>
    <row r="43" spans="1:8" x14ac:dyDescent="0.2">
      <c r="A43">
        <v>8</v>
      </c>
      <c r="B43">
        <v>1</v>
      </c>
      <c r="C43">
        <v>0.04</v>
      </c>
      <c r="D43">
        <v>0.05</v>
      </c>
      <c r="E43">
        <f>C35*CEILING(A43*1024/(B43*C33*C29),1)+A43*1024*C34</f>
        <v>187.21507692307694</v>
      </c>
      <c r="F43">
        <f>A43*1024/(E43*0.000001)/1000000000*C32</f>
        <v>4.1022337122749809E-2</v>
      </c>
      <c r="G43">
        <f t="shared" si="2"/>
        <v>0.97507852564102571</v>
      </c>
      <c r="H43">
        <f>D43/F43</f>
        <v>1.2188481570512821</v>
      </c>
    </row>
    <row r="45" spans="1:8" x14ac:dyDescent="0.2">
      <c r="A45" t="s">
        <v>46</v>
      </c>
    </row>
    <row r="46" spans="1:8" x14ac:dyDescent="0.2">
      <c r="A46" t="s">
        <v>1</v>
      </c>
      <c r="B46" t="s">
        <v>2</v>
      </c>
      <c r="C46" t="s">
        <v>3</v>
      </c>
    </row>
    <row r="47" spans="1:8" x14ac:dyDescent="0.2">
      <c r="A47" t="s">
        <v>6</v>
      </c>
      <c r="B47" t="s">
        <v>39</v>
      </c>
      <c r="C47">
        <v>16</v>
      </c>
    </row>
    <row r="48" spans="1:8" x14ac:dyDescent="0.2">
      <c r="A48" t="s">
        <v>10</v>
      </c>
      <c r="B48" t="s">
        <v>11</v>
      </c>
      <c r="C48">
        <v>24.92</v>
      </c>
    </row>
    <row r="49" spans="1:8" x14ac:dyDescent="0.2">
      <c r="A49" t="s">
        <v>12</v>
      </c>
      <c r="B49" t="s">
        <v>13</v>
      </c>
      <c r="C49">
        <v>48750</v>
      </c>
    </row>
    <row r="50" spans="1:8" x14ac:dyDescent="0.2">
      <c r="A50" t="s">
        <v>14</v>
      </c>
      <c r="B50" t="s">
        <v>40</v>
      </c>
      <c r="C50">
        <f>(C47-1)/C47</f>
        <v>0.9375</v>
      </c>
    </row>
    <row r="51" spans="1:8" x14ac:dyDescent="0.2">
      <c r="A51" t="s">
        <v>28</v>
      </c>
      <c r="B51" t="s">
        <v>29</v>
      </c>
      <c r="C51">
        <v>576000</v>
      </c>
    </row>
    <row r="52" spans="1:8" x14ac:dyDescent="0.2">
      <c r="A52" t="s">
        <v>41</v>
      </c>
      <c r="B52" t="s">
        <v>47</v>
      </c>
      <c r="C52">
        <f>(16/15)*(C47-1)/(C47*C49)</f>
        <v>2.0512820512820512E-5</v>
      </c>
    </row>
    <row r="53" spans="1:8" x14ac:dyDescent="0.2">
      <c r="A53" t="s">
        <v>30</v>
      </c>
      <c r="B53" t="s">
        <v>43</v>
      </c>
      <c r="C53">
        <f>(C47-1)*C48/2</f>
        <v>186.9</v>
      </c>
    </row>
    <row r="55" spans="1:8" x14ac:dyDescent="0.2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23</v>
      </c>
      <c r="H55" t="s">
        <v>24</v>
      </c>
    </row>
    <row r="56" spans="1:8" x14ac:dyDescent="0.2">
      <c r="A56">
        <v>8</v>
      </c>
      <c r="B56">
        <v>1</v>
      </c>
      <c r="C56">
        <v>0.03</v>
      </c>
      <c r="D56">
        <v>0.04</v>
      </c>
      <c r="E56">
        <f>C53*CEILING(A56*1024/(B56*C51*C47),1)+A56*1024*C52</f>
        <v>187.06804102564104</v>
      </c>
      <c r="F56">
        <f>A56*1024/(E56*0.000001)/1000000000*C50</f>
        <v>4.1054580771214245E-2</v>
      </c>
      <c r="G56">
        <f t="shared" ref="G56:G62" si="3">C56/F56</f>
        <v>0.7307345352564103</v>
      </c>
      <c r="H56">
        <f t="shared" ref="H56:H62" si="4">D56/F56</f>
        <v>0.97431271367521377</v>
      </c>
    </row>
    <row r="57" spans="1:8" x14ac:dyDescent="0.2">
      <c r="A57">
        <v>16</v>
      </c>
      <c r="B57">
        <v>1</v>
      </c>
      <c r="C57">
        <v>0.06</v>
      </c>
      <c r="D57">
        <v>7.0000000000000007E-2</v>
      </c>
      <c r="E57">
        <f>C53*CEILING(A57*1024/(B57*C51*C47),1)+A57*1024*C52</f>
        <v>187.23608205128207</v>
      </c>
      <c r="F57">
        <f>A57*1024/(E57*0.000001)/1000000000*C50</f>
        <v>8.2035470042537278E-2</v>
      </c>
      <c r="G57">
        <f t="shared" si="3"/>
        <v>0.73139094551282047</v>
      </c>
      <c r="H57">
        <f t="shared" si="4"/>
        <v>0.85328943643162403</v>
      </c>
    </row>
    <row r="58" spans="1:8" x14ac:dyDescent="0.2">
      <c r="A58">
        <v>32</v>
      </c>
      <c r="B58">
        <v>1</v>
      </c>
      <c r="C58">
        <v>0.12</v>
      </c>
      <c r="D58">
        <v>0.14000000000000001</v>
      </c>
      <c r="E58">
        <f>C53*CEILING(A58*1024/(B58*C51*C47),1)+A58*1024*C52</f>
        <v>187.5721641025641</v>
      </c>
      <c r="F58">
        <f>A58*1024/(E58*0.000001)/1000000000*C50</f>
        <v>0.16377696630509825</v>
      </c>
      <c r="G58">
        <f t="shared" si="3"/>
        <v>0.73270376602564102</v>
      </c>
      <c r="H58">
        <f t="shared" si="4"/>
        <v>0.8548210603632479</v>
      </c>
    </row>
    <row r="59" spans="1:8" x14ac:dyDescent="0.2">
      <c r="A59">
        <v>64</v>
      </c>
      <c r="B59">
        <v>2</v>
      </c>
      <c r="C59">
        <v>0.23</v>
      </c>
      <c r="D59">
        <v>0.27</v>
      </c>
      <c r="E59">
        <f>C53*CEILING(A59*1024/(B59*C51*C47),1)+A59*1024*C52</f>
        <v>188.2443282051282</v>
      </c>
      <c r="F59">
        <f>A59*1024/(E59*0.000001)/1000000000*C50</f>
        <v>0.32638433564409641</v>
      </c>
      <c r="G59">
        <f t="shared" si="3"/>
        <v>0.70469068175747851</v>
      </c>
      <c r="H59">
        <f t="shared" si="4"/>
        <v>0.82724558293269224</v>
      </c>
    </row>
    <row r="60" spans="1:8" x14ac:dyDescent="0.2">
      <c r="A60">
        <v>128</v>
      </c>
      <c r="B60">
        <v>4</v>
      </c>
      <c r="C60">
        <v>0.45</v>
      </c>
      <c r="D60">
        <v>0.55000000000000004</v>
      </c>
      <c r="E60">
        <f>C53*CEILING(A60*1024/(B60*C51*C47),1)+A60*1024*C52</f>
        <v>189.58865641025642</v>
      </c>
      <c r="F60">
        <f>A60*1024/(E60*0.000001)/1000000000*C50</f>
        <v>0.64814004343222098</v>
      </c>
      <c r="G60">
        <f t="shared" si="3"/>
        <v>0.69429439603365384</v>
      </c>
      <c r="H60">
        <f t="shared" si="4"/>
        <v>0.84858203959668799</v>
      </c>
    </row>
    <row r="61" spans="1:8" x14ac:dyDescent="0.2">
      <c r="A61">
        <v>256</v>
      </c>
      <c r="B61">
        <v>4</v>
      </c>
      <c r="C61">
        <v>0.85</v>
      </c>
      <c r="D61">
        <v>1.08</v>
      </c>
      <c r="E61">
        <f>C53*CEILING(A61*1024/(B61*C51*C47),1)+A61*1024*C52</f>
        <v>192.27731282051283</v>
      </c>
      <c r="F61">
        <f>A61*1024/(E61*0.000001)/1000000000*C50</f>
        <v>1.2781539142343448</v>
      </c>
      <c r="G61">
        <f t="shared" si="3"/>
        <v>0.66502163044204055</v>
      </c>
      <c r="H61">
        <f t="shared" si="4"/>
        <v>0.84496865985576919</v>
      </c>
    </row>
    <row r="62" spans="1:8" x14ac:dyDescent="0.2">
      <c r="A62">
        <v>512</v>
      </c>
      <c r="B62">
        <v>4</v>
      </c>
      <c r="C62">
        <v>1.6</v>
      </c>
      <c r="D62">
        <v>2.0699999999999998</v>
      </c>
      <c r="E62">
        <f>C53*CEILING(A62*1024/(B62*C51*C47),1)+A62*1024*C52</f>
        <v>197.65462564102563</v>
      </c>
      <c r="F62">
        <f>A62*1024/(E62*0.000001)/1000000000*C50</f>
        <v>2.4867619384364108</v>
      </c>
      <c r="G62">
        <f t="shared" si="3"/>
        <v>0.64340698450854705</v>
      </c>
      <c r="H62">
        <f t="shared" si="4"/>
        <v>0.83240778620793254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AR, Ring, 0x0, 16nodes</vt:lpstr>
      <vt:lpstr>AR, Tree, 0x0, 16nodes</vt:lpstr>
      <vt:lpstr>AG. Ring, 0x7, 16nodes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Dai, Liuyao</cp:lastModifiedBy>
  <dcterms:created xsi:type="dcterms:W3CDTF">2026-06-08T17:11:23Z</dcterms:created>
  <dcterms:modified xsi:type="dcterms:W3CDTF">2026-07-22T05:48:37Z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0x010100F2412CDD8125FB41A645B36AAD635F00</vt:lpwstr>
  </property>
  <property fmtid="{D5CDD505-2E9C-101B-9397-08002B2CF9AE}" pid="3" name="MSIP_Label_19e68092-05df-4271-8e3e-b2a4c82ba797_Enabled">
    <vt:lpwstr>true</vt:lpwstr>
  </property>
  <property fmtid="{D5CDD505-2E9C-101B-9397-08002B2CF9AE}" pid="4" name="MSIP_Label_19e68092-05df-4271-8e3e-b2a4c82ba797_SetDate">
    <vt:lpwstr>2026-06-08T17:11:26Z</vt:lpwstr>
  </property>
  <property fmtid="{D5CDD505-2E9C-101B-9397-08002B2CF9AE}" pid="5" name="MSIP_Label_19e68092-05df-4271-8e3e-b2a4c82ba797_Method">
    <vt:lpwstr>Standard</vt:lpwstr>
  </property>
  <property fmtid="{D5CDD505-2E9C-101B-9397-08002B2CF9AE}" pid="6" name="MSIP_Label_19e68092-05df-4271-8e3e-b2a4c82ba797_Name">
    <vt:lpwstr>Amazon Confidential</vt:lpwstr>
  </property>
  <property fmtid="{D5CDD505-2E9C-101B-9397-08002B2CF9AE}" pid="7" name="MSIP_Label_19e68092-05df-4271-8e3e-b2a4c82ba797_SiteId">
    <vt:lpwstr>5280104a-472d-4538-9ccf-1e1d0efe8b1b</vt:lpwstr>
  </property>
  <property fmtid="{D5CDD505-2E9C-101B-9397-08002B2CF9AE}" pid="8" name="MSIP_Label_19e68092-05df-4271-8e3e-b2a4c82ba797_ActionId">
    <vt:lpwstr>d00275ec-f3be-42c4-b9b8-9eea1fecd649</vt:lpwstr>
  </property>
  <property fmtid="{D5CDD505-2E9C-101B-9397-08002B2CF9AE}" pid="9" name="MSIP_Label_19e68092-05df-4271-8e3e-b2a4c82ba797_ContentBits">
    <vt:lpwstr>0</vt:lpwstr>
  </property>
  <property fmtid="{D5CDD505-2E9C-101B-9397-08002B2CF9AE}" pid="10" name="MSIP_Label_19e68092-05df-4271-8e3e-b2a4c82ba797_Tag">
    <vt:lpwstr>10, 3, 0, 2</vt:lpwstr>
  </property>
</Properties>
</file>